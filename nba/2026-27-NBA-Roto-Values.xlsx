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 List" sheetId="1" state="visible" r:id="rId1"/>
    <sheet name="Minutes &amp; Health" sheetId="2" state="visible" r:id="rId2"/>
    <sheet name="Settings" sheetId="3" state="visible" r:id="rId3"/>
    <sheet name="Player Data" sheetId="4" state="visible" r:id="rId4"/>
    <sheet name="Pool" sheetId="5" state="visible" r:id="rId5"/>
    <sheet name="Schedule" sheetId="6" state="visible" r:id="rId6"/>
  </sheets>
  <definedNames>
    <definedName name="_xlnm._FilterDatabase" localSheetId="0" hidden="1">'The List'!$A$1:$AJ$266</definedName>
    <definedName name="_xlnm._FilterDatabase" localSheetId="1" hidden="1">'Minutes &amp; Health'!$A$1:$Q$266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+0;-0;0"/>
    <numFmt numFmtId="165" formatCode="0.0"/>
    <numFmt numFmtId="166" formatCode=".000"/>
    <numFmt numFmtId="167" formatCode="yyyy-mm-dd"/>
    <numFmt numFmtId="168" formatCode="mmm d"/>
    <numFmt numFmtId="169" formatCode="+0.0;-0.0;0.0"/>
    <numFmt numFmtId="170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63BE7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69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9" fontId="0" fillId="0" borderId="0" pivotButton="0" quotePrefix="0" xfId="0"/>
    <xf numFmtId="168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7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63BE7B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869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hidden="1" outlineLevel="1" width="7" customWidth="1" min="38" max="46"/>
  </cols>
  <sheetData>
    <row r="1">
      <c r="A1" s="1" t="inlineStr">
        <is>
          <t>RK</t>
        </is>
      </c>
      <c r="B1" s="1" t="inlineStr">
        <is>
          <t>NAME</t>
        </is>
      </c>
      <c r="C1" s="1" t="inlineStr">
        <is>
          <t>POS</t>
        </is>
      </c>
      <c r="D1" s="1" t="inlineStr">
        <is>
          <t>PRK</t>
        </is>
      </c>
      <c r="E1" s="1" t="inlineStr">
        <is>
          <t>TEAM</t>
        </is>
      </c>
      <c r="F1" s="1" t="inlineStr">
        <is>
          <t>ADJ</t>
        </is>
      </c>
      <c r="G1" s="1" t="inlineStr">
        <is>
          <t>VALUE</t>
        </is>
      </c>
      <c r="H1" s="1" t="inlineStr">
        <is>
          <t>VORP</t>
        </is>
      </c>
      <c r="I1" s="1" t="inlineStr">
        <is>
          <t>ADP</t>
        </is>
      </c>
      <c r="J1" s="1" t="inlineStr">
        <is>
          <t>DIFF</t>
        </is>
      </c>
      <c r="L1" s="1" t="inlineStr">
        <is>
          <t>GP</t>
        </is>
      </c>
      <c r="M1" s="1" t="inlineStr">
        <is>
          <t>MPG</t>
        </is>
      </c>
      <c r="N1" s="1" t="inlineStr">
        <is>
          <t>PTS</t>
        </is>
      </c>
      <c r="O1" s="1" t="inlineStr">
        <is>
          <t>REB</t>
        </is>
      </c>
      <c r="P1" s="1" t="inlineStr">
        <is>
          <t>AST</t>
        </is>
      </c>
      <c r="Q1" s="1" t="inlineStr">
        <is>
          <t>STL</t>
        </is>
      </c>
      <c r="R1" s="1" t="inlineStr">
        <is>
          <t>BLK</t>
        </is>
      </c>
      <c r="S1" s="1" t="inlineStr">
        <is>
          <t>3PM</t>
        </is>
      </c>
      <c r="T1" s="1" t="inlineStr">
        <is>
          <t>TO</t>
        </is>
      </c>
      <c r="U1" s="1" t="inlineStr">
        <is>
          <t>FG%</t>
        </is>
      </c>
      <c r="V1" s="1" t="inlineStr">
        <is>
          <t>FT%</t>
        </is>
      </c>
      <c r="W1" s="1" t="inlineStr">
        <is>
          <t>FGM</t>
        </is>
      </c>
      <c r="X1" s="1" t="inlineStr">
        <is>
          <t>FGA</t>
        </is>
      </c>
      <c r="Y1" s="1" t="inlineStr">
        <is>
          <t>FTM</t>
        </is>
      </c>
      <c r="Z1" s="1" t="inlineStr">
        <is>
          <t>FTA</t>
        </is>
      </c>
      <c r="AB1" s="1" t="inlineStr">
        <is>
          <t>zPTS</t>
        </is>
      </c>
      <c r="AC1" s="1" t="inlineStr">
        <is>
          <t>zREB</t>
        </is>
      </c>
      <c r="AD1" s="1" t="inlineStr">
        <is>
          <t>zAST</t>
        </is>
      </c>
      <c r="AE1" s="1" t="inlineStr">
        <is>
          <t>zSTL</t>
        </is>
      </c>
      <c r="AF1" s="1" t="inlineStr">
        <is>
          <t>zBLK</t>
        </is>
      </c>
      <c r="AG1" s="1" t="inlineStr">
        <is>
          <t>z3PM</t>
        </is>
      </c>
      <c r="AH1" s="1" t="inlineStr">
        <is>
          <t>zFG%</t>
        </is>
      </c>
      <c r="AI1" s="1" t="inlineStr">
        <is>
          <t>zFT%</t>
        </is>
      </c>
      <c r="AJ1" s="1" t="inlineStr">
        <is>
          <t>zTO</t>
        </is>
      </c>
      <c r="AL1" s="1" t="inlineStr">
        <is>
          <t>ROW</t>
        </is>
      </c>
      <c r="AM1" s="1" t="inlineStr">
        <is>
          <t>MULT</t>
        </is>
      </c>
      <c r="AN1" s="1" t="inlineStr">
        <is>
          <t>1POS</t>
        </is>
      </c>
      <c r="AO1" s="1" t="inlineStr">
        <is>
          <t>FGimp1</t>
        </is>
      </c>
      <c r="AP1" s="1" t="inlineStr">
        <is>
          <t>FTimp1</t>
        </is>
      </c>
      <c r="AQ1" s="1" t="inlineStr">
        <is>
          <t>BASE</t>
        </is>
      </c>
      <c r="AR1" s="1" t="inlineStr">
        <is>
          <t>POOL</t>
        </is>
      </c>
      <c r="AS1" s="1" t="inlineStr">
        <is>
          <t>FGimp2</t>
        </is>
      </c>
      <c r="AT1" s="1" t="inlineStr">
        <is>
          <t>FTimp2</t>
        </is>
      </c>
    </row>
    <row r="2">
      <c r="A2">
        <f>RANK(H2,$H$2:$H$266)</f>
        <v/>
      </c>
      <c r="B2" t="inlineStr">
        <is>
          <t>Nikola Jokic</t>
        </is>
      </c>
      <c r="C2">
        <f>INDEX('Player Data'!$C:$C,AL2)</f>
        <v/>
      </c>
      <c r="D2">
        <f>SUMPRODUCT(($AN$2:$AN$266=AN2)*($H$2:$H$266&gt;H2))+1</f>
        <v/>
      </c>
      <c r="E2">
        <f>INDEX('Player Data'!$B:$B,AL2)</f>
        <v/>
      </c>
      <c r="F2" s="2" t="n"/>
      <c r="G2" s="3">
        <f>Settings!$B$2*AB2+Settings!$B$3*AC2+Settings!$B$4*AD2+Settings!$B$5*AE2+Settings!$B$6*AF2+Settings!$B$7*AG2+Settings!$B$8*AH2+Settings!$B$9*AI2+Settings!$B$10*AJ2</f>
        <v/>
      </c>
      <c r="H2" s="3">
        <f>G2-LARGE($G$2:$G$266,Settings!$F$4)</f>
        <v/>
      </c>
      <c r="I2">
        <f>IF(INDEX('Player Data'!$R:$R,AL2)="","",INDEX('Player Data'!$R:$R,AL2))</f>
        <v/>
      </c>
      <c r="J2" s="4">
        <f>IF(I2="","",I2-A2)</f>
        <v/>
      </c>
      <c r="L2" s="5">
        <f>IF(Settings!$F$7="Yes",INDEX('Minutes &amp; Health'!$O:$O,AL2),Settings!$F$8)</f>
        <v/>
      </c>
      <c r="M2" s="6">
        <f>INDEX('Minutes &amp; Health'!$P:$P,AL2)</f>
        <v/>
      </c>
      <c r="N2" s="5">
        <f>INDEX('Player Data'!$F:$F,AL2)/INDEX('Player Data'!$E:$E,AL2)*M2*L2*AM2</f>
        <v/>
      </c>
      <c r="O2" s="5">
        <f>INDEX('Player Data'!$G:$G,AL2)/INDEX('Player Data'!$E:$E,AL2)*M2*L2*AM2</f>
        <v/>
      </c>
      <c r="P2" s="5">
        <f>INDEX('Player Data'!$H:$H,AL2)/INDEX('Player Data'!$E:$E,AL2)*M2*L2*AM2</f>
        <v/>
      </c>
      <c r="Q2" s="5">
        <f>INDEX('Player Data'!$I:$I,AL2)/INDEX('Player Data'!$E:$E,AL2)*M2*L2*AM2</f>
        <v/>
      </c>
      <c r="R2" s="5">
        <f>INDEX('Player Data'!$J:$J,AL2)/INDEX('Player Data'!$E:$E,AL2)*M2*L2*AM2</f>
        <v/>
      </c>
      <c r="S2" s="5">
        <f>INDEX('Player Data'!$K:$K,AL2)/INDEX('Player Data'!$E:$E,AL2)*M2*L2*AM2</f>
        <v/>
      </c>
      <c r="T2" s="5">
        <f>INDEX('Player Data'!$L:$L,AL2)/INDEX('Player Data'!$E:$E,AL2)*M2*L2*AM2</f>
        <v/>
      </c>
      <c r="U2" s="7">
        <f>INDEX('Player Data'!$M:$M,AL2)</f>
        <v/>
      </c>
      <c r="V2" s="7">
        <f>INDEX('Player Data'!$N:$N,AL2)</f>
        <v/>
      </c>
      <c r="W2" s="5">
        <f>X2*U2</f>
        <v/>
      </c>
      <c r="X2" s="5">
        <f>INDEX('Player Data'!$O:$O,AL2)/INDEX('Player Data'!$E:$E,AL2)*M2*L2*AM2</f>
        <v/>
      </c>
      <c r="Y2" s="5">
        <f>Z2*V2</f>
        <v/>
      </c>
      <c r="Z2" s="5">
        <f>INDEX('Player Data'!$P:$P,AL2)/INDEX('Player Data'!$E:$E,AL2)*M2*L2*AM2</f>
        <v/>
      </c>
      <c r="AB2" s="3">
        <f>(N2-Pool!$D$2)/Pool!$E$2</f>
        <v/>
      </c>
      <c r="AC2" s="3">
        <f>(O2-Pool!$D$3)/Pool!$E$3</f>
        <v/>
      </c>
      <c r="AD2" s="3">
        <f>(P2-Pool!$D$4)/Pool!$E$4</f>
        <v/>
      </c>
      <c r="AE2" s="3">
        <f>(Q2-Pool!$D$5)/Pool!$E$5</f>
        <v/>
      </c>
      <c r="AF2" s="3">
        <f>(R2-Pool!$D$6)/Pool!$E$6</f>
        <v/>
      </c>
      <c r="AG2" s="3">
        <f>(S2-Pool!$D$7)/Pool!$E$7</f>
        <v/>
      </c>
      <c r="AH2" s="3">
        <f>(AS2-Pool!$D$8)/Pool!$E$8</f>
        <v/>
      </c>
      <c r="AI2" s="3">
        <f>(AT2-Pool!$D$9)/Pool!$E$9</f>
        <v/>
      </c>
      <c r="AJ2" s="3">
        <f>-(T2-Pool!$D$10)/Pool!$E$10</f>
        <v/>
      </c>
      <c r="AL2">
        <f>MATCH(B2,'Player Data'!$A:$A,0)</f>
        <v/>
      </c>
      <c r="AM2" s="3">
        <f>1+IF(Settings!$F$10="ON",IFERROR(VLOOKUP(TRIM(F2),Settings!$D$12:$F$17,3,FALSE),0),0)</f>
        <v/>
      </c>
      <c r="AN2">
        <f>IFERROR(LEFT(C2,FIND(",",C2)-1),C2)</f>
        <v/>
      </c>
      <c r="AO2" s="6">
        <f>X2*(U2-Pool!$B$12)</f>
        <v/>
      </c>
      <c r="AP2" s="6">
        <f>Z2*(V2-Pool!$B$13)</f>
        <v/>
      </c>
      <c r="AQ2" s="3">
        <f>Settings!$B$2*(N2-Pool!$B$2)/Pool!$C$2+Settings!$B$3*(O2-Pool!$B$3)/Pool!$C$3+Settings!$B$4*(P2-Pool!$B$4)/Pool!$C$4+Settings!$B$5*(Q2-Pool!$B$5)/Pool!$C$5+Settings!$B$6*(R2-Pool!$B$6)/Pool!$C$6+Settings!$B$7*(S2-Pool!$B$7)/Pool!$C$7+Settings!$B$8*(AO2-Pool!$B$8)/Pool!$C$8+Settings!$B$9*(AP2-Pool!$B$9)/Pool!$C$9+Settings!$B$10*-(T2-Pool!$B$10)/Pool!$C$10</f>
        <v/>
      </c>
      <c r="AR2">
        <f>IF(RANK(AQ2,$AQ$2:$AQ$266)&lt;=Settings!$F$5,1,0)</f>
        <v/>
      </c>
      <c r="AS2" s="6">
        <f>X2*(U2-Pool!$D$12)</f>
        <v/>
      </c>
      <c r="AT2" s="6">
        <f>Z2*(V2-Pool!$D$13)</f>
        <v/>
      </c>
    </row>
    <row r="3">
      <c r="A3">
        <f>RANK(H3,$H$2:$H$266)</f>
        <v/>
      </c>
      <c r="B3" t="inlineStr">
        <is>
          <t>Shai Gilgeous-Alexander</t>
        </is>
      </c>
      <c r="C3">
        <f>INDEX('Player Data'!$C:$C,AL3)</f>
        <v/>
      </c>
      <c r="D3">
        <f>SUMPRODUCT(($AN$2:$AN$266=AN3)*($H$2:$H$266&gt;H3))+1</f>
        <v/>
      </c>
      <c r="E3">
        <f>INDEX('Player Data'!$B:$B,AL3)</f>
        <v/>
      </c>
      <c r="F3" s="2" t="n"/>
      <c r="G3" s="3">
        <f>Settings!$B$2*AB3+Settings!$B$3*AC3+Settings!$B$4*AD3+Settings!$B$5*AE3+Settings!$B$6*AF3+Settings!$B$7*AG3+Settings!$B$8*AH3+Settings!$B$9*AI3+Settings!$B$10*AJ3</f>
        <v/>
      </c>
      <c r="H3" s="3">
        <f>G3-LARGE($G$2:$G$266,Settings!$F$4)</f>
        <v/>
      </c>
      <c r="I3">
        <f>IF(INDEX('Player Data'!$R:$R,AL3)="","",INDEX('Player Data'!$R:$R,AL3))</f>
        <v/>
      </c>
      <c r="J3" s="4">
        <f>IF(I3="","",I3-A3)</f>
        <v/>
      </c>
      <c r="L3" s="5">
        <f>IF(Settings!$F$7="Yes",INDEX('Minutes &amp; Health'!$O:$O,AL3),Settings!$F$8)</f>
        <v/>
      </c>
      <c r="M3" s="6">
        <f>INDEX('Minutes &amp; Health'!$P:$P,AL3)</f>
        <v/>
      </c>
      <c r="N3" s="5">
        <f>INDEX('Player Data'!$F:$F,AL3)/INDEX('Player Data'!$E:$E,AL3)*M3*L3*AM3</f>
        <v/>
      </c>
      <c r="O3" s="5">
        <f>INDEX('Player Data'!$G:$G,AL3)/INDEX('Player Data'!$E:$E,AL3)*M3*L3*AM3</f>
        <v/>
      </c>
      <c r="P3" s="5">
        <f>INDEX('Player Data'!$H:$H,AL3)/INDEX('Player Data'!$E:$E,AL3)*M3*L3*AM3</f>
        <v/>
      </c>
      <c r="Q3" s="5">
        <f>INDEX('Player Data'!$I:$I,AL3)/INDEX('Player Data'!$E:$E,AL3)*M3*L3*AM3</f>
        <v/>
      </c>
      <c r="R3" s="5">
        <f>INDEX('Player Data'!$J:$J,AL3)/INDEX('Player Data'!$E:$E,AL3)*M3*L3*AM3</f>
        <v/>
      </c>
      <c r="S3" s="5">
        <f>INDEX('Player Data'!$K:$K,AL3)/INDEX('Player Data'!$E:$E,AL3)*M3*L3*AM3</f>
        <v/>
      </c>
      <c r="T3" s="5">
        <f>INDEX('Player Data'!$L:$L,AL3)/INDEX('Player Data'!$E:$E,AL3)*M3*L3*AM3</f>
        <v/>
      </c>
      <c r="U3" s="7">
        <f>INDEX('Player Data'!$M:$M,AL3)</f>
        <v/>
      </c>
      <c r="V3" s="7">
        <f>INDEX('Player Data'!$N:$N,AL3)</f>
        <v/>
      </c>
      <c r="W3" s="5">
        <f>X3*U3</f>
        <v/>
      </c>
      <c r="X3" s="5">
        <f>INDEX('Player Data'!$O:$O,AL3)/INDEX('Player Data'!$E:$E,AL3)*M3*L3*AM3</f>
        <v/>
      </c>
      <c r="Y3" s="5">
        <f>Z3*V3</f>
        <v/>
      </c>
      <c r="Z3" s="5">
        <f>INDEX('Player Data'!$P:$P,AL3)/INDEX('Player Data'!$E:$E,AL3)*M3*L3*AM3</f>
        <v/>
      </c>
      <c r="AB3" s="3">
        <f>(N3-Pool!$D$2)/Pool!$E$2</f>
        <v/>
      </c>
      <c r="AC3" s="3">
        <f>(O3-Pool!$D$3)/Pool!$E$3</f>
        <v/>
      </c>
      <c r="AD3" s="3">
        <f>(P3-Pool!$D$4)/Pool!$E$4</f>
        <v/>
      </c>
      <c r="AE3" s="3">
        <f>(Q3-Pool!$D$5)/Pool!$E$5</f>
        <v/>
      </c>
      <c r="AF3" s="3">
        <f>(R3-Pool!$D$6)/Pool!$E$6</f>
        <v/>
      </c>
      <c r="AG3" s="3">
        <f>(S3-Pool!$D$7)/Pool!$E$7</f>
        <v/>
      </c>
      <c r="AH3" s="3">
        <f>(AS3-Pool!$D$8)/Pool!$E$8</f>
        <v/>
      </c>
      <c r="AI3" s="3">
        <f>(AT3-Pool!$D$9)/Pool!$E$9</f>
        <v/>
      </c>
      <c r="AJ3" s="3">
        <f>-(T3-Pool!$D$10)/Pool!$E$10</f>
        <v/>
      </c>
      <c r="AL3">
        <f>MATCH(B3,'Player Data'!$A:$A,0)</f>
        <v/>
      </c>
      <c r="AM3" s="3">
        <f>1+IF(Settings!$F$10="ON",IFERROR(VLOOKUP(TRIM(F3),Settings!$D$12:$F$17,3,FALSE),0),0)</f>
        <v/>
      </c>
      <c r="AN3">
        <f>IFERROR(LEFT(C3,FIND(",",C3)-1),C3)</f>
        <v/>
      </c>
      <c r="AO3" s="6">
        <f>X3*(U3-Pool!$B$12)</f>
        <v/>
      </c>
      <c r="AP3" s="6">
        <f>Z3*(V3-Pool!$B$13)</f>
        <v/>
      </c>
      <c r="AQ3" s="3">
        <f>Settings!$B$2*(N3-Pool!$B$2)/Pool!$C$2+Settings!$B$3*(O3-Pool!$B$3)/Pool!$C$3+Settings!$B$4*(P3-Pool!$B$4)/Pool!$C$4+Settings!$B$5*(Q3-Pool!$B$5)/Pool!$C$5+Settings!$B$6*(R3-Pool!$B$6)/Pool!$C$6+Settings!$B$7*(S3-Pool!$B$7)/Pool!$C$7+Settings!$B$8*(AO3-Pool!$B$8)/Pool!$C$8+Settings!$B$9*(AP3-Pool!$B$9)/Pool!$C$9+Settings!$B$10*-(T3-Pool!$B$10)/Pool!$C$10</f>
        <v/>
      </c>
      <c r="AR3">
        <f>IF(RANK(AQ3,$AQ$2:$AQ$266)&lt;=Settings!$F$5,1,0)</f>
        <v/>
      </c>
      <c r="AS3" s="6">
        <f>X3*(U3-Pool!$D$12)</f>
        <v/>
      </c>
      <c r="AT3" s="6">
        <f>Z3*(V3-Pool!$D$13)</f>
        <v/>
      </c>
    </row>
    <row r="4">
      <c r="A4">
        <f>RANK(H4,$H$2:$H$266)</f>
        <v/>
      </c>
      <c r="B4" t="inlineStr">
        <is>
          <t>Victor Wembanyama</t>
        </is>
      </c>
      <c r="C4">
        <f>INDEX('Player Data'!$C:$C,AL4)</f>
        <v/>
      </c>
      <c r="D4">
        <f>SUMPRODUCT(($AN$2:$AN$266=AN4)*($H$2:$H$266&gt;H4))+1</f>
        <v/>
      </c>
      <c r="E4">
        <f>INDEX('Player Data'!$B:$B,AL4)</f>
        <v/>
      </c>
      <c r="F4" s="2" t="n"/>
      <c r="G4" s="3">
        <f>Settings!$B$2*AB4+Settings!$B$3*AC4+Settings!$B$4*AD4+Settings!$B$5*AE4+Settings!$B$6*AF4+Settings!$B$7*AG4+Settings!$B$8*AH4+Settings!$B$9*AI4+Settings!$B$10*AJ4</f>
        <v/>
      </c>
      <c r="H4" s="3">
        <f>G4-LARGE($G$2:$G$266,Settings!$F$4)</f>
        <v/>
      </c>
      <c r="I4">
        <f>IF(INDEX('Player Data'!$R:$R,AL4)="","",INDEX('Player Data'!$R:$R,AL4))</f>
        <v/>
      </c>
      <c r="J4" s="4">
        <f>IF(I4="","",I4-A4)</f>
        <v/>
      </c>
      <c r="L4" s="5">
        <f>IF(Settings!$F$7="Yes",INDEX('Minutes &amp; Health'!$O:$O,AL4),Settings!$F$8)</f>
        <v/>
      </c>
      <c r="M4" s="6">
        <f>INDEX('Minutes &amp; Health'!$P:$P,AL4)</f>
        <v/>
      </c>
      <c r="N4" s="5">
        <f>INDEX('Player Data'!$F:$F,AL4)/INDEX('Player Data'!$E:$E,AL4)*M4*L4*AM4</f>
        <v/>
      </c>
      <c r="O4" s="5">
        <f>INDEX('Player Data'!$G:$G,AL4)/INDEX('Player Data'!$E:$E,AL4)*M4*L4*AM4</f>
        <v/>
      </c>
      <c r="P4" s="5">
        <f>INDEX('Player Data'!$H:$H,AL4)/INDEX('Player Data'!$E:$E,AL4)*M4*L4*AM4</f>
        <v/>
      </c>
      <c r="Q4" s="5">
        <f>INDEX('Player Data'!$I:$I,AL4)/INDEX('Player Data'!$E:$E,AL4)*M4*L4*AM4</f>
        <v/>
      </c>
      <c r="R4" s="5">
        <f>INDEX('Player Data'!$J:$J,AL4)/INDEX('Player Data'!$E:$E,AL4)*M4*L4*AM4</f>
        <v/>
      </c>
      <c r="S4" s="5">
        <f>INDEX('Player Data'!$K:$K,AL4)/INDEX('Player Data'!$E:$E,AL4)*M4*L4*AM4</f>
        <v/>
      </c>
      <c r="T4" s="5">
        <f>INDEX('Player Data'!$L:$L,AL4)/INDEX('Player Data'!$E:$E,AL4)*M4*L4*AM4</f>
        <v/>
      </c>
      <c r="U4" s="7">
        <f>INDEX('Player Data'!$M:$M,AL4)</f>
        <v/>
      </c>
      <c r="V4" s="7">
        <f>INDEX('Player Data'!$N:$N,AL4)</f>
        <v/>
      </c>
      <c r="W4" s="5">
        <f>X4*U4</f>
        <v/>
      </c>
      <c r="X4" s="5">
        <f>INDEX('Player Data'!$O:$O,AL4)/INDEX('Player Data'!$E:$E,AL4)*M4*L4*AM4</f>
        <v/>
      </c>
      <c r="Y4" s="5">
        <f>Z4*V4</f>
        <v/>
      </c>
      <c r="Z4" s="5">
        <f>INDEX('Player Data'!$P:$P,AL4)/INDEX('Player Data'!$E:$E,AL4)*M4*L4*AM4</f>
        <v/>
      </c>
      <c r="AB4" s="3">
        <f>(N4-Pool!$D$2)/Pool!$E$2</f>
        <v/>
      </c>
      <c r="AC4" s="3">
        <f>(O4-Pool!$D$3)/Pool!$E$3</f>
        <v/>
      </c>
      <c r="AD4" s="3">
        <f>(P4-Pool!$D$4)/Pool!$E$4</f>
        <v/>
      </c>
      <c r="AE4" s="3">
        <f>(Q4-Pool!$D$5)/Pool!$E$5</f>
        <v/>
      </c>
      <c r="AF4" s="3">
        <f>(R4-Pool!$D$6)/Pool!$E$6</f>
        <v/>
      </c>
      <c r="AG4" s="3">
        <f>(S4-Pool!$D$7)/Pool!$E$7</f>
        <v/>
      </c>
      <c r="AH4" s="3">
        <f>(AS4-Pool!$D$8)/Pool!$E$8</f>
        <v/>
      </c>
      <c r="AI4" s="3">
        <f>(AT4-Pool!$D$9)/Pool!$E$9</f>
        <v/>
      </c>
      <c r="AJ4" s="3">
        <f>-(T4-Pool!$D$10)/Pool!$E$10</f>
        <v/>
      </c>
      <c r="AL4">
        <f>MATCH(B4,'Player Data'!$A:$A,0)</f>
        <v/>
      </c>
      <c r="AM4" s="3">
        <f>1+IF(Settings!$F$10="ON",IFERROR(VLOOKUP(TRIM(F4),Settings!$D$12:$F$17,3,FALSE),0),0)</f>
        <v/>
      </c>
      <c r="AN4">
        <f>IFERROR(LEFT(C4,FIND(",",C4)-1),C4)</f>
        <v/>
      </c>
      <c r="AO4" s="6">
        <f>X4*(U4-Pool!$B$12)</f>
        <v/>
      </c>
      <c r="AP4" s="6">
        <f>Z4*(V4-Pool!$B$13)</f>
        <v/>
      </c>
      <c r="AQ4" s="3">
        <f>Settings!$B$2*(N4-Pool!$B$2)/Pool!$C$2+Settings!$B$3*(O4-Pool!$B$3)/Pool!$C$3+Settings!$B$4*(P4-Pool!$B$4)/Pool!$C$4+Settings!$B$5*(Q4-Pool!$B$5)/Pool!$C$5+Settings!$B$6*(R4-Pool!$B$6)/Pool!$C$6+Settings!$B$7*(S4-Pool!$B$7)/Pool!$C$7+Settings!$B$8*(AO4-Pool!$B$8)/Pool!$C$8+Settings!$B$9*(AP4-Pool!$B$9)/Pool!$C$9+Settings!$B$10*-(T4-Pool!$B$10)/Pool!$C$10</f>
        <v/>
      </c>
      <c r="AR4">
        <f>IF(RANK(AQ4,$AQ$2:$AQ$266)&lt;=Settings!$F$5,1,0)</f>
        <v/>
      </c>
      <c r="AS4" s="6">
        <f>X4*(U4-Pool!$D$12)</f>
        <v/>
      </c>
      <c r="AT4" s="6">
        <f>Z4*(V4-Pool!$D$13)</f>
        <v/>
      </c>
    </row>
    <row r="5">
      <c r="A5">
        <f>RANK(H5,$H$2:$H$266)</f>
        <v/>
      </c>
      <c r="B5" t="inlineStr">
        <is>
          <t>Tyrese Maxey</t>
        </is>
      </c>
      <c r="C5">
        <f>INDEX('Player Data'!$C:$C,AL5)</f>
        <v/>
      </c>
      <c r="D5">
        <f>SUMPRODUCT(($AN$2:$AN$266=AN5)*($H$2:$H$266&gt;H5))+1</f>
        <v/>
      </c>
      <c r="E5">
        <f>INDEX('Player Data'!$B:$B,AL5)</f>
        <v/>
      </c>
      <c r="F5" s="2" t="n"/>
      <c r="G5" s="3">
        <f>Settings!$B$2*AB5+Settings!$B$3*AC5+Settings!$B$4*AD5+Settings!$B$5*AE5+Settings!$B$6*AF5+Settings!$B$7*AG5+Settings!$B$8*AH5+Settings!$B$9*AI5+Settings!$B$10*AJ5</f>
        <v/>
      </c>
      <c r="H5" s="3">
        <f>G5-LARGE($G$2:$G$266,Settings!$F$4)</f>
        <v/>
      </c>
      <c r="I5">
        <f>IF(INDEX('Player Data'!$R:$R,AL5)="","",INDEX('Player Data'!$R:$R,AL5))</f>
        <v/>
      </c>
      <c r="J5" s="4">
        <f>IF(I5="","",I5-A5)</f>
        <v/>
      </c>
      <c r="L5" s="5">
        <f>IF(Settings!$F$7="Yes",INDEX('Minutes &amp; Health'!$O:$O,AL5),Settings!$F$8)</f>
        <v/>
      </c>
      <c r="M5" s="6">
        <f>INDEX('Minutes &amp; Health'!$P:$P,AL5)</f>
        <v/>
      </c>
      <c r="N5" s="5">
        <f>INDEX('Player Data'!$F:$F,AL5)/INDEX('Player Data'!$E:$E,AL5)*M5*L5*AM5</f>
        <v/>
      </c>
      <c r="O5" s="5">
        <f>INDEX('Player Data'!$G:$G,AL5)/INDEX('Player Data'!$E:$E,AL5)*M5*L5*AM5</f>
        <v/>
      </c>
      <c r="P5" s="5">
        <f>INDEX('Player Data'!$H:$H,AL5)/INDEX('Player Data'!$E:$E,AL5)*M5*L5*AM5</f>
        <v/>
      </c>
      <c r="Q5" s="5">
        <f>INDEX('Player Data'!$I:$I,AL5)/INDEX('Player Data'!$E:$E,AL5)*M5*L5*AM5</f>
        <v/>
      </c>
      <c r="R5" s="5">
        <f>INDEX('Player Data'!$J:$J,AL5)/INDEX('Player Data'!$E:$E,AL5)*M5*L5*AM5</f>
        <v/>
      </c>
      <c r="S5" s="5">
        <f>INDEX('Player Data'!$K:$K,AL5)/INDEX('Player Data'!$E:$E,AL5)*M5*L5*AM5</f>
        <v/>
      </c>
      <c r="T5" s="5">
        <f>INDEX('Player Data'!$L:$L,AL5)/INDEX('Player Data'!$E:$E,AL5)*M5*L5*AM5</f>
        <v/>
      </c>
      <c r="U5" s="7">
        <f>INDEX('Player Data'!$M:$M,AL5)</f>
        <v/>
      </c>
      <c r="V5" s="7">
        <f>INDEX('Player Data'!$N:$N,AL5)</f>
        <v/>
      </c>
      <c r="W5" s="5">
        <f>X5*U5</f>
        <v/>
      </c>
      <c r="X5" s="5">
        <f>INDEX('Player Data'!$O:$O,AL5)/INDEX('Player Data'!$E:$E,AL5)*M5*L5*AM5</f>
        <v/>
      </c>
      <c r="Y5" s="5">
        <f>Z5*V5</f>
        <v/>
      </c>
      <c r="Z5" s="5">
        <f>INDEX('Player Data'!$P:$P,AL5)/INDEX('Player Data'!$E:$E,AL5)*M5*L5*AM5</f>
        <v/>
      </c>
      <c r="AB5" s="3">
        <f>(N5-Pool!$D$2)/Pool!$E$2</f>
        <v/>
      </c>
      <c r="AC5" s="3">
        <f>(O5-Pool!$D$3)/Pool!$E$3</f>
        <v/>
      </c>
      <c r="AD5" s="3">
        <f>(P5-Pool!$D$4)/Pool!$E$4</f>
        <v/>
      </c>
      <c r="AE5" s="3">
        <f>(Q5-Pool!$D$5)/Pool!$E$5</f>
        <v/>
      </c>
      <c r="AF5" s="3">
        <f>(R5-Pool!$D$6)/Pool!$E$6</f>
        <v/>
      </c>
      <c r="AG5" s="3">
        <f>(S5-Pool!$D$7)/Pool!$E$7</f>
        <v/>
      </c>
      <c r="AH5" s="3">
        <f>(AS5-Pool!$D$8)/Pool!$E$8</f>
        <v/>
      </c>
      <c r="AI5" s="3">
        <f>(AT5-Pool!$D$9)/Pool!$E$9</f>
        <v/>
      </c>
      <c r="AJ5" s="3">
        <f>-(T5-Pool!$D$10)/Pool!$E$10</f>
        <v/>
      </c>
      <c r="AL5">
        <f>MATCH(B5,'Player Data'!$A:$A,0)</f>
        <v/>
      </c>
      <c r="AM5" s="3">
        <f>1+IF(Settings!$F$10="ON",IFERROR(VLOOKUP(TRIM(F5),Settings!$D$12:$F$17,3,FALSE),0),0)</f>
        <v/>
      </c>
      <c r="AN5">
        <f>IFERROR(LEFT(C5,FIND(",",C5)-1),C5)</f>
        <v/>
      </c>
      <c r="AO5" s="6">
        <f>X5*(U5-Pool!$B$12)</f>
        <v/>
      </c>
      <c r="AP5" s="6">
        <f>Z5*(V5-Pool!$B$13)</f>
        <v/>
      </c>
      <c r="AQ5" s="3">
        <f>Settings!$B$2*(N5-Pool!$B$2)/Pool!$C$2+Settings!$B$3*(O5-Pool!$B$3)/Pool!$C$3+Settings!$B$4*(P5-Pool!$B$4)/Pool!$C$4+Settings!$B$5*(Q5-Pool!$B$5)/Pool!$C$5+Settings!$B$6*(R5-Pool!$B$6)/Pool!$C$6+Settings!$B$7*(S5-Pool!$B$7)/Pool!$C$7+Settings!$B$8*(AO5-Pool!$B$8)/Pool!$C$8+Settings!$B$9*(AP5-Pool!$B$9)/Pool!$C$9+Settings!$B$10*-(T5-Pool!$B$10)/Pool!$C$10</f>
        <v/>
      </c>
      <c r="AR5">
        <f>IF(RANK(AQ5,$AQ$2:$AQ$266)&lt;=Settings!$F$5,1,0)</f>
        <v/>
      </c>
      <c r="AS5" s="6">
        <f>X5*(U5-Pool!$D$12)</f>
        <v/>
      </c>
      <c r="AT5" s="6">
        <f>Z5*(V5-Pool!$D$13)</f>
        <v/>
      </c>
    </row>
    <row r="6">
      <c r="A6">
        <f>RANK(H6,$H$2:$H$266)</f>
        <v/>
      </c>
      <c r="B6" t="inlineStr">
        <is>
          <t>Luka Doncic</t>
        </is>
      </c>
      <c r="C6">
        <f>INDEX('Player Data'!$C:$C,AL6)</f>
        <v/>
      </c>
      <c r="D6">
        <f>SUMPRODUCT(($AN$2:$AN$266=AN6)*($H$2:$H$266&gt;H6))+1</f>
        <v/>
      </c>
      <c r="E6">
        <f>INDEX('Player Data'!$B:$B,AL6)</f>
        <v/>
      </c>
      <c r="F6" s="2" t="n"/>
      <c r="G6" s="3">
        <f>Settings!$B$2*AB6+Settings!$B$3*AC6+Settings!$B$4*AD6+Settings!$B$5*AE6+Settings!$B$6*AF6+Settings!$B$7*AG6+Settings!$B$8*AH6+Settings!$B$9*AI6+Settings!$B$10*AJ6</f>
        <v/>
      </c>
      <c r="H6" s="3">
        <f>G6-LARGE($G$2:$G$266,Settings!$F$4)</f>
        <v/>
      </c>
      <c r="I6">
        <f>IF(INDEX('Player Data'!$R:$R,AL6)="","",INDEX('Player Data'!$R:$R,AL6))</f>
        <v/>
      </c>
      <c r="J6" s="4">
        <f>IF(I6="","",I6-A6)</f>
        <v/>
      </c>
      <c r="L6" s="5">
        <f>IF(Settings!$F$7="Yes",INDEX('Minutes &amp; Health'!$O:$O,AL6),Settings!$F$8)</f>
        <v/>
      </c>
      <c r="M6" s="6">
        <f>INDEX('Minutes &amp; Health'!$P:$P,AL6)</f>
        <v/>
      </c>
      <c r="N6" s="5">
        <f>INDEX('Player Data'!$F:$F,AL6)/INDEX('Player Data'!$E:$E,AL6)*M6*L6*AM6</f>
        <v/>
      </c>
      <c r="O6" s="5">
        <f>INDEX('Player Data'!$G:$G,AL6)/INDEX('Player Data'!$E:$E,AL6)*M6*L6*AM6</f>
        <v/>
      </c>
      <c r="P6" s="5">
        <f>INDEX('Player Data'!$H:$H,AL6)/INDEX('Player Data'!$E:$E,AL6)*M6*L6*AM6</f>
        <v/>
      </c>
      <c r="Q6" s="5">
        <f>INDEX('Player Data'!$I:$I,AL6)/INDEX('Player Data'!$E:$E,AL6)*M6*L6*AM6</f>
        <v/>
      </c>
      <c r="R6" s="5">
        <f>INDEX('Player Data'!$J:$J,AL6)/INDEX('Player Data'!$E:$E,AL6)*M6*L6*AM6</f>
        <v/>
      </c>
      <c r="S6" s="5">
        <f>INDEX('Player Data'!$K:$K,AL6)/INDEX('Player Data'!$E:$E,AL6)*M6*L6*AM6</f>
        <v/>
      </c>
      <c r="T6" s="5">
        <f>INDEX('Player Data'!$L:$L,AL6)/INDEX('Player Data'!$E:$E,AL6)*M6*L6*AM6</f>
        <v/>
      </c>
      <c r="U6" s="7">
        <f>INDEX('Player Data'!$M:$M,AL6)</f>
        <v/>
      </c>
      <c r="V6" s="7">
        <f>INDEX('Player Data'!$N:$N,AL6)</f>
        <v/>
      </c>
      <c r="W6" s="5">
        <f>X6*U6</f>
        <v/>
      </c>
      <c r="X6" s="5">
        <f>INDEX('Player Data'!$O:$O,AL6)/INDEX('Player Data'!$E:$E,AL6)*M6*L6*AM6</f>
        <v/>
      </c>
      <c r="Y6" s="5">
        <f>Z6*V6</f>
        <v/>
      </c>
      <c r="Z6" s="5">
        <f>INDEX('Player Data'!$P:$P,AL6)/INDEX('Player Data'!$E:$E,AL6)*M6*L6*AM6</f>
        <v/>
      </c>
      <c r="AB6" s="3">
        <f>(N6-Pool!$D$2)/Pool!$E$2</f>
        <v/>
      </c>
      <c r="AC6" s="3">
        <f>(O6-Pool!$D$3)/Pool!$E$3</f>
        <v/>
      </c>
      <c r="AD6" s="3">
        <f>(P6-Pool!$D$4)/Pool!$E$4</f>
        <v/>
      </c>
      <c r="AE6" s="3">
        <f>(Q6-Pool!$D$5)/Pool!$E$5</f>
        <v/>
      </c>
      <c r="AF6" s="3">
        <f>(R6-Pool!$D$6)/Pool!$E$6</f>
        <v/>
      </c>
      <c r="AG6" s="3">
        <f>(S6-Pool!$D$7)/Pool!$E$7</f>
        <v/>
      </c>
      <c r="AH6" s="3">
        <f>(AS6-Pool!$D$8)/Pool!$E$8</f>
        <v/>
      </c>
      <c r="AI6" s="3">
        <f>(AT6-Pool!$D$9)/Pool!$E$9</f>
        <v/>
      </c>
      <c r="AJ6" s="3">
        <f>-(T6-Pool!$D$10)/Pool!$E$10</f>
        <v/>
      </c>
      <c r="AL6">
        <f>MATCH(B6,'Player Data'!$A:$A,0)</f>
        <v/>
      </c>
      <c r="AM6" s="3">
        <f>1+IF(Settings!$F$10="ON",IFERROR(VLOOKUP(TRIM(F6),Settings!$D$12:$F$17,3,FALSE),0),0)</f>
        <v/>
      </c>
      <c r="AN6">
        <f>IFERROR(LEFT(C6,FIND(",",C6)-1),C6)</f>
        <v/>
      </c>
      <c r="AO6" s="6">
        <f>X6*(U6-Pool!$B$12)</f>
        <v/>
      </c>
      <c r="AP6" s="6">
        <f>Z6*(V6-Pool!$B$13)</f>
        <v/>
      </c>
      <c r="AQ6" s="3">
        <f>Settings!$B$2*(N6-Pool!$B$2)/Pool!$C$2+Settings!$B$3*(O6-Pool!$B$3)/Pool!$C$3+Settings!$B$4*(P6-Pool!$B$4)/Pool!$C$4+Settings!$B$5*(Q6-Pool!$B$5)/Pool!$C$5+Settings!$B$6*(R6-Pool!$B$6)/Pool!$C$6+Settings!$B$7*(S6-Pool!$B$7)/Pool!$C$7+Settings!$B$8*(AO6-Pool!$B$8)/Pool!$C$8+Settings!$B$9*(AP6-Pool!$B$9)/Pool!$C$9+Settings!$B$10*-(T6-Pool!$B$10)/Pool!$C$10</f>
        <v/>
      </c>
      <c r="AR6">
        <f>IF(RANK(AQ6,$AQ$2:$AQ$266)&lt;=Settings!$F$5,1,0)</f>
        <v/>
      </c>
      <c r="AS6" s="6">
        <f>X6*(U6-Pool!$D$12)</f>
        <v/>
      </c>
      <c r="AT6" s="6">
        <f>Z6*(V6-Pool!$D$13)</f>
        <v/>
      </c>
    </row>
    <row r="7">
      <c r="A7">
        <f>RANK(H7,$H$2:$H$266)</f>
        <v/>
      </c>
      <c r="B7" t="inlineStr">
        <is>
          <t>Donovan Mitchell</t>
        </is>
      </c>
      <c r="C7">
        <f>INDEX('Player Data'!$C:$C,AL7)</f>
        <v/>
      </c>
      <c r="D7">
        <f>SUMPRODUCT(($AN$2:$AN$266=AN7)*($H$2:$H$266&gt;H7))+1</f>
        <v/>
      </c>
      <c r="E7">
        <f>INDEX('Player Data'!$B:$B,AL7)</f>
        <v/>
      </c>
      <c r="F7" s="2" t="n"/>
      <c r="G7" s="3">
        <f>Settings!$B$2*AB7+Settings!$B$3*AC7+Settings!$B$4*AD7+Settings!$B$5*AE7+Settings!$B$6*AF7+Settings!$B$7*AG7+Settings!$B$8*AH7+Settings!$B$9*AI7+Settings!$B$10*AJ7</f>
        <v/>
      </c>
      <c r="H7" s="3">
        <f>G7-LARGE($G$2:$G$266,Settings!$F$4)</f>
        <v/>
      </c>
      <c r="I7">
        <f>IF(INDEX('Player Data'!$R:$R,AL7)="","",INDEX('Player Data'!$R:$R,AL7))</f>
        <v/>
      </c>
      <c r="J7" s="4">
        <f>IF(I7="","",I7-A7)</f>
        <v/>
      </c>
      <c r="L7" s="5">
        <f>IF(Settings!$F$7="Yes",INDEX('Minutes &amp; Health'!$O:$O,AL7),Settings!$F$8)</f>
        <v/>
      </c>
      <c r="M7" s="6">
        <f>INDEX('Minutes &amp; Health'!$P:$P,AL7)</f>
        <v/>
      </c>
      <c r="N7" s="5">
        <f>INDEX('Player Data'!$F:$F,AL7)/INDEX('Player Data'!$E:$E,AL7)*M7*L7*AM7</f>
        <v/>
      </c>
      <c r="O7" s="5">
        <f>INDEX('Player Data'!$G:$G,AL7)/INDEX('Player Data'!$E:$E,AL7)*M7*L7*AM7</f>
        <v/>
      </c>
      <c r="P7" s="5">
        <f>INDEX('Player Data'!$H:$H,AL7)/INDEX('Player Data'!$E:$E,AL7)*M7*L7*AM7</f>
        <v/>
      </c>
      <c r="Q7" s="5">
        <f>INDEX('Player Data'!$I:$I,AL7)/INDEX('Player Data'!$E:$E,AL7)*M7*L7*AM7</f>
        <v/>
      </c>
      <c r="R7" s="5">
        <f>INDEX('Player Data'!$J:$J,AL7)/INDEX('Player Data'!$E:$E,AL7)*M7*L7*AM7</f>
        <v/>
      </c>
      <c r="S7" s="5">
        <f>INDEX('Player Data'!$K:$K,AL7)/INDEX('Player Data'!$E:$E,AL7)*M7*L7*AM7</f>
        <v/>
      </c>
      <c r="T7" s="5">
        <f>INDEX('Player Data'!$L:$L,AL7)/INDEX('Player Data'!$E:$E,AL7)*M7*L7*AM7</f>
        <v/>
      </c>
      <c r="U7" s="7">
        <f>INDEX('Player Data'!$M:$M,AL7)</f>
        <v/>
      </c>
      <c r="V7" s="7">
        <f>INDEX('Player Data'!$N:$N,AL7)</f>
        <v/>
      </c>
      <c r="W7" s="5">
        <f>X7*U7</f>
        <v/>
      </c>
      <c r="X7" s="5">
        <f>INDEX('Player Data'!$O:$O,AL7)/INDEX('Player Data'!$E:$E,AL7)*M7*L7*AM7</f>
        <v/>
      </c>
      <c r="Y7" s="5">
        <f>Z7*V7</f>
        <v/>
      </c>
      <c r="Z7" s="5">
        <f>INDEX('Player Data'!$P:$P,AL7)/INDEX('Player Data'!$E:$E,AL7)*M7*L7*AM7</f>
        <v/>
      </c>
      <c r="AB7" s="3">
        <f>(N7-Pool!$D$2)/Pool!$E$2</f>
        <v/>
      </c>
      <c r="AC7" s="3">
        <f>(O7-Pool!$D$3)/Pool!$E$3</f>
        <v/>
      </c>
      <c r="AD7" s="3">
        <f>(P7-Pool!$D$4)/Pool!$E$4</f>
        <v/>
      </c>
      <c r="AE7" s="3">
        <f>(Q7-Pool!$D$5)/Pool!$E$5</f>
        <v/>
      </c>
      <c r="AF7" s="3">
        <f>(R7-Pool!$D$6)/Pool!$E$6</f>
        <v/>
      </c>
      <c r="AG7" s="3">
        <f>(S7-Pool!$D$7)/Pool!$E$7</f>
        <v/>
      </c>
      <c r="AH7" s="3">
        <f>(AS7-Pool!$D$8)/Pool!$E$8</f>
        <v/>
      </c>
      <c r="AI7" s="3">
        <f>(AT7-Pool!$D$9)/Pool!$E$9</f>
        <v/>
      </c>
      <c r="AJ7" s="3">
        <f>-(T7-Pool!$D$10)/Pool!$E$10</f>
        <v/>
      </c>
      <c r="AL7">
        <f>MATCH(B7,'Player Data'!$A:$A,0)</f>
        <v/>
      </c>
      <c r="AM7" s="3">
        <f>1+IF(Settings!$F$10="ON",IFERROR(VLOOKUP(TRIM(F7),Settings!$D$12:$F$17,3,FALSE),0),0)</f>
        <v/>
      </c>
      <c r="AN7">
        <f>IFERROR(LEFT(C7,FIND(",",C7)-1),C7)</f>
        <v/>
      </c>
      <c r="AO7" s="6">
        <f>X7*(U7-Pool!$B$12)</f>
        <v/>
      </c>
      <c r="AP7" s="6">
        <f>Z7*(V7-Pool!$B$13)</f>
        <v/>
      </c>
      <c r="AQ7" s="3">
        <f>Settings!$B$2*(N7-Pool!$B$2)/Pool!$C$2+Settings!$B$3*(O7-Pool!$B$3)/Pool!$C$3+Settings!$B$4*(P7-Pool!$B$4)/Pool!$C$4+Settings!$B$5*(Q7-Pool!$B$5)/Pool!$C$5+Settings!$B$6*(R7-Pool!$B$6)/Pool!$C$6+Settings!$B$7*(S7-Pool!$B$7)/Pool!$C$7+Settings!$B$8*(AO7-Pool!$B$8)/Pool!$C$8+Settings!$B$9*(AP7-Pool!$B$9)/Pool!$C$9+Settings!$B$10*-(T7-Pool!$B$10)/Pool!$C$10</f>
        <v/>
      </c>
      <c r="AR7">
        <f>IF(RANK(AQ7,$AQ$2:$AQ$266)&lt;=Settings!$F$5,1,0)</f>
        <v/>
      </c>
      <c r="AS7" s="6">
        <f>X7*(U7-Pool!$D$12)</f>
        <v/>
      </c>
      <c r="AT7" s="6">
        <f>Z7*(V7-Pool!$D$13)</f>
        <v/>
      </c>
    </row>
    <row r="8">
      <c r="A8">
        <f>RANK(H8,$H$2:$H$266)</f>
        <v/>
      </c>
      <c r="B8" t="inlineStr">
        <is>
          <t>Stephen Curry</t>
        </is>
      </c>
      <c r="C8">
        <f>INDEX('Player Data'!$C:$C,AL8)</f>
        <v/>
      </c>
      <c r="D8">
        <f>SUMPRODUCT(($AN$2:$AN$266=AN8)*($H$2:$H$266&gt;H8))+1</f>
        <v/>
      </c>
      <c r="E8">
        <f>INDEX('Player Data'!$B:$B,AL8)</f>
        <v/>
      </c>
      <c r="F8" s="2" t="n"/>
      <c r="G8" s="3">
        <f>Settings!$B$2*AB8+Settings!$B$3*AC8+Settings!$B$4*AD8+Settings!$B$5*AE8+Settings!$B$6*AF8+Settings!$B$7*AG8+Settings!$B$8*AH8+Settings!$B$9*AI8+Settings!$B$10*AJ8</f>
        <v/>
      </c>
      <c r="H8" s="3">
        <f>G8-LARGE($G$2:$G$266,Settings!$F$4)</f>
        <v/>
      </c>
      <c r="I8">
        <f>IF(INDEX('Player Data'!$R:$R,AL8)="","",INDEX('Player Data'!$R:$R,AL8))</f>
        <v/>
      </c>
      <c r="J8" s="4">
        <f>IF(I8="","",I8-A8)</f>
        <v/>
      </c>
      <c r="L8" s="5">
        <f>IF(Settings!$F$7="Yes",INDEX('Minutes &amp; Health'!$O:$O,AL8),Settings!$F$8)</f>
        <v/>
      </c>
      <c r="M8" s="6">
        <f>INDEX('Minutes &amp; Health'!$P:$P,AL8)</f>
        <v/>
      </c>
      <c r="N8" s="5">
        <f>INDEX('Player Data'!$F:$F,AL8)/INDEX('Player Data'!$E:$E,AL8)*M8*L8*AM8</f>
        <v/>
      </c>
      <c r="O8" s="5">
        <f>INDEX('Player Data'!$G:$G,AL8)/INDEX('Player Data'!$E:$E,AL8)*M8*L8*AM8</f>
        <v/>
      </c>
      <c r="P8" s="5">
        <f>INDEX('Player Data'!$H:$H,AL8)/INDEX('Player Data'!$E:$E,AL8)*M8*L8*AM8</f>
        <v/>
      </c>
      <c r="Q8" s="5">
        <f>INDEX('Player Data'!$I:$I,AL8)/INDEX('Player Data'!$E:$E,AL8)*M8*L8*AM8</f>
        <v/>
      </c>
      <c r="R8" s="5">
        <f>INDEX('Player Data'!$J:$J,AL8)/INDEX('Player Data'!$E:$E,AL8)*M8*L8*AM8</f>
        <v/>
      </c>
      <c r="S8" s="5">
        <f>INDEX('Player Data'!$K:$K,AL8)/INDEX('Player Data'!$E:$E,AL8)*M8*L8*AM8</f>
        <v/>
      </c>
      <c r="T8" s="5">
        <f>INDEX('Player Data'!$L:$L,AL8)/INDEX('Player Data'!$E:$E,AL8)*M8*L8*AM8</f>
        <v/>
      </c>
      <c r="U8" s="7">
        <f>INDEX('Player Data'!$M:$M,AL8)</f>
        <v/>
      </c>
      <c r="V8" s="7">
        <f>INDEX('Player Data'!$N:$N,AL8)</f>
        <v/>
      </c>
      <c r="W8" s="5">
        <f>X8*U8</f>
        <v/>
      </c>
      <c r="X8" s="5">
        <f>INDEX('Player Data'!$O:$O,AL8)/INDEX('Player Data'!$E:$E,AL8)*M8*L8*AM8</f>
        <v/>
      </c>
      <c r="Y8" s="5">
        <f>Z8*V8</f>
        <v/>
      </c>
      <c r="Z8" s="5">
        <f>INDEX('Player Data'!$P:$P,AL8)/INDEX('Player Data'!$E:$E,AL8)*M8*L8*AM8</f>
        <v/>
      </c>
      <c r="AB8" s="3">
        <f>(N8-Pool!$D$2)/Pool!$E$2</f>
        <v/>
      </c>
      <c r="AC8" s="3">
        <f>(O8-Pool!$D$3)/Pool!$E$3</f>
        <v/>
      </c>
      <c r="AD8" s="3">
        <f>(P8-Pool!$D$4)/Pool!$E$4</f>
        <v/>
      </c>
      <c r="AE8" s="3">
        <f>(Q8-Pool!$D$5)/Pool!$E$5</f>
        <v/>
      </c>
      <c r="AF8" s="3">
        <f>(R8-Pool!$D$6)/Pool!$E$6</f>
        <v/>
      </c>
      <c r="AG8" s="3">
        <f>(S8-Pool!$D$7)/Pool!$E$7</f>
        <v/>
      </c>
      <c r="AH8" s="3">
        <f>(AS8-Pool!$D$8)/Pool!$E$8</f>
        <v/>
      </c>
      <c r="AI8" s="3">
        <f>(AT8-Pool!$D$9)/Pool!$E$9</f>
        <v/>
      </c>
      <c r="AJ8" s="3">
        <f>-(T8-Pool!$D$10)/Pool!$E$10</f>
        <v/>
      </c>
      <c r="AL8">
        <f>MATCH(B8,'Player Data'!$A:$A,0)</f>
        <v/>
      </c>
      <c r="AM8" s="3">
        <f>1+IF(Settings!$F$10="ON",IFERROR(VLOOKUP(TRIM(F8),Settings!$D$12:$F$17,3,FALSE),0),0)</f>
        <v/>
      </c>
      <c r="AN8">
        <f>IFERROR(LEFT(C8,FIND(",",C8)-1),C8)</f>
        <v/>
      </c>
      <c r="AO8" s="6">
        <f>X8*(U8-Pool!$B$12)</f>
        <v/>
      </c>
      <c r="AP8" s="6">
        <f>Z8*(V8-Pool!$B$13)</f>
        <v/>
      </c>
      <c r="AQ8" s="3">
        <f>Settings!$B$2*(N8-Pool!$B$2)/Pool!$C$2+Settings!$B$3*(O8-Pool!$B$3)/Pool!$C$3+Settings!$B$4*(P8-Pool!$B$4)/Pool!$C$4+Settings!$B$5*(Q8-Pool!$B$5)/Pool!$C$5+Settings!$B$6*(R8-Pool!$B$6)/Pool!$C$6+Settings!$B$7*(S8-Pool!$B$7)/Pool!$C$7+Settings!$B$8*(AO8-Pool!$B$8)/Pool!$C$8+Settings!$B$9*(AP8-Pool!$B$9)/Pool!$C$9+Settings!$B$10*-(T8-Pool!$B$10)/Pool!$C$10</f>
        <v/>
      </c>
      <c r="AR8">
        <f>IF(RANK(AQ8,$AQ$2:$AQ$266)&lt;=Settings!$F$5,1,0)</f>
        <v/>
      </c>
      <c r="AS8" s="6">
        <f>X8*(U8-Pool!$D$12)</f>
        <v/>
      </c>
      <c r="AT8" s="6">
        <f>Z8*(V8-Pool!$D$13)</f>
        <v/>
      </c>
    </row>
    <row r="9">
      <c r="A9">
        <f>RANK(H9,$H$2:$H$266)</f>
        <v/>
      </c>
      <c r="B9" t="inlineStr">
        <is>
          <t>Anthony Edwards</t>
        </is>
      </c>
      <c r="C9">
        <f>INDEX('Player Data'!$C:$C,AL9)</f>
        <v/>
      </c>
      <c r="D9">
        <f>SUMPRODUCT(($AN$2:$AN$266=AN9)*($H$2:$H$266&gt;H9))+1</f>
        <v/>
      </c>
      <c r="E9">
        <f>INDEX('Player Data'!$B:$B,AL9)</f>
        <v/>
      </c>
      <c r="F9" s="2" t="n"/>
      <c r="G9" s="3">
        <f>Settings!$B$2*AB9+Settings!$B$3*AC9+Settings!$B$4*AD9+Settings!$B$5*AE9+Settings!$B$6*AF9+Settings!$B$7*AG9+Settings!$B$8*AH9+Settings!$B$9*AI9+Settings!$B$10*AJ9</f>
        <v/>
      </c>
      <c r="H9" s="3">
        <f>G9-LARGE($G$2:$G$266,Settings!$F$4)</f>
        <v/>
      </c>
      <c r="I9">
        <f>IF(INDEX('Player Data'!$R:$R,AL9)="","",INDEX('Player Data'!$R:$R,AL9))</f>
        <v/>
      </c>
      <c r="J9" s="4">
        <f>IF(I9="","",I9-A9)</f>
        <v/>
      </c>
      <c r="L9" s="5">
        <f>IF(Settings!$F$7="Yes",INDEX('Minutes &amp; Health'!$O:$O,AL9),Settings!$F$8)</f>
        <v/>
      </c>
      <c r="M9" s="6">
        <f>INDEX('Minutes &amp; Health'!$P:$P,AL9)</f>
        <v/>
      </c>
      <c r="N9" s="5">
        <f>INDEX('Player Data'!$F:$F,AL9)/INDEX('Player Data'!$E:$E,AL9)*M9*L9*AM9</f>
        <v/>
      </c>
      <c r="O9" s="5">
        <f>INDEX('Player Data'!$G:$G,AL9)/INDEX('Player Data'!$E:$E,AL9)*M9*L9*AM9</f>
        <v/>
      </c>
      <c r="P9" s="5">
        <f>INDEX('Player Data'!$H:$H,AL9)/INDEX('Player Data'!$E:$E,AL9)*M9*L9*AM9</f>
        <v/>
      </c>
      <c r="Q9" s="5">
        <f>INDEX('Player Data'!$I:$I,AL9)/INDEX('Player Data'!$E:$E,AL9)*M9*L9*AM9</f>
        <v/>
      </c>
      <c r="R9" s="5">
        <f>INDEX('Player Data'!$J:$J,AL9)/INDEX('Player Data'!$E:$E,AL9)*M9*L9*AM9</f>
        <v/>
      </c>
      <c r="S9" s="5">
        <f>INDEX('Player Data'!$K:$K,AL9)/INDEX('Player Data'!$E:$E,AL9)*M9*L9*AM9</f>
        <v/>
      </c>
      <c r="T9" s="5">
        <f>INDEX('Player Data'!$L:$L,AL9)/INDEX('Player Data'!$E:$E,AL9)*M9*L9*AM9</f>
        <v/>
      </c>
      <c r="U9" s="7">
        <f>INDEX('Player Data'!$M:$M,AL9)</f>
        <v/>
      </c>
      <c r="V9" s="7">
        <f>INDEX('Player Data'!$N:$N,AL9)</f>
        <v/>
      </c>
      <c r="W9" s="5">
        <f>X9*U9</f>
        <v/>
      </c>
      <c r="X9" s="5">
        <f>INDEX('Player Data'!$O:$O,AL9)/INDEX('Player Data'!$E:$E,AL9)*M9*L9*AM9</f>
        <v/>
      </c>
      <c r="Y9" s="5">
        <f>Z9*V9</f>
        <v/>
      </c>
      <c r="Z9" s="5">
        <f>INDEX('Player Data'!$P:$P,AL9)/INDEX('Player Data'!$E:$E,AL9)*M9*L9*AM9</f>
        <v/>
      </c>
      <c r="AB9" s="3">
        <f>(N9-Pool!$D$2)/Pool!$E$2</f>
        <v/>
      </c>
      <c r="AC9" s="3">
        <f>(O9-Pool!$D$3)/Pool!$E$3</f>
        <v/>
      </c>
      <c r="AD9" s="3">
        <f>(P9-Pool!$D$4)/Pool!$E$4</f>
        <v/>
      </c>
      <c r="AE9" s="3">
        <f>(Q9-Pool!$D$5)/Pool!$E$5</f>
        <v/>
      </c>
      <c r="AF9" s="3">
        <f>(R9-Pool!$D$6)/Pool!$E$6</f>
        <v/>
      </c>
      <c r="AG9" s="3">
        <f>(S9-Pool!$D$7)/Pool!$E$7</f>
        <v/>
      </c>
      <c r="AH9" s="3">
        <f>(AS9-Pool!$D$8)/Pool!$E$8</f>
        <v/>
      </c>
      <c r="AI9" s="3">
        <f>(AT9-Pool!$D$9)/Pool!$E$9</f>
        <v/>
      </c>
      <c r="AJ9" s="3">
        <f>-(T9-Pool!$D$10)/Pool!$E$10</f>
        <v/>
      </c>
      <c r="AL9">
        <f>MATCH(B9,'Player Data'!$A:$A,0)</f>
        <v/>
      </c>
      <c r="AM9" s="3">
        <f>1+IF(Settings!$F$10="ON",IFERROR(VLOOKUP(TRIM(F9),Settings!$D$12:$F$17,3,FALSE),0),0)</f>
        <v/>
      </c>
      <c r="AN9">
        <f>IFERROR(LEFT(C9,FIND(",",C9)-1),C9)</f>
        <v/>
      </c>
      <c r="AO9" s="6">
        <f>X9*(U9-Pool!$B$12)</f>
        <v/>
      </c>
      <c r="AP9" s="6">
        <f>Z9*(V9-Pool!$B$13)</f>
        <v/>
      </c>
      <c r="AQ9" s="3">
        <f>Settings!$B$2*(N9-Pool!$B$2)/Pool!$C$2+Settings!$B$3*(O9-Pool!$B$3)/Pool!$C$3+Settings!$B$4*(P9-Pool!$B$4)/Pool!$C$4+Settings!$B$5*(Q9-Pool!$B$5)/Pool!$C$5+Settings!$B$6*(R9-Pool!$B$6)/Pool!$C$6+Settings!$B$7*(S9-Pool!$B$7)/Pool!$C$7+Settings!$B$8*(AO9-Pool!$B$8)/Pool!$C$8+Settings!$B$9*(AP9-Pool!$B$9)/Pool!$C$9+Settings!$B$10*-(T9-Pool!$B$10)/Pool!$C$10</f>
        <v/>
      </c>
      <c r="AR9">
        <f>IF(RANK(AQ9,$AQ$2:$AQ$266)&lt;=Settings!$F$5,1,0)</f>
        <v/>
      </c>
      <c r="AS9" s="6">
        <f>X9*(U9-Pool!$D$12)</f>
        <v/>
      </c>
      <c r="AT9" s="6">
        <f>Z9*(V9-Pool!$D$13)</f>
        <v/>
      </c>
    </row>
    <row r="10">
      <c r="A10">
        <f>RANK(H10,$H$2:$H$266)</f>
        <v/>
      </c>
      <c r="B10" t="inlineStr">
        <is>
          <t>Tyrese Haliburton</t>
        </is>
      </c>
      <c r="C10">
        <f>INDEX('Player Data'!$C:$C,AL10)</f>
        <v/>
      </c>
      <c r="D10">
        <f>SUMPRODUCT(($AN$2:$AN$266=AN10)*($H$2:$H$266&gt;H10))+1</f>
        <v/>
      </c>
      <c r="E10">
        <f>INDEX('Player Data'!$B:$B,AL10)</f>
        <v/>
      </c>
      <c r="F10" s="2" t="n"/>
      <c r="G10" s="3">
        <f>Settings!$B$2*AB10+Settings!$B$3*AC10+Settings!$B$4*AD10+Settings!$B$5*AE10+Settings!$B$6*AF10+Settings!$B$7*AG10+Settings!$B$8*AH10+Settings!$B$9*AI10+Settings!$B$10*AJ10</f>
        <v/>
      </c>
      <c r="H10" s="3">
        <f>G10-LARGE($G$2:$G$266,Settings!$F$4)</f>
        <v/>
      </c>
      <c r="I10">
        <f>IF(INDEX('Player Data'!$R:$R,AL10)="","",INDEX('Player Data'!$R:$R,AL10))</f>
        <v/>
      </c>
      <c r="J10" s="4">
        <f>IF(I10="","",I10-A10)</f>
        <v/>
      </c>
      <c r="L10" s="5">
        <f>IF(Settings!$F$7="Yes",INDEX('Minutes &amp; Health'!$O:$O,AL10),Settings!$F$8)</f>
        <v/>
      </c>
      <c r="M10" s="6">
        <f>INDEX('Minutes &amp; Health'!$P:$P,AL10)</f>
        <v/>
      </c>
      <c r="N10" s="5">
        <f>INDEX('Player Data'!$F:$F,AL10)/INDEX('Player Data'!$E:$E,AL10)*M10*L10*AM10</f>
        <v/>
      </c>
      <c r="O10" s="5">
        <f>INDEX('Player Data'!$G:$G,AL10)/INDEX('Player Data'!$E:$E,AL10)*M10*L10*AM10</f>
        <v/>
      </c>
      <c r="P10" s="5">
        <f>INDEX('Player Data'!$H:$H,AL10)/INDEX('Player Data'!$E:$E,AL10)*M10*L10*AM10</f>
        <v/>
      </c>
      <c r="Q10" s="5">
        <f>INDEX('Player Data'!$I:$I,AL10)/INDEX('Player Data'!$E:$E,AL10)*M10*L10*AM10</f>
        <v/>
      </c>
      <c r="R10" s="5">
        <f>INDEX('Player Data'!$J:$J,AL10)/INDEX('Player Data'!$E:$E,AL10)*M10*L10*AM10</f>
        <v/>
      </c>
      <c r="S10" s="5">
        <f>INDEX('Player Data'!$K:$K,AL10)/INDEX('Player Data'!$E:$E,AL10)*M10*L10*AM10</f>
        <v/>
      </c>
      <c r="T10" s="5">
        <f>INDEX('Player Data'!$L:$L,AL10)/INDEX('Player Data'!$E:$E,AL10)*M10*L10*AM10</f>
        <v/>
      </c>
      <c r="U10" s="7">
        <f>INDEX('Player Data'!$M:$M,AL10)</f>
        <v/>
      </c>
      <c r="V10" s="7">
        <f>INDEX('Player Data'!$N:$N,AL10)</f>
        <v/>
      </c>
      <c r="W10" s="5">
        <f>X10*U10</f>
        <v/>
      </c>
      <c r="X10" s="5">
        <f>INDEX('Player Data'!$O:$O,AL10)/INDEX('Player Data'!$E:$E,AL10)*M10*L10*AM10</f>
        <v/>
      </c>
      <c r="Y10" s="5">
        <f>Z10*V10</f>
        <v/>
      </c>
      <c r="Z10" s="5">
        <f>INDEX('Player Data'!$P:$P,AL10)/INDEX('Player Data'!$E:$E,AL10)*M10*L10*AM10</f>
        <v/>
      </c>
      <c r="AB10" s="3">
        <f>(N10-Pool!$D$2)/Pool!$E$2</f>
        <v/>
      </c>
      <c r="AC10" s="3">
        <f>(O10-Pool!$D$3)/Pool!$E$3</f>
        <v/>
      </c>
      <c r="AD10" s="3">
        <f>(P10-Pool!$D$4)/Pool!$E$4</f>
        <v/>
      </c>
      <c r="AE10" s="3">
        <f>(Q10-Pool!$D$5)/Pool!$E$5</f>
        <v/>
      </c>
      <c r="AF10" s="3">
        <f>(R10-Pool!$D$6)/Pool!$E$6</f>
        <v/>
      </c>
      <c r="AG10" s="3">
        <f>(S10-Pool!$D$7)/Pool!$E$7</f>
        <v/>
      </c>
      <c r="AH10" s="3">
        <f>(AS10-Pool!$D$8)/Pool!$E$8</f>
        <v/>
      </c>
      <c r="AI10" s="3">
        <f>(AT10-Pool!$D$9)/Pool!$E$9</f>
        <v/>
      </c>
      <c r="AJ10" s="3">
        <f>-(T10-Pool!$D$10)/Pool!$E$10</f>
        <v/>
      </c>
      <c r="AL10">
        <f>MATCH(B10,'Player Data'!$A:$A,0)</f>
        <v/>
      </c>
      <c r="AM10" s="3">
        <f>1+IF(Settings!$F$10="ON",IFERROR(VLOOKUP(TRIM(F10),Settings!$D$12:$F$17,3,FALSE),0),0)</f>
        <v/>
      </c>
      <c r="AN10">
        <f>IFERROR(LEFT(C10,FIND(",",C10)-1),C10)</f>
        <v/>
      </c>
      <c r="AO10" s="6">
        <f>X10*(U10-Pool!$B$12)</f>
        <v/>
      </c>
      <c r="AP10" s="6">
        <f>Z10*(V10-Pool!$B$13)</f>
        <v/>
      </c>
      <c r="AQ10" s="3">
        <f>Settings!$B$2*(N10-Pool!$B$2)/Pool!$C$2+Settings!$B$3*(O10-Pool!$B$3)/Pool!$C$3+Settings!$B$4*(P10-Pool!$B$4)/Pool!$C$4+Settings!$B$5*(Q10-Pool!$B$5)/Pool!$C$5+Settings!$B$6*(R10-Pool!$B$6)/Pool!$C$6+Settings!$B$7*(S10-Pool!$B$7)/Pool!$C$7+Settings!$B$8*(AO10-Pool!$B$8)/Pool!$C$8+Settings!$B$9*(AP10-Pool!$B$9)/Pool!$C$9+Settings!$B$10*-(T10-Pool!$B$10)/Pool!$C$10</f>
        <v/>
      </c>
      <c r="AR10">
        <f>IF(RANK(AQ10,$AQ$2:$AQ$266)&lt;=Settings!$F$5,1,0)</f>
        <v/>
      </c>
      <c r="AS10" s="6">
        <f>X10*(U10-Pool!$D$12)</f>
        <v/>
      </c>
      <c r="AT10" s="6">
        <f>Z10*(V10-Pool!$D$13)</f>
        <v/>
      </c>
    </row>
    <row r="11">
      <c r="A11">
        <f>RANK(H11,$H$2:$H$266)</f>
        <v/>
      </c>
      <c r="B11" t="inlineStr">
        <is>
          <t>Karl-Anthony Towns</t>
        </is>
      </c>
      <c r="C11">
        <f>INDEX('Player Data'!$C:$C,AL11)</f>
        <v/>
      </c>
      <c r="D11">
        <f>SUMPRODUCT(($AN$2:$AN$266=AN11)*($H$2:$H$266&gt;H11))+1</f>
        <v/>
      </c>
      <c r="E11">
        <f>INDEX('Player Data'!$B:$B,AL11)</f>
        <v/>
      </c>
      <c r="F11" s="2" t="n"/>
      <c r="G11" s="3">
        <f>Settings!$B$2*AB11+Settings!$B$3*AC11+Settings!$B$4*AD11+Settings!$B$5*AE11+Settings!$B$6*AF11+Settings!$B$7*AG11+Settings!$B$8*AH11+Settings!$B$9*AI11+Settings!$B$10*AJ11</f>
        <v/>
      </c>
      <c r="H11" s="3">
        <f>G11-LARGE($G$2:$G$266,Settings!$F$4)</f>
        <v/>
      </c>
      <c r="I11">
        <f>IF(INDEX('Player Data'!$R:$R,AL11)="","",INDEX('Player Data'!$R:$R,AL11))</f>
        <v/>
      </c>
      <c r="J11" s="4">
        <f>IF(I11="","",I11-A11)</f>
        <v/>
      </c>
      <c r="L11" s="5">
        <f>IF(Settings!$F$7="Yes",INDEX('Minutes &amp; Health'!$O:$O,AL11),Settings!$F$8)</f>
        <v/>
      </c>
      <c r="M11" s="6">
        <f>INDEX('Minutes &amp; Health'!$P:$P,AL11)</f>
        <v/>
      </c>
      <c r="N11" s="5">
        <f>INDEX('Player Data'!$F:$F,AL11)/INDEX('Player Data'!$E:$E,AL11)*M11*L11*AM11</f>
        <v/>
      </c>
      <c r="O11" s="5">
        <f>INDEX('Player Data'!$G:$G,AL11)/INDEX('Player Data'!$E:$E,AL11)*M11*L11*AM11</f>
        <v/>
      </c>
      <c r="P11" s="5">
        <f>INDEX('Player Data'!$H:$H,AL11)/INDEX('Player Data'!$E:$E,AL11)*M11*L11*AM11</f>
        <v/>
      </c>
      <c r="Q11" s="5">
        <f>INDEX('Player Data'!$I:$I,AL11)/INDEX('Player Data'!$E:$E,AL11)*M11*L11*AM11</f>
        <v/>
      </c>
      <c r="R11" s="5">
        <f>INDEX('Player Data'!$J:$J,AL11)/INDEX('Player Data'!$E:$E,AL11)*M11*L11*AM11</f>
        <v/>
      </c>
      <c r="S11" s="5">
        <f>INDEX('Player Data'!$K:$K,AL11)/INDEX('Player Data'!$E:$E,AL11)*M11*L11*AM11</f>
        <v/>
      </c>
      <c r="T11" s="5">
        <f>INDEX('Player Data'!$L:$L,AL11)/INDEX('Player Data'!$E:$E,AL11)*M11*L11*AM11</f>
        <v/>
      </c>
      <c r="U11" s="7">
        <f>INDEX('Player Data'!$M:$M,AL11)</f>
        <v/>
      </c>
      <c r="V11" s="7">
        <f>INDEX('Player Data'!$N:$N,AL11)</f>
        <v/>
      </c>
      <c r="W11" s="5">
        <f>X11*U11</f>
        <v/>
      </c>
      <c r="X11" s="5">
        <f>INDEX('Player Data'!$O:$O,AL11)/INDEX('Player Data'!$E:$E,AL11)*M11*L11*AM11</f>
        <v/>
      </c>
      <c r="Y11" s="5">
        <f>Z11*V11</f>
        <v/>
      </c>
      <c r="Z11" s="5">
        <f>INDEX('Player Data'!$P:$P,AL11)/INDEX('Player Data'!$E:$E,AL11)*M11*L11*AM11</f>
        <v/>
      </c>
      <c r="AB11" s="3">
        <f>(N11-Pool!$D$2)/Pool!$E$2</f>
        <v/>
      </c>
      <c r="AC11" s="3">
        <f>(O11-Pool!$D$3)/Pool!$E$3</f>
        <v/>
      </c>
      <c r="AD11" s="3">
        <f>(P11-Pool!$D$4)/Pool!$E$4</f>
        <v/>
      </c>
      <c r="AE11" s="3">
        <f>(Q11-Pool!$D$5)/Pool!$E$5</f>
        <v/>
      </c>
      <c r="AF11" s="3">
        <f>(R11-Pool!$D$6)/Pool!$E$6</f>
        <v/>
      </c>
      <c r="AG11" s="3">
        <f>(S11-Pool!$D$7)/Pool!$E$7</f>
        <v/>
      </c>
      <c r="AH11" s="3">
        <f>(AS11-Pool!$D$8)/Pool!$E$8</f>
        <v/>
      </c>
      <c r="AI11" s="3">
        <f>(AT11-Pool!$D$9)/Pool!$E$9</f>
        <v/>
      </c>
      <c r="AJ11" s="3">
        <f>-(T11-Pool!$D$10)/Pool!$E$10</f>
        <v/>
      </c>
      <c r="AL11">
        <f>MATCH(B11,'Player Data'!$A:$A,0)</f>
        <v/>
      </c>
      <c r="AM11" s="3">
        <f>1+IF(Settings!$F$10="ON",IFERROR(VLOOKUP(TRIM(F11),Settings!$D$12:$F$17,3,FALSE),0),0)</f>
        <v/>
      </c>
      <c r="AN11">
        <f>IFERROR(LEFT(C11,FIND(",",C11)-1),C11)</f>
        <v/>
      </c>
      <c r="AO11" s="6">
        <f>X11*(U11-Pool!$B$12)</f>
        <v/>
      </c>
      <c r="AP11" s="6">
        <f>Z11*(V11-Pool!$B$13)</f>
        <v/>
      </c>
      <c r="AQ11" s="3">
        <f>Settings!$B$2*(N11-Pool!$B$2)/Pool!$C$2+Settings!$B$3*(O11-Pool!$B$3)/Pool!$C$3+Settings!$B$4*(P11-Pool!$B$4)/Pool!$C$4+Settings!$B$5*(Q11-Pool!$B$5)/Pool!$C$5+Settings!$B$6*(R11-Pool!$B$6)/Pool!$C$6+Settings!$B$7*(S11-Pool!$B$7)/Pool!$C$7+Settings!$B$8*(AO11-Pool!$B$8)/Pool!$C$8+Settings!$B$9*(AP11-Pool!$B$9)/Pool!$C$9+Settings!$B$10*-(T11-Pool!$B$10)/Pool!$C$10</f>
        <v/>
      </c>
      <c r="AR11">
        <f>IF(RANK(AQ11,$AQ$2:$AQ$266)&lt;=Settings!$F$5,1,0)</f>
        <v/>
      </c>
      <c r="AS11" s="6">
        <f>X11*(U11-Pool!$D$12)</f>
        <v/>
      </c>
      <c r="AT11" s="6">
        <f>Z11*(V11-Pool!$D$13)</f>
        <v/>
      </c>
    </row>
    <row r="12">
      <c r="A12">
        <f>RANK(H12,$H$2:$H$266)</f>
        <v/>
      </c>
      <c r="B12" t="inlineStr">
        <is>
          <t>Jayson Tatum</t>
        </is>
      </c>
      <c r="C12">
        <f>INDEX('Player Data'!$C:$C,AL12)</f>
        <v/>
      </c>
      <c r="D12">
        <f>SUMPRODUCT(($AN$2:$AN$266=AN12)*($H$2:$H$266&gt;H12))+1</f>
        <v/>
      </c>
      <c r="E12">
        <f>INDEX('Player Data'!$B:$B,AL12)</f>
        <v/>
      </c>
      <c r="F12" s="2" t="n"/>
      <c r="G12" s="3">
        <f>Settings!$B$2*AB12+Settings!$B$3*AC12+Settings!$B$4*AD12+Settings!$B$5*AE12+Settings!$B$6*AF12+Settings!$B$7*AG12+Settings!$B$8*AH12+Settings!$B$9*AI12+Settings!$B$10*AJ12</f>
        <v/>
      </c>
      <c r="H12" s="3">
        <f>G12-LARGE($G$2:$G$266,Settings!$F$4)</f>
        <v/>
      </c>
      <c r="I12">
        <f>IF(INDEX('Player Data'!$R:$R,AL12)="","",INDEX('Player Data'!$R:$R,AL12))</f>
        <v/>
      </c>
      <c r="J12" s="4">
        <f>IF(I12="","",I12-A12)</f>
        <v/>
      </c>
      <c r="L12" s="5">
        <f>IF(Settings!$F$7="Yes",INDEX('Minutes &amp; Health'!$O:$O,AL12),Settings!$F$8)</f>
        <v/>
      </c>
      <c r="M12" s="6">
        <f>INDEX('Minutes &amp; Health'!$P:$P,AL12)</f>
        <v/>
      </c>
      <c r="N12" s="5">
        <f>INDEX('Player Data'!$F:$F,AL12)/INDEX('Player Data'!$E:$E,AL12)*M12*L12*AM12</f>
        <v/>
      </c>
      <c r="O12" s="5">
        <f>INDEX('Player Data'!$G:$G,AL12)/INDEX('Player Data'!$E:$E,AL12)*M12*L12*AM12</f>
        <v/>
      </c>
      <c r="P12" s="5">
        <f>INDEX('Player Data'!$H:$H,AL12)/INDEX('Player Data'!$E:$E,AL12)*M12*L12*AM12</f>
        <v/>
      </c>
      <c r="Q12" s="5">
        <f>INDEX('Player Data'!$I:$I,AL12)/INDEX('Player Data'!$E:$E,AL12)*M12*L12*AM12</f>
        <v/>
      </c>
      <c r="R12" s="5">
        <f>INDEX('Player Data'!$J:$J,AL12)/INDEX('Player Data'!$E:$E,AL12)*M12*L12*AM12</f>
        <v/>
      </c>
      <c r="S12" s="5">
        <f>INDEX('Player Data'!$K:$K,AL12)/INDEX('Player Data'!$E:$E,AL12)*M12*L12*AM12</f>
        <v/>
      </c>
      <c r="T12" s="5">
        <f>INDEX('Player Data'!$L:$L,AL12)/INDEX('Player Data'!$E:$E,AL12)*M12*L12*AM12</f>
        <v/>
      </c>
      <c r="U12" s="7">
        <f>INDEX('Player Data'!$M:$M,AL12)</f>
        <v/>
      </c>
      <c r="V12" s="7">
        <f>INDEX('Player Data'!$N:$N,AL12)</f>
        <v/>
      </c>
      <c r="W12" s="5">
        <f>X12*U12</f>
        <v/>
      </c>
      <c r="X12" s="5">
        <f>INDEX('Player Data'!$O:$O,AL12)/INDEX('Player Data'!$E:$E,AL12)*M12*L12*AM12</f>
        <v/>
      </c>
      <c r="Y12" s="5">
        <f>Z12*V12</f>
        <v/>
      </c>
      <c r="Z12" s="5">
        <f>INDEX('Player Data'!$P:$P,AL12)/INDEX('Player Data'!$E:$E,AL12)*M12*L12*AM12</f>
        <v/>
      </c>
      <c r="AB12" s="3">
        <f>(N12-Pool!$D$2)/Pool!$E$2</f>
        <v/>
      </c>
      <c r="AC12" s="3">
        <f>(O12-Pool!$D$3)/Pool!$E$3</f>
        <v/>
      </c>
      <c r="AD12" s="3">
        <f>(P12-Pool!$D$4)/Pool!$E$4</f>
        <v/>
      </c>
      <c r="AE12" s="3">
        <f>(Q12-Pool!$D$5)/Pool!$E$5</f>
        <v/>
      </c>
      <c r="AF12" s="3">
        <f>(R12-Pool!$D$6)/Pool!$E$6</f>
        <v/>
      </c>
      <c r="AG12" s="3">
        <f>(S12-Pool!$D$7)/Pool!$E$7</f>
        <v/>
      </c>
      <c r="AH12" s="3">
        <f>(AS12-Pool!$D$8)/Pool!$E$8</f>
        <v/>
      </c>
      <c r="AI12" s="3">
        <f>(AT12-Pool!$D$9)/Pool!$E$9</f>
        <v/>
      </c>
      <c r="AJ12" s="3">
        <f>-(T12-Pool!$D$10)/Pool!$E$10</f>
        <v/>
      </c>
      <c r="AL12">
        <f>MATCH(B12,'Player Data'!$A:$A,0)</f>
        <v/>
      </c>
      <c r="AM12" s="3">
        <f>1+IF(Settings!$F$10="ON",IFERROR(VLOOKUP(TRIM(F12),Settings!$D$12:$F$17,3,FALSE),0),0)</f>
        <v/>
      </c>
      <c r="AN12">
        <f>IFERROR(LEFT(C12,FIND(",",C12)-1),C12)</f>
        <v/>
      </c>
      <c r="AO12" s="6">
        <f>X12*(U12-Pool!$B$12)</f>
        <v/>
      </c>
      <c r="AP12" s="6">
        <f>Z12*(V12-Pool!$B$13)</f>
        <v/>
      </c>
      <c r="AQ12" s="3">
        <f>Settings!$B$2*(N12-Pool!$B$2)/Pool!$C$2+Settings!$B$3*(O12-Pool!$B$3)/Pool!$C$3+Settings!$B$4*(P12-Pool!$B$4)/Pool!$C$4+Settings!$B$5*(Q12-Pool!$B$5)/Pool!$C$5+Settings!$B$6*(R12-Pool!$B$6)/Pool!$C$6+Settings!$B$7*(S12-Pool!$B$7)/Pool!$C$7+Settings!$B$8*(AO12-Pool!$B$8)/Pool!$C$8+Settings!$B$9*(AP12-Pool!$B$9)/Pool!$C$9+Settings!$B$10*-(T12-Pool!$B$10)/Pool!$C$10</f>
        <v/>
      </c>
      <c r="AR12">
        <f>IF(RANK(AQ12,$AQ$2:$AQ$266)&lt;=Settings!$F$5,1,0)</f>
        <v/>
      </c>
      <c r="AS12" s="6">
        <f>X12*(U12-Pool!$D$12)</f>
        <v/>
      </c>
      <c r="AT12" s="6">
        <f>Z12*(V12-Pool!$D$13)</f>
        <v/>
      </c>
    </row>
    <row r="13">
      <c r="A13">
        <f>RANK(H13,$H$2:$H$266)</f>
        <v/>
      </c>
      <c r="B13" t="inlineStr">
        <is>
          <t>Kevin Durant</t>
        </is>
      </c>
      <c r="C13">
        <f>INDEX('Player Data'!$C:$C,AL13)</f>
        <v/>
      </c>
      <c r="D13">
        <f>SUMPRODUCT(($AN$2:$AN$266=AN13)*($H$2:$H$266&gt;H13))+1</f>
        <v/>
      </c>
      <c r="E13">
        <f>INDEX('Player Data'!$B:$B,AL13)</f>
        <v/>
      </c>
      <c r="F13" s="2" t="n"/>
      <c r="G13" s="3">
        <f>Settings!$B$2*AB13+Settings!$B$3*AC13+Settings!$B$4*AD13+Settings!$B$5*AE13+Settings!$B$6*AF13+Settings!$B$7*AG13+Settings!$B$8*AH13+Settings!$B$9*AI13+Settings!$B$10*AJ13</f>
        <v/>
      </c>
      <c r="H13" s="3">
        <f>G13-LARGE($G$2:$G$266,Settings!$F$4)</f>
        <v/>
      </c>
      <c r="I13">
        <f>IF(INDEX('Player Data'!$R:$R,AL13)="","",INDEX('Player Data'!$R:$R,AL13))</f>
        <v/>
      </c>
      <c r="J13" s="4">
        <f>IF(I13="","",I13-A13)</f>
        <v/>
      </c>
      <c r="L13" s="5">
        <f>IF(Settings!$F$7="Yes",INDEX('Minutes &amp; Health'!$O:$O,AL13),Settings!$F$8)</f>
        <v/>
      </c>
      <c r="M13" s="6">
        <f>INDEX('Minutes &amp; Health'!$P:$P,AL13)</f>
        <v/>
      </c>
      <c r="N13" s="5">
        <f>INDEX('Player Data'!$F:$F,AL13)/INDEX('Player Data'!$E:$E,AL13)*M13*L13*AM13</f>
        <v/>
      </c>
      <c r="O13" s="5">
        <f>INDEX('Player Data'!$G:$G,AL13)/INDEX('Player Data'!$E:$E,AL13)*M13*L13*AM13</f>
        <v/>
      </c>
      <c r="P13" s="5">
        <f>INDEX('Player Data'!$H:$H,AL13)/INDEX('Player Data'!$E:$E,AL13)*M13*L13*AM13</f>
        <v/>
      </c>
      <c r="Q13" s="5">
        <f>INDEX('Player Data'!$I:$I,AL13)/INDEX('Player Data'!$E:$E,AL13)*M13*L13*AM13</f>
        <v/>
      </c>
      <c r="R13" s="5">
        <f>INDEX('Player Data'!$J:$J,AL13)/INDEX('Player Data'!$E:$E,AL13)*M13*L13*AM13</f>
        <v/>
      </c>
      <c r="S13" s="5">
        <f>INDEX('Player Data'!$K:$K,AL13)/INDEX('Player Data'!$E:$E,AL13)*M13*L13*AM13</f>
        <v/>
      </c>
      <c r="T13" s="5">
        <f>INDEX('Player Data'!$L:$L,AL13)/INDEX('Player Data'!$E:$E,AL13)*M13*L13*AM13</f>
        <v/>
      </c>
      <c r="U13" s="7">
        <f>INDEX('Player Data'!$M:$M,AL13)</f>
        <v/>
      </c>
      <c r="V13" s="7">
        <f>INDEX('Player Data'!$N:$N,AL13)</f>
        <v/>
      </c>
      <c r="W13" s="5">
        <f>X13*U13</f>
        <v/>
      </c>
      <c r="X13" s="5">
        <f>INDEX('Player Data'!$O:$O,AL13)/INDEX('Player Data'!$E:$E,AL13)*M13*L13*AM13</f>
        <v/>
      </c>
      <c r="Y13" s="5">
        <f>Z13*V13</f>
        <v/>
      </c>
      <c r="Z13" s="5">
        <f>INDEX('Player Data'!$P:$P,AL13)/INDEX('Player Data'!$E:$E,AL13)*M13*L13*AM13</f>
        <v/>
      </c>
      <c r="AB13" s="3">
        <f>(N13-Pool!$D$2)/Pool!$E$2</f>
        <v/>
      </c>
      <c r="AC13" s="3">
        <f>(O13-Pool!$D$3)/Pool!$E$3</f>
        <v/>
      </c>
      <c r="AD13" s="3">
        <f>(P13-Pool!$D$4)/Pool!$E$4</f>
        <v/>
      </c>
      <c r="AE13" s="3">
        <f>(Q13-Pool!$D$5)/Pool!$E$5</f>
        <v/>
      </c>
      <c r="AF13" s="3">
        <f>(R13-Pool!$D$6)/Pool!$E$6</f>
        <v/>
      </c>
      <c r="AG13" s="3">
        <f>(S13-Pool!$D$7)/Pool!$E$7</f>
        <v/>
      </c>
      <c r="AH13" s="3">
        <f>(AS13-Pool!$D$8)/Pool!$E$8</f>
        <v/>
      </c>
      <c r="AI13" s="3">
        <f>(AT13-Pool!$D$9)/Pool!$E$9</f>
        <v/>
      </c>
      <c r="AJ13" s="3">
        <f>-(T13-Pool!$D$10)/Pool!$E$10</f>
        <v/>
      </c>
      <c r="AL13">
        <f>MATCH(B13,'Player Data'!$A:$A,0)</f>
        <v/>
      </c>
      <c r="AM13" s="3">
        <f>1+IF(Settings!$F$10="ON",IFERROR(VLOOKUP(TRIM(F13),Settings!$D$12:$F$17,3,FALSE),0),0)</f>
        <v/>
      </c>
      <c r="AN13">
        <f>IFERROR(LEFT(C13,FIND(",",C13)-1),C13)</f>
        <v/>
      </c>
      <c r="AO13" s="6">
        <f>X13*(U13-Pool!$B$12)</f>
        <v/>
      </c>
      <c r="AP13" s="6">
        <f>Z13*(V13-Pool!$B$13)</f>
        <v/>
      </c>
      <c r="AQ13" s="3">
        <f>Settings!$B$2*(N13-Pool!$B$2)/Pool!$C$2+Settings!$B$3*(O13-Pool!$B$3)/Pool!$C$3+Settings!$B$4*(P13-Pool!$B$4)/Pool!$C$4+Settings!$B$5*(Q13-Pool!$B$5)/Pool!$C$5+Settings!$B$6*(R13-Pool!$B$6)/Pool!$C$6+Settings!$B$7*(S13-Pool!$B$7)/Pool!$C$7+Settings!$B$8*(AO13-Pool!$B$8)/Pool!$C$8+Settings!$B$9*(AP13-Pool!$B$9)/Pool!$C$9+Settings!$B$10*-(T13-Pool!$B$10)/Pool!$C$10</f>
        <v/>
      </c>
      <c r="AR13">
        <f>IF(RANK(AQ13,$AQ$2:$AQ$266)&lt;=Settings!$F$5,1,0)</f>
        <v/>
      </c>
      <c r="AS13" s="6">
        <f>X13*(U13-Pool!$D$12)</f>
        <v/>
      </c>
      <c r="AT13" s="6">
        <f>Z13*(V13-Pool!$D$13)</f>
        <v/>
      </c>
    </row>
    <row r="14">
      <c r="A14">
        <f>RANK(H14,$H$2:$H$266)</f>
        <v/>
      </c>
      <c r="B14" t="inlineStr">
        <is>
          <t>Scottie Barnes</t>
        </is>
      </c>
      <c r="C14">
        <f>INDEX('Player Data'!$C:$C,AL14)</f>
        <v/>
      </c>
      <c r="D14">
        <f>SUMPRODUCT(($AN$2:$AN$266=AN14)*($H$2:$H$266&gt;H14))+1</f>
        <v/>
      </c>
      <c r="E14">
        <f>INDEX('Player Data'!$B:$B,AL14)</f>
        <v/>
      </c>
      <c r="F14" s="2" t="n"/>
      <c r="G14" s="3">
        <f>Settings!$B$2*AB14+Settings!$B$3*AC14+Settings!$B$4*AD14+Settings!$B$5*AE14+Settings!$B$6*AF14+Settings!$B$7*AG14+Settings!$B$8*AH14+Settings!$B$9*AI14+Settings!$B$10*AJ14</f>
        <v/>
      </c>
      <c r="H14" s="3">
        <f>G14-LARGE($G$2:$G$266,Settings!$F$4)</f>
        <v/>
      </c>
      <c r="I14">
        <f>IF(INDEX('Player Data'!$R:$R,AL14)="","",INDEX('Player Data'!$R:$R,AL14))</f>
        <v/>
      </c>
      <c r="J14" s="4">
        <f>IF(I14="","",I14-A14)</f>
        <v/>
      </c>
      <c r="L14" s="5">
        <f>IF(Settings!$F$7="Yes",INDEX('Minutes &amp; Health'!$O:$O,AL14),Settings!$F$8)</f>
        <v/>
      </c>
      <c r="M14" s="6">
        <f>INDEX('Minutes &amp; Health'!$P:$P,AL14)</f>
        <v/>
      </c>
      <c r="N14" s="5">
        <f>INDEX('Player Data'!$F:$F,AL14)/INDEX('Player Data'!$E:$E,AL14)*M14*L14*AM14</f>
        <v/>
      </c>
      <c r="O14" s="5">
        <f>INDEX('Player Data'!$G:$G,AL14)/INDEX('Player Data'!$E:$E,AL14)*M14*L14*AM14</f>
        <v/>
      </c>
      <c r="P14" s="5">
        <f>INDEX('Player Data'!$H:$H,AL14)/INDEX('Player Data'!$E:$E,AL14)*M14*L14*AM14</f>
        <v/>
      </c>
      <c r="Q14" s="5">
        <f>INDEX('Player Data'!$I:$I,AL14)/INDEX('Player Data'!$E:$E,AL14)*M14*L14*AM14</f>
        <v/>
      </c>
      <c r="R14" s="5">
        <f>INDEX('Player Data'!$J:$J,AL14)/INDEX('Player Data'!$E:$E,AL14)*M14*L14*AM14</f>
        <v/>
      </c>
      <c r="S14" s="5">
        <f>INDEX('Player Data'!$K:$K,AL14)/INDEX('Player Data'!$E:$E,AL14)*M14*L14*AM14</f>
        <v/>
      </c>
      <c r="T14" s="5">
        <f>INDEX('Player Data'!$L:$L,AL14)/INDEX('Player Data'!$E:$E,AL14)*M14*L14*AM14</f>
        <v/>
      </c>
      <c r="U14" s="7">
        <f>INDEX('Player Data'!$M:$M,AL14)</f>
        <v/>
      </c>
      <c r="V14" s="7">
        <f>INDEX('Player Data'!$N:$N,AL14)</f>
        <v/>
      </c>
      <c r="W14" s="5">
        <f>X14*U14</f>
        <v/>
      </c>
      <c r="X14" s="5">
        <f>INDEX('Player Data'!$O:$O,AL14)/INDEX('Player Data'!$E:$E,AL14)*M14*L14*AM14</f>
        <v/>
      </c>
      <c r="Y14" s="5">
        <f>Z14*V14</f>
        <v/>
      </c>
      <c r="Z14" s="5">
        <f>INDEX('Player Data'!$P:$P,AL14)/INDEX('Player Data'!$E:$E,AL14)*M14*L14*AM14</f>
        <v/>
      </c>
      <c r="AB14" s="3">
        <f>(N14-Pool!$D$2)/Pool!$E$2</f>
        <v/>
      </c>
      <c r="AC14" s="3">
        <f>(O14-Pool!$D$3)/Pool!$E$3</f>
        <v/>
      </c>
      <c r="AD14" s="3">
        <f>(P14-Pool!$D$4)/Pool!$E$4</f>
        <v/>
      </c>
      <c r="AE14" s="3">
        <f>(Q14-Pool!$D$5)/Pool!$E$5</f>
        <v/>
      </c>
      <c r="AF14" s="3">
        <f>(R14-Pool!$D$6)/Pool!$E$6</f>
        <v/>
      </c>
      <c r="AG14" s="3">
        <f>(S14-Pool!$D$7)/Pool!$E$7</f>
        <v/>
      </c>
      <c r="AH14" s="3">
        <f>(AS14-Pool!$D$8)/Pool!$E$8</f>
        <v/>
      </c>
      <c r="AI14" s="3">
        <f>(AT14-Pool!$D$9)/Pool!$E$9</f>
        <v/>
      </c>
      <c r="AJ14" s="3">
        <f>-(T14-Pool!$D$10)/Pool!$E$10</f>
        <v/>
      </c>
      <c r="AL14">
        <f>MATCH(B14,'Player Data'!$A:$A,0)</f>
        <v/>
      </c>
      <c r="AM14" s="3">
        <f>1+IF(Settings!$F$10="ON",IFERROR(VLOOKUP(TRIM(F14),Settings!$D$12:$F$17,3,FALSE),0),0)</f>
        <v/>
      </c>
      <c r="AN14">
        <f>IFERROR(LEFT(C14,FIND(",",C14)-1),C14)</f>
        <v/>
      </c>
      <c r="AO14" s="6">
        <f>X14*(U14-Pool!$B$12)</f>
        <v/>
      </c>
      <c r="AP14" s="6">
        <f>Z14*(V14-Pool!$B$13)</f>
        <v/>
      </c>
      <c r="AQ14" s="3">
        <f>Settings!$B$2*(N14-Pool!$B$2)/Pool!$C$2+Settings!$B$3*(O14-Pool!$B$3)/Pool!$C$3+Settings!$B$4*(P14-Pool!$B$4)/Pool!$C$4+Settings!$B$5*(Q14-Pool!$B$5)/Pool!$C$5+Settings!$B$6*(R14-Pool!$B$6)/Pool!$C$6+Settings!$B$7*(S14-Pool!$B$7)/Pool!$C$7+Settings!$B$8*(AO14-Pool!$B$8)/Pool!$C$8+Settings!$B$9*(AP14-Pool!$B$9)/Pool!$C$9+Settings!$B$10*-(T14-Pool!$B$10)/Pool!$C$10</f>
        <v/>
      </c>
      <c r="AR14">
        <f>IF(RANK(AQ14,$AQ$2:$AQ$266)&lt;=Settings!$F$5,1,0)</f>
        <v/>
      </c>
      <c r="AS14" s="6">
        <f>X14*(U14-Pool!$D$12)</f>
        <v/>
      </c>
      <c r="AT14" s="6">
        <f>Z14*(V14-Pool!$D$13)</f>
        <v/>
      </c>
    </row>
    <row r="15">
      <c r="A15">
        <f>RANK(H15,$H$2:$H$266)</f>
        <v/>
      </c>
      <c r="B15" t="inlineStr">
        <is>
          <t>Cade Cunningham</t>
        </is>
      </c>
      <c r="C15">
        <f>INDEX('Player Data'!$C:$C,AL15)</f>
        <v/>
      </c>
      <c r="D15">
        <f>SUMPRODUCT(($AN$2:$AN$266=AN15)*($H$2:$H$266&gt;H15))+1</f>
        <v/>
      </c>
      <c r="E15">
        <f>INDEX('Player Data'!$B:$B,AL15)</f>
        <v/>
      </c>
      <c r="F15" s="2" t="n"/>
      <c r="G15" s="3">
        <f>Settings!$B$2*AB15+Settings!$B$3*AC15+Settings!$B$4*AD15+Settings!$B$5*AE15+Settings!$B$6*AF15+Settings!$B$7*AG15+Settings!$B$8*AH15+Settings!$B$9*AI15+Settings!$B$10*AJ15</f>
        <v/>
      </c>
      <c r="H15" s="3">
        <f>G15-LARGE($G$2:$G$266,Settings!$F$4)</f>
        <v/>
      </c>
      <c r="I15">
        <f>IF(INDEX('Player Data'!$R:$R,AL15)="","",INDEX('Player Data'!$R:$R,AL15))</f>
        <v/>
      </c>
      <c r="J15" s="4">
        <f>IF(I15="","",I15-A15)</f>
        <v/>
      </c>
      <c r="L15" s="5">
        <f>IF(Settings!$F$7="Yes",INDEX('Minutes &amp; Health'!$O:$O,AL15),Settings!$F$8)</f>
        <v/>
      </c>
      <c r="M15" s="6">
        <f>INDEX('Minutes &amp; Health'!$P:$P,AL15)</f>
        <v/>
      </c>
      <c r="N15" s="5">
        <f>INDEX('Player Data'!$F:$F,AL15)/INDEX('Player Data'!$E:$E,AL15)*M15*L15*AM15</f>
        <v/>
      </c>
      <c r="O15" s="5">
        <f>INDEX('Player Data'!$G:$G,AL15)/INDEX('Player Data'!$E:$E,AL15)*M15*L15*AM15</f>
        <v/>
      </c>
      <c r="P15" s="5">
        <f>INDEX('Player Data'!$H:$H,AL15)/INDEX('Player Data'!$E:$E,AL15)*M15*L15*AM15</f>
        <v/>
      </c>
      <c r="Q15" s="5">
        <f>INDEX('Player Data'!$I:$I,AL15)/INDEX('Player Data'!$E:$E,AL15)*M15*L15*AM15</f>
        <v/>
      </c>
      <c r="R15" s="5">
        <f>INDEX('Player Data'!$J:$J,AL15)/INDEX('Player Data'!$E:$E,AL15)*M15*L15*AM15</f>
        <v/>
      </c>
      <c r="S15" s="5">
        <f>INDEX('Player Data'!$K:$K,AL15)/INDEX('Player Data'!$E:$E,AL15)*M15*L15*AM15</f>
        <v/>
      </c>
      <c r="T15" s="5">
        <f>INDEX('Player Data'!$L:$L,AL15)/INDEX('Player Data'!$E:$E,AL15)*M15*L15*AM15</f>
        <v/>
      </c>
      <c r="U15" s="7">
        <f>INDEX('Player Data'!$M:$M,AL15)</f>
        <v/>
      </c>
      <c r="V15" s="7">
        <f>INDEX('Player Data'!$N:$N,AL15)</f>
        <v/>
      </c>
      <c r="W15" s="5">
        <f>X15*U15</f>
        <v/>
      </c>
      <c r="X15" s="5">
        <f>INDEX('Player Data'!$O:$O,AL15)/INDEX('Player Data'!$E:$E,AL15)*M15*L15*AM15</f>
        <v/>
      </c>
      <c r="Y15" s="5">
        <f>Z15*V15</f>
        <v/>
      </c>
      <c r="Z15" s="5">
        <f>INDEX('Player Data'!$P:$P,AL15)/INDEX('Player Data'!$E:$E,AL15)*M15*L15*AM15</f>
        <v/>
      </c>
      <c r="AB15" s="3">
        <f>(N15-Pool!$D$2)/Pool!$E$2</f>
        <v/>
      </c>
      <c r="AC15" s="3">
        <f>(O15-Pool!$D$3)/Pool!$E$3</f>
        <v/>
      </c>
      <c r="AD15" s="3">
        <f>(P15-Pool!$D$4)/Pool!$E$4</f>
        <v/>
      </c>
      <c r="AE15" s="3">
        <f>(Q15-Pool!$D$5)/Pool!$E$5</f>
        <v/>
      </c>
      <c r="AF15" s="3">
        <f>(R15-Pool!$D$6)/Pool!$E$6</f>
        <v/>
      </c>
      <c r="AG15" s="3">
        <f>(S15-Pool!$D$7)/Pool!$E$7</f>
        <v/>
      </c>
      <c r="AH15" s="3">
        <f>(AS15-Pool!$D$8)/Pool!$E$8</f>
        <v/>
      </c>
      <c r="AI15" s="3">
        <f>(AT15-Pool!$D$9)/Pool!$E$9</f>
        <v/>
      </c>
      <c r="AJ15" s="3">
        <f>-(T15-Pool!$D$10)/Pool!$E$10</f>
        <v/>
      </c>
      <c r="AL15">
        <f>MATCH(B15,'Player Data'!$A:$A,0)</f>
        <v/>
      </c>
      <c r="AM15" s="3">
        <f>1+IF(Settings!$F$10="ON",IFERROR(VLOOKUP(TRIM(F15),Settings!$D$12:$F$17,3,FALSE),0),0)</f>
        <v/>
      </c>
      <c r="AN15">
        <f>IFERROR(LEFT(C15,FIND(",",C15)-1),C15)</f>
        <v/>
      </c>
      <c r="AO15" s="6">
        <f>X15*(U15-Pool!$B$12)</f>
        <v/>
      </c>
      <c r="AP15" s="6">
        <f>Z15*(V15-Pool!$B$13)</f>
        <v/>
      </c>
      <c r="AQ15" s="3">
        <f>Settings!$B$2*(N15-Pool!$B$2)/Pool!$C$2+Settings!$B$3*(O15-Pool!$B$3)/Pool!$C$3+Settings!$B$4*(P15-Pool!$B$4)/Pool!$C$4+Settings!$B$5*(Q15-Pool!$B$5)/Pool!$C$5+Settings!$B$6*(R15-Pool!$B$6)/Pool!$C$6+Settings!$B$7*(S15-Pool!$B$7)/Pool!$C$7+Settings!$B$8*(AO15-Pool!$B$8)/Pool!$C$8+Settings!$B$9*(AP15-Pool!$B$9)/Pool!$C$9+Settings!$B$10*-(T15-Pool!$B$10)/Pool!$C$10</f>
        <v/>
      </c>
      <c r="AR15">
        <f>IF(RANK(AQ15,$AQ$2:$AQ$266)&lt;=Settings!$F$5,1,0)</f>
        <v/>
      </c>
      <c r="AS15" s="6">
        <f>X15*(U15-Pool!$D$12)</f>
        <v/>
      </c>
      <c r="AT15" s="6">
        <f>Z15*(V15-Pool!$D$13)</f>
        <v/>
      </c>
    </row>
    <row r="16">
      <c r="A16">
        <f>RANK(H16,$H$2:$H$266)</f>
        <v/>
      </c>
      <c r="B16" t="inlineStr">
        <is>
          <t>James Harden</t>
        </is>
      </c>
      <c r="C16">
        <f>INDEX('Player Data'!$C:$C,AL16)</f>
        <v/>
      </c>
      <c r="D16">
        <f>SUMPRODUCT(($AN$2:$AN$266=AN16)*($H$2:$H$266&gt;H16))+1</f>
        <v/>
      </c>
      <c r="E16">
        <f>INDEX('Player Data'!$B:$B,AL16)</f>
        <v/>
      </c>
      <c r="F16" s="2" t="n"/>
      <c r="G16" s="3">
        <f>Settings!$B$2*AB16+Settings!$B$3*AC16+Settings!$B$4*AD16+Settings!$B$5*AE16+Settings!$B$6*AF16+Settings!$B$7*AG16+Settings!$B$8*AH16+Settings!$B$9*AI16+Settings!$B$10*AJ16</f>
        <v/>
      </c>
      <c r="H16" s="3">
        <f>G16-LARGE($G$2:$G$266,Settings!$F$4)</f>
        <v/>
      </c>
      <c r="I16">
        <f>IF(INDEX('Player Data'!$R:$R,AL16)="","",INDEX('Player Data'!$R:$R,AL16))</f>
        <v/>
      </c>
      <c r="J16" s="4">
        <f>IF(I16="","",I16-A16)</f>
        <v/>
      </c>
      <c r="L16" s="5">
        <f>IF(Settings!$F$7="Yes",INDEX('Minutes &amp; Health'!$O:$O,AL16),Settings!$F$8)</f>
        <v/>
      </c>
      <c r="M16" s="6">
        <f>INDEX('Minutes &amp; Health'!$P:$P,AL16)</f>
        <v/>
      </c>
      <c r="N16" s="5">
        <f>INDEX('Player Data'!$F:$F,AL16)/INDEX('Player Data'!$E:$E,AL16)*M16*L16*AM16</f>
        <v/>
      </c>
      <c r="O16" s="5">
        <f>INDEX('Player Data'!$G:$G,AL16)/INDEX('Player Data'!$E:$E,AL16)*M16*L16*AM16</f>
        <v/>
      </c>
      <c r="P16" s="5">
        <f>INDEX('Player Data'!$H:$H,AL16)/INDEX('Player Data'!$E:$E,AL16)*M16*L16*AM16</f>
        <v/>
      </c>
      <c r="Q16" s="5">
        <f>INDEX('Player Data'!$I:$I,AL16)/INDEX('Player Data'!$E:$E,AL16)*M16*L16*AM16</f>
        <v/>
      </c>
      <c r="R16" s="5">
        <f>INDEX('Player Data'!$J:$J,AL16)/INDEX('Player Data'!$E:$E,AL16)*M16*L16*AM16</f>
        <v/>
      </c>
      <c r="S16" s="5">
        <f>INDEX('Player Data'!$K:$K,AL16)/INDEX('Player Data'!$E:$E,AL16)*M16*L16*AM16</f>
        <v/>
      </c>
      <c r="T16" s="5">
        <f>INDEX('Player Data'!$L:$L,AL16)/INDEX('Player Data'!$E:$E,AL16)*M16*L16*AM16</f>
        <v/>
      </c>
      <c r="U16" s="7">
        <f>INDEX('Player Data'!$M:$M,AL16)</f>
        <v/>
      </c>
      <c r="V16" s="7">
        <f>INDEX('Player Data'!$N:$N,AL16)</f>
        <v/>
      </c>
      <c r="W16" s="5">
        <f>X16*U16</f>
        <v/>
      </c>
      <c r="X16" s="5">
        <f>INDEX('Player Data'!$O:$O,AL16)/INDEX('Player Data'!$E:$E,AL16)*M16*L16*AM16</f>
        <v/>
      </c>
      <c r="Y16" s="5">
        <f>Z16*V16</f>
        <v/>
      </c>
      <c r="Z16" s="5">
        <f>INDEX('Player Data'!$P:$P,AL16)/INDEX('Player Data'!$E:$E,AL16)*M16*L16*AM16</f>
        <v/>
      </c>
      <c r="AB16" s="3">
        <f>(N16-Pool!$D$2)/Pool!$E$2</f>
        <v/>
      </c>
      <c r="AC16" s="3">
        <f>(O16-Pool!$D$3)/Pool!$E$3</f>
        <v/>
      </c>
      <c r="AD16" s="3">
        <f>(P16-Pool!$D$4)/Pool!$E$4</f>
        <v/>
      </c>
      <c r="AE16" s="3">
        <f>(Q16-Pool!$D$5)/Pool!$E$5</f>
        <v/>
      </c>
      <c r="AF16" s="3">
        <f>(R16-Pool!$D$6)/Pool!$E$6</f>
        <v/>
      </c>
      <c r="AG16" s="3">
        <f>(S16-Pool!$D$7)/Pool!$E$7</f>
        <v/>
      </c>
      <c r="AH16" s="3">
        <f>(AS16-Pool!$D$8)/Pool!$E$8</f>
        <v/>
      </c>
      <c r="AI16" s="3">
        <f>(AT16-Pool!$D$9)/Pool!$E$9</f>
        <v/>
      </c>
      <c r="AJ16" s="3">
        <f>-(T16-Pool!$D$10)/Pool!$E$10</f>
        <v/>
      </c>
      <c r="AL16">
        <f>MATCH(B16,'Player Data'!$A:$A,0)</f>
        <v/>
      </c>
      <c r="AM16" s="3">
        <f>1+IF(Settings!$F$10="ON",IFERROR(VLOOKUP(TRIM(F16),Settings!$D$12:$F$17,3,FALSE),0),0)</f>
        <v/>
      </c>
      <c r="AN16">
        <f>IFERROR(LEFT(C16,FIND(",",C16)-1),C16)</f>
        <v/>
      </c>
      <c r="AO16" s="6">
        <f>X16*(U16-Pool!$B$12)</f>
        <v/>
      </c>
      <c r="AP16" s="6">
        <f>Z16*(V16-Pool!$B$13)</f>
        <v/>
      </c>
      <c r="AQ16" s="3">
        <f>Settings!$B$2*(N16-Pool!$B$2)/Pool!$C$2+Settings!$B$3*(O16-Pool!$B$3)/Pool!$C$3+Settings!$B$4*(P16-Pool!$B$4)/Pool!$C$4+Settings!$B$5*(Q16-Pool!$B$5)/Pool!$C$5+Settings!$B$6*(R16-Pool!$B$6)/Pool!$C$6+Settings!$B$7*(S16-Pool!$B$7)/Pool!$C$7+Settings!$B$8*(AO16-Pool!$B$8)/Pool!$C$8+Settings!$B$9*(AP16-Pool!$B$9)/Pool!$C$9+Settings!$B$10*-(T16-Pool!$B$10)/Pool!$C$10</f>
        <v/>
      </c>
      <c r="AR16">
        <f>IF(RANK(AQ16,$AQ$2:$AQ$266)&lt;=Settings!$F$5,1,0)</f>
        <v/>
      </c>
      <c r="AS16" s="6">
        <f>X16*(U16-Pool!$D$12)</f>
        <v/>
      </c>
      <c r="AT16" s="6">
        <f>Z16*(V16-Pool!$D$13)</f>
        <v/>
      </c>
    </row>
    <row r="17">
      <c r="A17">
        <f>RANK(H17,$H$2:$H$266)</f>
        <v/>
      </c>
      <c r="B17" t="inlineStr">
        <is>
          <t>Jamal Murray</t>
        </is>
      </c>
      <c r="C17">
        <f>INDEX('Player Data'!$C:$C,AL17)</f>
        <v/>
      </c>
      <c r="D17">
        <f>SUMPRODUCT(($AN$2:$AN$266=AN17)*($H$2:$H$266&gt;H17))+1</f>
        <v/>
      </c>
      <c r="E17">
        <f>INDEX('Player Data'!$B:$B,AL17)</f>
        <v/>
      </c>
      <c r="F17" s="2" t="n"/>
      <c r="G17" s="3">
        <f>Settings!$B$2*AB17+Settings!$B$3*AC17+Settings!$B$4*AD17+Settings!$B$5*AE17+Settings!$B$6*AF17+Settings!$B$7*AG17+Settings!$B$8*AH17+Settings!$B$9*AI17+Settings!$B$10*AJ17</f>
        <v/>
      </c>
      <c r="H17" s="3">
        <f>G17-LARGE($G$2:$G$266,Settings!$F$4)</f>
        <v/>
      </c>
      <c r="I17">
        <f>IF(INDEX('Player Data'!$R:$R,AL17)="","",INDEX('Player Data'!$R:$R,AL17))</f>
        <v/>
      </c>
      <c r="J17" s="4">
        <f>IF(I17="","",I17-A17)</f>
        <v/>
      </c>
      <c r="L17" s="5">
        <f>IF(Settings!$F$7="Yes",INDEX('Minutes &amp; Health'!$O:$O,AL17),Settings!$F$8)</f>
        <v/>
      </c>
      <c r="M17" s="6">
        <f>INDEX('Minutes &amp; Health'!$P:$P,AL17)</f>
        <v/>
      </c>
      <c r="N17" s="5">
        <f>INDEX('Player Data'!$F:$F,AL17)/INDEX('Player Data'!$E:$E,AL17)*M17*L17*AM17</f>
        <v/>
      </c>
      <c r="O17" s="5">
        <f>INDEX('Player Data'!$G:$G,AL17)/INDEX('Player Data'!$E:$E,AL17)*M17*L17*AM17</f>
        <v/>
      </c>
      <c r="P17" s="5">
        <f>INDEX('Player Data'!$H:$H,AL17)/INDEX('Player Data'!$E:$E,AL17)*M17*L17*AM17</f>
        <v/>
      </c>
      <c r="Q17" s="5">
        <f>INDEX('Player Data'!$I:$I,AL17)/INDEX('Player Data'!$E:$E,AL17)*M17*L17*AM17</f>
        <v/>
      </c>
      <c r="R17" s="5">
        <f>INDEX('Player Data'!$J:$J,AL17)/INDEX('Player Data'!$E:$E,AL17)*M17*L17*AM17</f>
        <v/>
      </c>
      <c r="S17" s="5">
        <f>INDEX('Player Data'!$K:$K,AL17)/INDEX('Player Data'!$E:$E,AL17)*M17*L17*AM17</f>
        <v/>
      </c>
      <c r="T17" s="5">
        <f>INDEX('Player Data'!$L:$L,AL17)/INDEX('Player Data'!$E:$E,AL17)*M17*L17*AM17</f>
        <v/>
      </c>
      <c r="U17" s="7">
        <f>INDEX('Player Data'!$M:$M,AL17)</f>
        <v/>
      </c>
      <c r="V17" s="7">
        <f>INDEX('Player Data'!$N:$N,AL17)</f>
        <v/>
      </c>
      <c r="W17" s="5">
        <f>X17*U17</f>
        <v/>
      </c>
      <c r="X17" s="5">
        <f>INDEX('Player Data'!$O:$O,AL17)/INDEX('Player Data'!$E:$E,AL17)*M17*L17*AM17</f>
        <v/>
      </c>
      <c r="Y17" s="5">
        <f>Z17*V17</f>
        <v/>
      </c>
      <c r="Z17" s="5">
        <f>INDEX('Player Data'!$P:$P,AL17)/INDEX('Player Data'!$E:$E,AL17)*M17*L17*AM17</f>
        <v/>
      </c>
      <c r="AB17" s="3">
        <f>(N17-Pool!$D$2)/Pool!$E$2</f>
        <v/>
      </c>
      <c r="AC17" s="3">
        <f>(O17-Pool!$D$3)/Pool!$E$3</f>
        <v/>
      </c>
      <c r="AD17" s="3">
        <f>(P17-Pool!$D$4)/Pool!$E$4</f>
        <v/>
      </c>
      <c r="AE17" s="3">
        <f>(Q17-Pool!$D$5)/Pool!$E$5</f>
        <v/>
      </c>
      <c r="AF17" s="3">
        <f>(R17-Pool!$D$6)/Pool!$E$6</f>
        <v/>
      </c>
      <c r="AG17" s="3">
        <f>(S17-Pool!$D$7)/Pool!$E$7</f>
        <v/>
      </c>
      <c r="AH17" s="3">
        <f>(AS17-Pool!$D$8)/Pool!$E$8</f>
        <v/>
      </c>
      <c r="AI17" s="3">
        <f>(AT17-Pool!$D$9)/Pool!$E$9</f>
        <v/>
      </c>
      <c r="AJ17" s="3">
        <f>-(T17-Pool!$D$10)/Pool!$E$10</f>
        <v/>
      </c>
      <c r="AL17">
        <f>MATCH(B17,'Player Data'!$A:$A,0)</f>
        <v/>
      </c>
      <c r="AM17" s="3">
        <f>1+IF(Settings!$F$10="ON",IFERROR(VLOOKUP(TRIM(F17),Settings!$D$12:$F$17,3,FALSE),0),0)</f>
        <v/>
      </c>
      <c r="AN17">
        <f>IFERROR(LEFT(C17,FIND(",",C17)-1),C17)</f>
        <v/>
      </c>
      <c r="AO17" s="6">
        <f>X17*(U17-Pool!$B$12)</f>
        <v/>
      </c>
      <c r="AP17" s="6">
        <f>Z17*(V17-Pool!$B$13)</f>
        <v/>
      </c>
      <c r="AQ17" s="3">
        <f>Settings!$B$2*(N17-Pool!$B$2)/Pool!$C$2+Settings!$B$3*(O17-Pool!$B$3)/Pool!$C$3+Settings!$B$4*(P17-Pool!$B$4)/Pool!$C$4+Settings!$B$5*(Q17-Pool!$B$5)/Pool!$C$5+Settings!$B$6*(R17-Pool!$B$6)/Pool!$C$6+Settings!$B$7*(S17-Pool!$B$7)/Pool!$C$7+Settings!$B$8*(AO17-Pool!$B$8)/Pool!$C$8+Settings!$B$9*(AP17-Pool!$B$9)/Pool!$C$9+Settings!$B$10*-(T17-Pool!$B$10)/Pool!$C$10</f>
        <v/>
      </c>
      <c r="AR17">
        <f>IF(RANK(AQ17,$AQ$2:$AQ$266)&lt;=Settings!$F$5,1,0)</f>
        <v/>
      </c>
      <c r="AS17" s="6">
        <f>X17*(U17-Pool!$D$12)</f>
        <v/>
      </c>
      <c r="AT17" s="6">
        <f>Z17*(V17-Pool!$D$13)</f>
        <v/>
      </c>
    </row>
    <row r="18">
      <c r="A18">
        <f>RANK(H18,$H$2:$H$266)</f>
        <v/>
      </c>
      <c r="B18" t="inlineStr">
        <is>
          <t>Jalen Johnson</t>
        </is>
      </c>
      <c r="C18">
        <f>INDEX('Player Data'!$C:$C,AL18)</f>
        <v/>
      </c>
      <c r="D18">
        <f>SUMPRODUCT(($AN$2:$AN$266=AN18)*($H$2:$H$266&gt;H18))+1</f>
        <v/>
      </c>
      <c r="E18">
        <f>INDEX('Player Data'!$B:$B,AL18)</f>
        <v/>
      </c>
      <c r="F18" s="2" t="n"/>
      <c r="G18" s="3">
        <f>Settings!$B$2*AB18+Settings!$B$3*AC18+Settings!$B$4*AD18+Settings!$B$5*AE18+Settings!$B$6*AF18+Settings!$B$7*AG18+Settings!$B$8*AH18+Settings!$B$9*AI18+Settings!$B$10*AJ18</f>
        <v/>
      </c>
      <c r="H18" s="3">
        <f>G18-LARGE($G$2:$G$266,Settings!$F$4)</f>
        <v/>
      </c>
      <c r="I18">
        <f>IF(INDEX('Player Data'!$R:$R,AL18)="","",INDEX('Player Data'!$R:$R,AL18))</f>
        <v/>
      </c>
      <c r="J18" s="4">
        <f>IF(I18="","",I18-A18)</f>
        <v/>
      </c>
      <c r="L18" s="5">
        <f>IF(Settings!$F$7="Yes",INDEX('Minutes &amp; Health'!$O:$O,AL18),Settings!$F$8)</f>
        <v/>
      </c>
      <c r="M18" s="6">
        <f>INDEX('Minutes &amp; Health'!$P:$P,AL18)</f>
        <v/>
      </c>
      <c r="N18" s="5">
        <f>INDEX('Player Data'!$F:$F,AL18)/INDEX('Player Data'!$E:$E,AL18)*M18*L18*AM18</f>
        <v/>
      </c>
      <c r="O18" s="5">
        <f>INDEX('Player Data'!$G:$G,AL18)/INDEX('Player Data'!$E:$E,AL18)*M18*L18*AM18</f>
        <v/>
      </c>
      <c r="P18" s="5">
        <f>INDEX('Player Data'!$H:$H,AL18)/INDEX('Player Data'!$E:$E,AL18)*M18*L18*AM18</f>
        <v/>
      </c>
      <c r="Q18" s="5">
        <f>INDEX('Player Data'!$I:$I,AL18)/INDEX('Player Data'!$E:$E,AL18)*M18*L18*AM18</f>
        <v/>
      </c>
      <c r="R18" s="5">
        <f>INDEX('Player Data'!$J:$J,AL18)/INDEX('Player Data'!$E:$E,AL18)*M18*L18*AM18</f>
        <v/>
      </c>
      <c r="S18" s="5">
        <f>INDEX('Player Data'!$K:$K,AL18)/INDEX('Player Data'!$E:$E,AL18)*M18*L18*AM18</f>
        <v/>
      </c>
      <c r="T18" s="5">
        <f>INDEX('Player Data'!$L:$L,AL18)/INDEX('Player Data'!$E:$E,AL18)*M18*L18*AM18</f>
        <v/>
      </c>
      <c r="U18" s="7">
        <f>INDEX('Player Data'!$M:$M,AL18)</f>
        <v/>
      </c>
      <c r="V18" s="7">
        <f>INDEX('Player Data'!$N:$N,AL18)</f>
        <v/>
      </c>
      <c r="W18" s="5">
        <f>X18*U18</f>
        <v/>
      </c>
      <c r="X18" s="5">
        <f>INDEX('Player Data'!$O:$O,AL18)/INDEX('Player Data'!$E:$E,AL18)*M18*L18*AM18</f>
        <v/>
      </c>
      <c r="Y18" s="5">
        <f>Z18*V18</f>
        <v/>
      </c>
      <c r="Z18" s="5">
        <f>INDEX('Player Data'!$P:$P,AL18)/INDEX('Player Data'!$E:$E,AL18)*M18*L18*AM18</f>
        <v/>
      </c>
      <c r="AB18" s="3">
        <f>(N18-Pool!$D$2)/Pool!$E$2</f>
        <v/>
      </c>
      <c r="AC18" s="3">
        <f>(O18-Pool!$D$3)/Pool!$E$3</f>
        <v/>
      </c>
      <c r="AD18" s="3">
        <f>(P18-Pool!$D$4)/Pool!$E$4</f>
        <v/>
      </c>
      <c r="AE18" s="3">
        <f>(Q18-Pool!$D$5)/Pool!$E$5</f>
        <v/>
      </c>
      <c r="AF18" s="3">
        <f>(R18-Pool!$D$6)/Pool!$E$6</f>
        <v/>
      </c>
      <c r="AG18" s="3">
        <f>(S18-Pool!$D$7)/Pool!$E$7</f>
        <v/>
      </c>
      <c r="AH18" s="3">
        <f>(AS18-Pool!$D$8)/Pool!$E$8</f>
        <v/>
      </c>
      <c r="AI18" s="3">
        <f>(AT18-Pool!$D$9)/Pool!$E$9</f>
        <v/>
      </c>
      <c r="AJ18" s="3">
        <f>-(T18-Pool!$D$10)/Pool!$E$10</f>
        <v/>
      </c>
      <c r="AL18">
        <f>MATCH(B18,'Player Data'!$A:$A,0)</f>
        <v/>
      </c>
      <c r="AM18" s="3">
        <f>1+IF(Settings!$F$10="ON",IFERROR(VLOOKUP(TRIM(F18),Settings!$D$12:$F$17,3,FALSE),0),0)</f>
        <v/>
      </c>
      <c r="AN18">
        <f>IFERROR(LEFT(C18,FIND(",",C18)-1),C18)</f>
        <v/>
      </c>
      <c r="AO18" s="6">
        <f>X18*(U18-Pool!$B$12)</f>
        <v/>
      </c>
      <c r="AP18" s="6">
        <f>Z18*(V18-Pool!$B$13)</f>
        <v/>
      </c>
      <c r="AQ18" s="3">
        <f>Settings!$B$2*(N18-Pool!$B$2)/Pool!$C$2+Settings!$B$3*(O18-Pool!$B$3)/Pool!$C$3+Settings!$B$4*(P18-Pool!$B$4)/Pool!$C$4+Settings!$B$5*(Q18-Pool!$B$5)/Pool!$C$5+Settings!$B$6*(R18-Pool!$B$6)/Pool!$C$6+Settings!$B$7*(S18-Pool!$B$7)/Pool!$C$7+Settings!$B$8*(AO18-Pool!$B$8)/Pool!$C$8+Settings!$B$9*(AP18-Pool!$B$9)/Pool!$C$9+Settings!$B$10*-(T18-Pool!$B$10)/Pool!$C$10</f>
        <v/>
      </c>
      <c r="AR18">
        <f>IF(RANK(AQ18,$AQ$2:$AQ$266)&lt;=Settings!$F$5,1,0)</f>
        <v/>
      </c>
      <c r="AS18" s="6">
        <f>X18*(U18-Pool!$D$12)</f>
        <v/>
      </c>
      <c r="AT18" s="6">
        <f>Z18*(V18-Pool!$D$13)</f>
        <v/>
      </c>
    </row>
    <row r="19">
      <c r="A19">
        <f>RANK(H19,$H$2:$H$266)</f>
        <v/>
      </c>
      <c r="B19" t="inlineStr">
        <is>
          <t>Kyrie Irving</t>
        </is>
      </c>
      <c r="C19">
        <f>INDEX('Player Data'!$C:$C,AL19)</f>
        <v/>
      </c>
      <c r="D19">
        <f>SUMPRODUCT(($AN$2:$AN$266=AN19)*($H$2:$H$266&gt;H19))+1</f>
        <v/>
      </c>
      <c r="E19">
        <f>INDEX('Player Data'!$B:$B,AL19)</f>
        <v/>
      </c>
      <c r="F19" s="2" t="n"/>
      <c r="G19" s="3">
        <f>Settings!$B$2*AB19+Settings!$B$3*AC19+Settings!$B$4*AD19+Settings!$B$5*AE19+Settings!$B$6*AF19+Settings!$B$7*AG19+Settings!$B$8*AH19+Settings!$B$9*AI19+Settings!$B$10*AJ19</f>
        <v/>
      </c>
      <c r="H19" s="3">
        <f>G19-LARGE($G$2:$G$266,Settings!$F$4)</f>
        <v/>
      </c>
      <c r="I19">
        <f>IF(INDEX('Player Data'!$R:$R,AL19)="","",INDEX('Player Data'!$R:$R,AL19))</f>
        <v/>
      </c>
      <c r="J19" s="4">
        <f>IF(I19="","",I19-A19)</f>
        <v/>
      </c>
      <c r="L19" s="5">
        <f>IF(Settings!$F$7="Yes",INDEX('Minutes &amp; Health'!$O:$O,AL19),Settings!$F$8)</f>
        <v/>
      </c>
      <c r="M19" s="6">
        <f>INDEX('Minutes &amp; Health'!$P:$P,AL19)</f>
        <v/>
      </c>
      <c r="N19" s="5">
        <f>INDEX('Player Data'!$F:$F,AL19)/INDEX('Player Data'!$E:$E,AL19)*M19*L19*AM19</f>
        <v/>
      </c>
      <c r="O19" s="5">
        <f>INDEX('Player Data'!$G:$G,AL19)/INDEX('Player Data'!$E:$E,AL19)*M19*L19*AM19</f>
        <v/>
      </c>
      <c r="P19" s="5">
        <f>INDEX('Player Data'!$H:$H,AL19)/INDEX('Player Data'!$E:$E,AL19)*M19*L19*AM19</f>
        <v/>
      </c>
      <c r="Q19" s="5">
        <f>INDEX('Player Data'!$I:$I,AL19)/INDEX('Player Data'!$E:$E,AL19)*M19*L19*AM19</f>
        <v/>
      </c>
      <c r="R19" s="5">
        <f>INDEX('Player Data'!$J:$J,AL19)/INDEX('Player Data'!$E:$E,AL19)*M19*L19*AM19</f>
        <v/>
      </c>
      <c r="S19" s="5">
        <f>INDEX('Player Data'!$K:$K,AL19)/INDEX('Player Data'!$E:$E,AL19)*M19*L19*AM19</f>
        <v/>
      </c>
      <c r="T19" s="5">
        <f>INDEX('Player Data'!$L:$L,AL19)/INDEX('Player Data'!$E:$E,AL19)*M19*L19*AM19</f>
        <v/>
      </c>
      <c r="U19" s="7">
        <f>INDEX('Player Data'!$M:$M,AL19)</f>
        <v/>
      </c>
      <c r="V19" s="7">
        <f>INDEX('Player Data'!$N:$N,AL19)</f>
        <v/>
      </c>
      <c r="W19" s="5">
        <f>X19*U19</f>
        <v/>
      </c>
      <c r="X19" s="5">
        <f>INDEX('Player Data'!$O:$O,AL19)/INDEX('Player Data'!$E:$E,AL19)*M19*L19*AM19</f>
        <v/>
      </c>
      <c r="Y19" s="5">
        <f>Z19*V19</f>
        <v/>
      </c>
      <c r="Z19" s="5">
        <f>INDEX('Player Data'!$P:$P,AL19)/INDEX('Player Data'!$E:$E,AL19)*M19*L19*AM19</f>
        <v/>
      </c>
      <c r="AB19" s="3">
        <f>(N19-Pool!$D$2)/Pool!$E$2</f>
        <v/>
      </c>
      <c r="AC19" s="3">
        <f>(O19-Pool!$D$3)/Pool!$E$3</f>
        <v/>
      </c>
      <c r="AD19" s="3">
        <f>(P19-Pool!$D$4)/Pool!$E$4</f>
        <v/>
      </c>
      <c r="AE19" s="3">
        <f>(Q19-Pool!$D$5)/Pool!$E$5</f>
        <v/>
      </c>
      <c r="AF19" s="3">
        <f>(R19-Pool!$D$6)/Pool!$E$6</f>
        <v/>
      </c>
      <c r="AG19" s="3">
        <f>(S19-Pool!$D$7)/Pool!$E$7</f>
        <v/>
      </c>
      <c r="AH19" s="3">
        <f>(AS19-Pool!$D$8)/Pool!$E$8</f>
        <v/>
      </c>
      <c r="AI19" s="3">
        <f>(AT19-Pool!$D$9)/Pool!$E$9</f>
        <v/>
      </c>
      <c r="AJ19" s="3">
        <f>-(T19-Pool!$D$10)/Pool!$E$10</f>
        <v/>
      </c>
      <c r="AL19">
        <f>MATCH(B19,'Player Data'!$A:$A,0)</f>
        <v/>
      </c>
      <c r="AM19" s="3">
        <f>1+IF(Settings!$F$10="ON",IFERROR(VLOOKUP(TRIM(F19),Settings!$D$12:$F$17,3,FALSE),0),0)</f>
        <v/>
      </c>
      <c r="AN19">
        <f>IFERROR(LEFT(C19,FIND(",",C19)-1),C19)</f>
        <v/>
      </c>
      <c r="AO19" s="6">
        <f>X19*(U19-Pool!$B$12)</f>
        <v/>
      </c>
      <c r="AP19" s="6">
        <f>Z19*(V19-Pool!$B$13)</f>
        <v/>
      </c>
      <c r="AQ19" s="3">
        <f>Settings!$B$2*(N19-Pool!$B$2)/Pool!$C$2+Settings!$B$3*(O19-Pool!$B$3)/Pool!$C$3+Settings!$B$4*(P19-Pool!$B$4)/Pool!$C$4+Settings!$B$5*(Q19-Pool!$B$5)/Pool!$C$5+Settings!$B$6*(R19-Pool!$B$6)/Pool!$C$6+Settings!$B$7*(S19-Pool!$B$7)/Pool!$C$7+Settings!$B$8*(AO19-Pool!$B$8)/Pool!$C$8+Settings!$B$9*(AP19-Pool!$B$9)/Pool!$C$9+Settings!$B$10*-(T19-Pool!$B$10)/Pool!$C$10</f>
        <v/>
      </c>
      <c r="AR19">
        <f>IF(RANK(AQ19,$AQ$2:$AQ$266)&lt;=Settings!$F$5,1,0)</f>
        <v/>
      </c>
      <c r="AS19" s="6">
        <f>X19*(U19-Pool!$D$12)</f>
        <v/>
      </c>
      <c r="AT19" s="6">
        <f>Z19*(V19-Pool!$D$13)</f>
        <v/>
      </c>
    </row>
    <row r="20">
      <c r="A20">
        <f>RANK(H20,$H$2:$H$266)</f>
        <v/>
      </c>
      <c r="B20" t="inlineStr">
        <is>
          <t>Cooper Flagg</t>
        </is>
      </c>
      <c r="C20">
        <f>INDEX('Player Data'!$C:$C,AL20)</f>
        <v/>
      </c>
      <c r="D20">
        <f>SUMPRODUCT(($AN$2:$AN$266=AN20)*($H$2:$H$266&gt;H20))+1</f>
        <v/>
      </c>
      <c r="E20">
        <f>INDEX('Player Data'!$B:$B,AL20)</f>
        <v/>
      </c>
      <c r="F20" s="2" t="n"/>
      <c r="G20" s="3">
        <f>Settings!$B$2*AB20+Settings!$B$3*AC20+Settings!$B$4*AD20+Settings!$B$5*AE20+Settings!$B$6*AF20+Settings!$B$7*AG20+Settings!$B$8*AH20+Settings!$B$9*AI20+Settings!$B$10*AJ20</f>
        <v/>
      </c>
      <c r="H20" s="3">
        <f>G20-LARGE($G$2:$G$266,Settings!$F$4)</f>
        <v/>
      </c>
      <c r="I20">
        <f>IF(INDEX('Player Data'!$R:$R,AL20)="","",INDEX('Player Data'!$R:$R,AL20))</f>
        <v/>
      </c>
      <c r="J20" s="4">
        <f>IF(I20="","",I20-A20)</f>
        <v/>
      </c>
      <c r="L20" s="5">
        <f>IF(Settings!$F$7="Yes",INDEX('Minutes &amp; Health'!$O:$O,AL20),Settings!$F$8)</f>
        <v/>
      </c>
      <c r="M20" s="6">
        <f>INDEX('Minutes &amp; Health'!$P:$P,AL20)</f>
        <v/>
      </c>
      <c r="N20" s="5">
        <f>INDEX('Player Data'!$F:$F,AL20)/INDEX('Player Data'!$E:$E,AL20)*M20*L20*AM20</f>
        <v/>
      </c>
      <c r="O20" s="5">
        <f>INDEX('Player Data'!$G:$G,AL20)/INDEX('Player Data'!$E:$E,AL20)*M20*L20*AM20</f>
        <v/>
      </c>
      <c r="P20" s="5">
        <f>INDEX('Player Data'!$H:$H,AL20)/INDEX('Player Data'!$E:$E,AL20)*M20*L20*AM20</f>
        <v/>
      </c>
      <c r="Q20" s="5">
        <f>INDEX('Player Data'!$I:$I,AL20)/INDEX('Player Data'!$E:$E,AL20)*M20*L20*AM20</f>
        <v/>
      </c>
      <c r="R20" s="5">
        <f>INDEX('Player Data'!$J:$J,AL20)/INDEX('Player Data'!$E:$E,AL20)*M20*L20*AM20</f>
        <v/>
      </c>
      <c r="S20" s="5">
        <f>INDEX('Player Data'!$K:$K,AL20)/INDEX('Player Data'!$E:$E,AL20)*M20*L20*AM20</f>
        <v/>
      </c>
      <c r="T20" s="5">
        <f>INDEX('Player Data'!$L:$L,AL20)/INDEX('Player Data'!$E:$E,AL20)*M20*L20*AM20</f>
        <v/>
      </c>
      <c r="U20" s="7">
        <f>INDEX('Player Data'!$M:$M,AL20)</f>
        <v/>
      </c>
      <c r="V20" s="7">
        <f>INDEX('Player Data'!$N:$N,AL20)</f>
        <v/>
      </c>
      <c r="W20" s="5">
        <f>X20*U20</f>
        <v/>
      </c>
      <c r="X20" s="5">
        <f>INDEX('Player Data'!$O:$O,AL20)/INDEX('Player Data'!$E:$E,AL20)*M20*L20*AM20</f>
        <v/>
      </c>
      <c r="Y20" s="5">
        <f>Z20*V20</f>
        <v/>
      </c>
      <c r="Z20" s="5">
        <f>INDEX('Player Data'!$P:$P,AL20)/INDEX('Player Data'!$E:$E,AL20)*M20*L20*AM20</f>
        <v/>
      </c>
      <c r="AB20" s="3">
        <f>(N20-Pool!$D$2)/Pool!$E$2</f>
        <v/>
      </c>
      <c r="AC20" s="3">
        <f>(O20-Pool!$D$3)/Pool!$E$3</f>
        <v/>
      </c>
      <c r="AD20" s="3">
        <f>(P20-Pool!$D$4)/Pool!$E$4</f>
        <v/>
      </c>
      <c r="AE20" s="3">
        <f>(Q20-Pool!$D$5)/Pool!$E$5</f>
        <v/>
      </c>
      <c r="AF20" s="3">
        <f>(R20-Pool!$D$6)/Pool!$E$6</f>
        <v/>
      </c>
      <c r="AG20" s="3">
        <f>(S20-Pool!$D$7)/Pool!$E$7</f>
        <v/>
      </c>
      <c r="AH20" s="3">
        <f>(AS20-Pool!$D$8)/Pool!$E$8</f>
        <v/>
      </c>
      <c r="AI20" s="3">
        <f>(AT20-Pool!$D$9)/Pool!$E$9</f>
        <v/>
      </c>
      <c r="AJ20" s="3">
        <f>-(T20-Pool!$D$10)/Pool!$E$10</f>
        <v/>
      </c>
      <c r="AL20">
        <f>MATCH(B20,'Player Data'!$A:$A,0)</f>
        <v/>
      </c>
      <c r="AM20" s="3">
        <f>1+IF(Settings!$F$10="ON",IFERROR(VLOOKUP(TRIM(F20),Settings!$D$12:$F$17,3,FALSE),0),0)</f>
        <v/>
      </c>
      <c r="AN20">
        <f>IFERROR(LEFT(C20,FIND(",",C20)-1),C20)</f>
        <v/>
      </c>
      <c r="AO20" s="6">
        <f>X20*(U20-Pool!$B$12)</f>
        <v/>
      </c>
      <c r="AP20" s="6">
        <f>Z20*(V20-Pool!$B$13)</f>
        <v/>
      </c>
      <c r="AQ20" s="3">
        <f>Settings!$B$2*(N20-Pool!$B$2)/Pool!$C$2+Settings!$B$3*(O20-Pool!$B$3)/Pool!$C$3+Settings!$B$4*(P20-Pool!$B$4)/Pool!$C$4+Settings!$B$5*(Q20-Pool!$B$5)/Pool!$C$5+Settings!$B$6*(R20-Pool!$B$6)/Pool!$C$6+Settings!$B$7*(S20-Pool!$B$7)/Pool!$C$7+Settings!$B$8*(AO20-Pool!$B$8)/Pool!$C$8+Settings!$B$9*(AP20-Pool!$B$9)/Pool!$C$9+Settings!$B$10*-(T20-Pool!$B$10)/Pool!$C$10</f>
        <v/>
      </c>
      <c r="AR20">
        <f>IF(RANK(AQ20,$AQ$2:$AQ$266)&lt;=Settings!$F$5,1,0)</f>
        <v/>
      </c>
      <c r="AS20" s="6">
        <f>X20*(U20-Pool!$D$12)</f>
        <v/>
      </c>
      <c r="AT20" s="6">
        <f>Z20*(V20-Pool!$D$13)</f>
        <v/>
      </c>
    </row>
    <row r="21">
      <c r="A21">
        <f>RANK(H21,$H$2:$H$266)</f>
        <v/>
      </c>
      <c r="B21" t="inlineStr">
        <is>
          <t>LaMelo Ball</t>
        </is>
      </c>
      <c r="C21">
        <f>INDEX('Player Data'!$C:$C,AL21)</f>
        <v/>
      </c>
      <c r="D21">
        <f>SUMPRODUCT(($AN$2:$AN$266=AN21)*($H$2:$H$266&gt;H21))+1</f>
        <v/>
      </c>
      <c r="E21">
        <f>INDEX('Player Data'!$B:$B,AL21)</f>
        <v/>
      </c>
      <c r="F21" s="2" t="n"/>
      <c r="G21" s="3">
        <f>Settings!$B$2*AB21+Settings!$B$3*AC21+Settings!$B$4*AD21+Settings!$B$5*AE21+Settings!$B$6*AF21+Settings!$B$7*AG21+Settings!$B$8*AH21+Settings!$B$9*AI21+Settings!$B$10*AJ21</f>
        <v/>
      </c>
      <c r="H21" s="3">
        <f>G21-LARGE($G$2:$G$266,Settings!$F$4)</f>
        <v/>
      </c>
      <c r="I21">
        <f>IF(INDEX('Player Data'!$R:$R,AL21)="","",INDEX('Player Data'!$R:$R,AL21))</f>
        <v/>
      </c>
      <c r="J21" s="4">
        <f>IF(I21="","",I21-A21)</f>
        <v/>
      </c>
      <c r="L21" s="5">
        <f>IF(Settings!$F$7="Yes",INDEX('Minutes &amp; Health'!$O:$O,AL21),Settings!$F$8)</f>
        <v/>
      </c>
      <c r="M21" s="6">
        <f>INDEX('Minutes &amp; Health'!$P:$P,AL21)</f>
        <v/>
      </c>
      <c r="N21" s="5">
        <f>INDEX('Player Data'!$F:$F,AL21)/INDEX('Player Data'!$E:$E,AL21)*M21*L21*AM21</f>
        <v/>
      </c>
      <c r="O21" s="5">
        <f>INDEX('Player Data'!$G:$G,AL21)/INDEX('Player Data'!$E:$E,AL21)*M21*L21*AM21</f>
        <v/>
      </c>
      <c r="P21" s="5">
        <f>INDEX('Player Data'!$H:$H,AL21)/INDEX('Player Data'!$E:$E,AL21)*M21*L21*AM21</f>
        <v/>
      </c>
      <c r="Q21" s="5">
        <f>INDEX('Player Data'!$I:$I,AL21)/INDEX('Player Data'!$E:$E,AL21)*M21*L21*AM21</f>
        <v/>
      </c>
      <c r="R21" s="5">
        <f>INDEX('Player Data'!$J:$J,AL21)/INDEX('Player Data'!$E:$E,AL21)*M21*L21*AM21</f>
        <v/>
      </c>
      <c r="S21" s="5">
        <f>INDEX('Player Data'!$K:$K,AL21)/INDEX('Player Data'!$E:$E,AL21)*M21*L21*AM21</f>
        <v/>
      </c>
      <c r="T21" s="5">
        <f>INDEX('Player Data'!$L:$L,AL21)/INDEX('Player Data'!$E:$E,AL21)*M21*L21*AM21</f>
        <v/>
      </c>
      <c r="U21" s="7">
        <f>INDEX('Player Data'!$M:$M,AL21)</f>
        <v/>
      </c>
      <c r="V21" s="7">
        <f>INDEX('Player Data'!$N:$N,AL21)</f>
        <v/>
      </c>
      <c r="W21" s="5">
        <f>X21*U21</f>
        <v/>
      </c>
      <c r="X21" s="5">
        <f>INDEX('Player Data'!$O:$O,AL21)/INDEX('Player Data'!$E:$E,AL21)*M21*L21*AM21</f>
        <v/>
      </c>
      <c r="Y21" s="5">
        <f>Z21*V21</f>
        <v/>
      </c>
      <c r="Z21" s="5">
        <f>INDEX('Player Data'!$P:$P,AL21)/INDEX('Player Data'!$E:$E,AL21)*M21*L21*AM21</f>
        <v/>
      </c>
      <c r="AB21" s="3">
        <f>(N21-Pool!$D$2)/Pool!$E$2</f>
        <v/>
      </c>
      <c r="AC21" s="3">
        <f>(O21-Pool!$D$3)/Pool!$E$3</f>
        <v/>
      </c>
      <c r="AD21" s="3">
        <f>(P21-Pool!$D$4)/Pool!$E$4</f>
        <v/>
      </c>
      <c r="AE21" s="3">
        <f>(Q21-Pool!$D$5)/Pool!$E$5</f>
        <v/>
      </c>
      <c r="AF21" s="3">
        <f>(R21-Pool!$D$6)/Pool!$E$6</f>
        <v/>
      </c>
      <c r="AG21" s="3">
        <f>(S21-Pool!$D$7)/Pool!$E$7</f>
        <v/>
      </c>
      <c r="AH21" s="3">
        <f>(AS21-Pool!$D$8)/Pool!$E$8</f>
        <v/>
      </c>
      <c r="AI21" s="3">
        <f>(AT21-Pool!$D$9)/Pool!$E$9</f>
        <v/>
      </c>
      <c r="AJ21" s="3">
        <f>-(T21-Pool!$D$10)/Pool!$E$10</f>
        <v/>
      </c>
      <c r="AL21">
        <f>MATCH(B21,'Player Data'!$A:$A,0)</f>
        <v/>
      </c>
      <c r="AM21" s="3">
        <f>1+IF(Settings!$F$10="ON",IFERROR(VLOOKUP(TRIM(F21),Settings!$D$12:$F$17,3,FALSE),0),0)</f>
        <v/>
      </c>
      <c r="AN21">
        <f>IFERROR(LEFT(C21,FIND(",",C21)-1),C21)</f>
        <v/>
      </c>
      <c r="AO21" s="6">
        <f>X21*(U21-Pool!$B$12)</f>
        <v/>
      </c>
      <c r="AP21" s="6">
        <f>Z21*(V21-Pool!$B$13)</f>
        <v/>
      </c>
      <c r="AQ21" s="3">
        <f>Settings!$B$2*(N21-Pool!$B$2)/Pool!$C$2+Settings!$B$3*(O21-Pool!$B$3)/Pool!$C$3+Settings!$B$4*(P21-Pool!$B$4)/Pool!$C$4+Settings!$B$5*(Q21-Pool!$B$5)/Pool!$C$5+Settings!$B$6*(R21-Pool!$B$6)/Pool!$C$6+Settings!$B$7*(S21-Pool!$B$7)/Pool!$C$7+Settings!$B$8*(AO21-Pool!$B$8)/Pool!$C$8+Settings!$B$9*(AP21-Pool!$B$9)/Pool!$C$9+Settings!$B$10*-(T21-Pool!$B$10)/Pool!$C$10</f>
        <v/>
      </c>
      <c r="AR21">
        <f>IF(RANK(AQ21,$AQ$2:$AQ$266)&lt;=Settings!$F$5,1,0)</f>
        <v/>
      </c>
      <c r="AS21" s="6">
        <f>X21*(U21-Pool!$D$12)</f>
        <v/>
      </c>
      <c r="AT21" s="6">
        <f>Z21*(V21-Pool!$D$13)</f>
        <v/>
      </c>
    </row>
    <row r="22">
      <c r="A22">
        <f>RANK(H22,$H$2:$H$266)</f>
        <v/>
      </c>
      <c r="B22" t="inlineStr">
        <is>
          <t>Jalen Duren</t>
        </is>
      </c>
      <c r="C22">
        <f>INDEX('Player Data'!$C:$C,AL22)</f>
        <v/>
      </c>
      <c r="D22">
        <f>SUMPRODUCT(($AN$2:$AN$266=AN22)*($H$2:$H$266&gt;H22))+1</f>
        <v/>
      </c>
      <c r="E22">
        <f>INDEX('Player Data'!$B:$B,AL22)</f>
        <v/>
      </c>
      <c r="F22" s="2" t="n"/>
      <c r="G22" s="3">
        <f>Settings!$B$2*AB22+Settings!$B$3*AC22+Settings!$B$4*AD22+Settings!$B$5*AE22+Settings!$B$6*AF22+Settings!$B$7*AG22+Settings!$B$8*AH22+Settings!$B$9*AI22+Settings!$B$10*AJ22</f>
        <v/>
      </c>
      <c r="H22" s="3">
        <f>G22-LARGE($G$2:$G$266,Settings!$F$4)</f>
        <v/>
      </c>
      <c r="I22">
        <f>IF(INDEX('Player Data'!$R:$R,AL22)="","",INDEX('Player Data'!$R:$R,AL22))</f>
        <v/>
      </c>
      <c r="J22" s="4">
        <f>IF(I22="","",I22-A22)</f>
        <v/>
      </c>
      <c r="L22" s="5">
        <f>IF(Settings!$F$7="Yes",INDEX('Minutes &amp; Health'!$O:$O,AL22),Settings!$F$8)</f>
        <v/>
      </c>
      <c r="M22" s="6">
        <f>INDEX('Minutes &amp; Health'!$P:$P,AL22)</f>
        <v/>
      </c>
      <c r="N22" s="5">
        <f>INDEX('Player Data'!$F:$F,AL22)/INDEX('Player Data'!$E:$E,AL22)*M22*L22*AM22</f>
        <v/>
      </c>
      <c r="O22" s="5">
        <f>INDEX('Player Data'!$G:$G,AL22)/INDEX('Player Data'!$E:$E,AL22)*M22*L22*AM22</f>
        <v/>
      </c>
      <c r="P22" s="5">
        <f>INDEX('Player Data'!$H:$H,AL22)/INDEX('Player Data'!$E:$E,AL22)*M22*L22*AM22</f>
        <v/>
      </c>
      <c r="Q22" s="5">
        <f>INDEX('Player Data'!$I:$I,AL22)/INDEX('Player Data'!$E:$E,AL22)*M22*L22*AM22</f>
        <v/>
      </c>
      <c r="R22" s="5">
        <f>INDEX('Player Data'!$J:$J,AL22)/INDEX('Player Data'!$E:$E,AL22)*M22*L22*AM22</f>
        <v/>
      </c>
      <c r="S22" s="5">
        <f>INDEX('Player Data'!$K:$K,AL22)/INDEX('Player Data'!$E:$E,AL22)*M22*L22*AM22</f>
        <v/>
      </c>
      <c r="T22" s="5">
        <f>INDEX('Player Data'!$L:$L,AL22)/INDEX('Player Data'!$E:$E,AL22)*M22*L22*AM22</f>
        <v/>
      </c>
      <c r="U22" s="7">
        <f>INDEX('Player Data'!$M:$M,AL22)</f>
        <v/>
      </c>
      <c r="V22" s="7">
        <f>INDEX('Player Data'!$N:$N,AL22)</f>
        <v/>
      </c>
      <c r="W22" s="5">
        <f>X22*U22</f>
        <v/>
      </c>
      <c r="X22" s="5">
        <f>INDEX('Player Data'!$O:$O,AL22)/INDEX('Player Data'!$E:$E,AL22)*M22*L22*AM22</f>
        <v/>
      </c>
      <c r="Y22" s="5">
        <f>Z22*V22</f>
        <v/>
      </c>
      <c r="Z22" s="5">
        <f>INDEX('Player Data'!$P:$P,AL22)/INDEX('Player Data'!$E:$E,AL22)*M22*L22*AM22</f>
        <v/>
      </c>
      <c r="AB22" s="3">
        <f>(N22-Pool!$D$2)/Pool!$E$2</f>
        <v/>
      </c>
      <c r="AC22" s="3">
        <f>(O22-Pool!$D$3)/Pool!$E$3</f>
        <v/>
      </c>
      <c r="AD22" s="3">
        <f>(P22-Pool!$D$4)/Pool!$E$4</f>
        <v/>
      </c>
      <c r="AE22" s="3">
        <f>(Q22-Pool!$D$5)/Pool!$E$5</f>
        <v/>
      </c>
      <c r="AF22" s="3">
        <f>(R22-Pool!$D$6)/Pool!$E$6</f>
        <v/>
      </c>
      <c r="AG22" s="3">
        <f>(S22-Pool!$D$7)/Pool!$E$7</f>
        <v/>
      </c>
      <c r="AH22" s="3">
        <f>(AS22-Pool!$D$8)/Pool!$E$8</f>
        <v/>
      </c>
      <c r="AI22" s="3">
        <f>(AT22-Pool!$D$9)/Pool!$E$9</f>
        <v/>
      </c>
      <c r="AJ22" s="3">
        <f>-(T22-Pool!$D$10)/Pool!$E$10</f>
        <v/>
      </c>
      <c r="AL22">
        <f>MATCH(B22,'Player Data'!$A:$A,0)</f>
        <v/>
      </c>
      <c r="AM22" s="3">
        <f>1+IF(Settings!$F$10="ON",IFERROR(VLOOKUP(TRIM(F22),Settings!$D$12:$F$17,3,FALSE),0),0)</f>
        <v/>
      </c>
      <c r="AN22">
        <f>IFERROR(LEFT(C22,FIND(",",C22)-1),C22)</f>
        <v/>
      </c>
      <c r="AO22" s="6">
        <f>X22*(U22-Pool!$B$12)</f>
        <v/>
      </c>
      <c r="AP22" s="6">
        <f>Z22*(V22-Pool!$B$13)</f>
        <v/>
      </c>
      <c r="AQ22" s="3">
        <f>Settings!$B$2*(N22-Pool!$B$2)/Pool!$C$2+Settings!$B$3*(O22-Pool!$B$3)/Pool!$C$3+Settings!$B$4*(P22-Pool!$B$4)/Pool!$C$4+Settings!$B$5*(Q22-Pool!$B$5)/Pool!$C$5+Settings!$B$6*(R22-Pool!$B$6)/Pool!$C$6+Settings!$B$7*(S22-Pool!$B$7)/Pool!$C$7+Settings!$B$8*(AO22-Pool!$B$8)/Pool!$C$8+Settings!$B$9*(AP22-Pool!$B$9)/Pool!$C$9+Settings!$B$10*-(T22-Pool!$B$10)/Pool!$C$10</f>
        <v/>
      </c>
      <c r="AR22">
        <f>IF(RANK(AQ22,$AQ$2:$AQ$266)&lt;=Settings!$F$5,1,0)</f>
        <v/>
      </c>
      <c r="AS22" s="6">
        <f>X22*(U22-Pool!$D$12)</f>
        <v/>
      </c>
      <c r="AT22" s="6">
        <f>Z22*(V22-Pool!$D$13)</f>
        <v/>
      </c>
    </row>
    <row r="23">
      <c r="A23">
        <f>RANK(H23,$H$2:$H$266)</f>
        <v/>
      </c>
      <c r="B23" t="inlineStr">
        <is>
          <t>Trey Murphy III</t>
        </is>
      </c>
      <c r="C23">
        <f>INDEX('Player Data'!$C:$C,AL23)</f>
        <v/>
      </c>
      <c r="D23">
        <f>SUMPRODUCT(($AN$2:$AN$266=AN23)*($H$2:$H$266&gt;H23))+1</f>
        <v/>
      </c>
      <c r="E23">
        <f>INDEX('Player Data'!$B:$B,AL23)</f>
        <v/>
      </c>
      <c r="F23" s="2" t="n"/>
      <c r="G23" s="3">
        <f>Settings!$B$2*AB23+Settings!$B$3*AC23+Settings!$B$4*AD23+Settings!$B$5*AE23+Settings!$B$6*AF23+Settings!$B$7*AG23+Settings!$B$8*AH23+Settings!$B$9*AI23+Settings!$B$10*AJ23</f>
        <v/>
      </c>
      <c r="H23" s="3">
        <f>G23-LARGE($G$2:$G$266,Settings!$F$4)</f>
        <v/>
      </c>
      <c r="I23">
        <f>IF(INDEX('Player Data'!$R:$R,AL23)="","",INDEX('Player Data'!$R:$R,AL23))</f>
        <v/>
      </c>
      <c r="J23" s="4">
        <f>IF(I23="","",I23-A23)</f>
        <v/>
      </c>
      <c r="L23" s="5">
        <f>IF(Settings!$F$7="Yes",INDEX('Minutes &amp; Health'!$O:$O,AL23),Settings!$F$8)</f>
        <v/>
      </c>
      <c r="M23" s="6">
        <f>INDEX('Minutes &amp; Health'!$P:$P,AL23)</f>
        <v/>
      </c>
      <c r="N23" s="5">
        <f>INDEX('Player Data'!$F:$F,AL23)/INDEX('Player Data'!$E:$E,AL23)*M23*L23*AM23</f>
        <v/>
      </c>
      <c r="O23" s="5">
        <f>INDEX('Player Data'!$G:$G,AL23)/INDEX('Player Data'!$E:$E,AL23)*M23*L23*AM23</f>
        <v/>
      </c>
      <c r="P23" s="5">
        <f>INDEX('Player Data'!$H:$H,AL23)/INDEX('Player Data'!$E:$E,AL23)*M23*L23*AM23</f>
        <v/>
      </c>
      <c r="Q23" s="5">
        <f>INDEX('Player Data'!$I:$I,AL23)/INDEX('Player Data'!$E:$E,AL23)*M23*L23*AM23</f>
        <v/>
      </c>
      <c r="R23" s="5">
        <f>INDEX('Player Data'!$J:$J,AL23)/INDEX('Player Data'!$E:$E,AL23)*M23*L23*AM23</f>
        <v/>
      </c>
      <c r="S23" s="5">
        <f>INDEX('Player Data'!$K:$K,AL23)/INDEX('Player Data'!$E:$E,AL23)*M23*L23*AM23</f>
        <v/>
      </c>
      <c r="T23" s="5">
        <f>INDEX('Player Data'!$L:$L,AL23)/INDEX('Player Data'!$E:$E,AL23)*M23*L23*AM23</f>
        <v/>
      </c>
      <c r="U23" s="7">
        <f>INDEX('Player Data'!$M:$M,AL23)</f>
        <v/>
      </c>
      <c r="V23" s="7">
        <f>INDEX('Player Data'!$N:$N,AL23)</f>
        <v/>
      </c>
      <c r="W23" s="5">
        <f>X23*U23</f>
        <v/>
      </c>
      <c r="X23" s="5">
        <f>INDEX('Player Data'!$O:$O,AL23)/INDEX('Player Data'!$E:$E,AL23)*M23*L23*AM23</f>
        <v/>
      </c>
      <c r="Y23" s="5">
        <f>Z23*V23</f>
        <v/>
      </c>
      <c r="Z23" s="5">
        <f>INDEX('Player Data'!$P:$P,AL23)/INDEX('Player Data'!$E:$E,AL23)*M23*L23*AM23</f>
        <v/>
      </c>
      <c r="AB23" s="3">
        <f>(N23-Pool!$D$2)/Pool!$E$2</f>
        <v/>
      </c>
      <c r="AC23" s="3">
        <f>(O23-Pool!$D$3)/Pool!$E$3</f>
        <v/>
      </c>
      <c r="AD23" s="3">
        <f>(P23-Pool!$D$4)/Pool!$E$4</f>
        <v/>
      </c>
      <c r="AE23" s="3">
        <f>(Q23-Pool!$D$5)/Pool!$E$5</f>
        <v/>
      </c>
      <c r="AF23" s="3">
        <f>(R23-Pool!$D$6)/Pool!$E$6</f>
        <v/>
      </c>
      <c r="AG23" s="3">
        <f>(S23-Pool!$D$7)/Pool!$E$7</f>
        <v/>
      </c>
      <c r="AH23" s="3">
        <f>(AS23-Pool!$D$8)/Pool!$E$8</f>
        <v/>
      </c>
      <c r="AI23" s="3">
        <f>(AT23-Pool!$D$9)/Pool!$E$9</f>
        <v/>
      </c>
      <c r="AJ23" s="3">
        <f>-(T23-Pool!$D$10)/Pool!$E$10</f>
        <v/>
      </c>
      <c r="AL23">
        <f>MATCH(B23,'Player Data'!$A:$A,0)</f>
        <v/>
      </c>
      <c r="AM23" s="3">
        <f>1+IF(Settings!$F$10="ON",IFERROR(VLOOKUP(TRIM(F23),Settings!$D$12:$F$17,3,FALSE),0),0)</f>
        <v/>
      </c>
      <c r="AN23">
        <f>IFERROR(LEFT(C23,FIND(",",C23)-1),C23)</f>
        <v/>
      </c>
      <c r="AO23" s="6">
        <f>X23*(U23-Pool!$B$12)</f>
        <v/>
      </c>
      <c r="AP23" s="6">
        <f>Z23*(V23-Pool!$B$13)</f>
        <v/>
      </c>
      <c r="AQ23" s="3">
        <f>Settings!$B$2*(N23-Pool!$B$2)/Pool!$C$2+Settings!$B$3*(O23-Pool!$B$3)/Pool!$C$3+Settings!$B$4*(P23-Pool!$B$4)/Pool!$C$4+Settings!$B$5*(Q23-Pool!$B$5)/Pool!$C$5+Settings!$B$6*(R23-Pool!$B$6)/Pool!$C$6+Settings!$B$7*(S23-Pool!$B$7)/Pool!$C$7+Settings!$B$8*(AO23-Pool!$B$8)/Pool!$C$8+Settings!$B$9*(AP23-Pool!$B$9)/Pool!$C$9+Settings!$B$10*-(T23-Pool!$B$10)/Pool!$C$10</f>
        <v/>
      </c>
      <c r="AR23">
        <f>IF(RANK(AQ23,$AQ$2:$AQ$266)&lt;=Settings!$F$5,1,0)</f>
        <v/>
      </c>
      <c r="AS23" s="6">
        <f>X23*(U23-Pool!$D$12)</f>
        <v/>
      </c>
      <c r="AT23" s="6">
        <f>Z23*(V23-Pool!$D$13)</f>
        <v/>
      </c>
    </row>
    <row r="24">
      <c r="A24">
        <f>RANK(H24,$H$2:$H$266)</f>
        <v/>
      </c>
      <c r="B24" t="inlineStr">
        <is>
          <t>Amen Thompson</t>
        </is>
      </c>
      <c r="C24">
        <f>INDEX('Player Data'!$C:$C,AL24)</f>
        <v/>
      </c>
      <c r="D24">
        <f>SUMPRODUCT(($AN$2:$AN$266=AN24)*($H$2:$H$266&gt;H24))+1</f>
        <v/>
      </c>
      <c r="E24">
        <f>INDEX('Player Data'!$B:$B,AL24)</f>
        <v/>
      </c>
      <c r="F24" s="2" t="n"/>
      <c r="G24" s="3">
        <f>Settings!$B$2*AB24+Settings!$B$3*AC24+Settings!$B$4*AD24+Settings!$B$5*AE24+Settings!$B$6*AF24+Settings!$B$7*AG24+Settings!$B$8*AH24+Settings!$B$9*AI24+Settings!$B$10*AJ24</f>
        <v/>
      </c>
      <c r="H24" s="3">
        <f>G24-LARGE($G$2:$G$266,Settings!$F$4)</f>
        <v/>
      </c>
      <c r="I24">
        <f>IF(INDEX('Player Data'!$R:$R,AL24)="","",INDEX('Player Data'!$R:$R,AL24))</f>
        <v/>
      </c>
      <c r="J24" s="4">
        <f>IF(I24="","",I24-A24)</f>
        <v/>
      </c>
      <c r="L24" s="5">
        <f>IF(Settings!$F$7="Yes",INDEX('Minutes &amp; Health'!$O:$O,AL24),Settings!$F$8)</f>
        <v/>
      </c>
      <c r="M24" s="6">
        <f>INDEX('Minutes &amp; Health'!$P:$P,AL24)</f>
        <v/>
      </c>
      <c r="N24" s="5">
        <f>INDEX('Player Data'!$F:$F,AL24)/INDEX('Player Data'!$E:$E,AL24)*M24*L24*AM24</f>
        <v/>
      </c>
      <c r="O24" s="5">
        <f>INDEX('Player Data'!$G:$G,AL24)/INDEX('Player Data'!$E:$E,AL24)*M24*L24*AM24</f>
        <v/>
      </c>
      <c r="P24" s="5">
        <f>INDEX('Player Data'!$H:$H,AL24)/INDEX('Player Data'!$E:$E,AL24)*M24*L24*AM24</f>
        <v/>
      </c>
      <c r="Q24" s="5">
        <f>INDEX('Player Data'!$I:$I,AL24)/INDEX('Player Data'!$E:$E,AL24)*M24*L24*AM24</f>
        <v/>
      </c>
      <c r="R24" s="5">
        <f>INDEX('Player Data'!$J:$J,AL24)/INDEX('Player Data'!$E:$E,AL24)*M24*L24*AM24</f>
        <v/>
      </c>
      <c r="S24" s="5">
        <f>INDEX('Player Data'!$K:$K,AL24)/INDEX('Player Data'!$E:$E,AL24)*M24*L24*AM24</f>
        <v/>
      </c>
      <c r="T24" s="5">
        <f>INDEX('Player Data'!$L:$L,AL24)/INDEX('Player Data'!$E:$E,AL24)*M24*L24*AM24</f>
        <v/>
      </c>
      <c r="U24" s="7">
        <f>INDEX('Player Data'!$M:$M,AL24)</f>
        <v/>
      </c>
      <c r="V24" s="7">
        <f>INDEX('Player Data'!$N:$N,AL24)</f>
        <v/>
      </c>
      <c r="W24" s="5">
        <f>X24*U24</f>
        <v/>
      </c>
      <c r="X24" s="5">
        <f>INDEX('Player Data'!$O:$O,AL24)/INDEX('Player Data'!$E:$E,AL24)*M24*L24*AM24</f>
        <v/>
      </c>
      <c r="Y24" s="5">
        <f>Z24*V24</f>
        <v/>
      </c>
      <c r="Z24" s="5">
        <f>INDEX('Player Data'!$P:$P,AL24)/INDEX('Player Data'!$E:$E,AL24)*M24*L24*AM24</f>
        <v/>
      </c>
      <c r="AB24" s="3">
        <f>(N24-Pool!$D$2)/Pool!$E$2</f>
        <v/>
      </c>
      <c r="AC24" s="3">
        <f>(O24-Pool!$D$3)/Pool!$E$3</f>
        <v/>
      </c>
      <c r="AD24" s="3">
        <f>(P24-Pool!$D$4)/Pool!$E$4</f>
        <v/>
      </c>
      <c r="AE24" s="3">
        <f>(Q24-Pool!$D$5)/Pool!$E$5</f>
        <v/>
      </c>
      <c r="AF24" s="3">
        <f>(R24-Pool!$D$6)/Pool!$E$6</f>
        <v/>
      </c>
      <c r="AG24" s="3">
        <f>(S24-Pool!$D$7)/Pool!$E$7</f>
        <v/>
      </c>
      <c r="AH24" s="3">
        <f>(AS24-Pool!$D$8)/Pool!$E$8</f>
        <v/>
      </c>
      <c r="AI24" s="3">
        <f>(AT24-Pool!$D$9)/Pool!$E$9</f>
        <v/>
      </c>
      <c r="AJ24" s="3">
        <f>-(T24-Pool!$D$10)/Pool!$E$10</f>
        <v/>
      </c>
      <c r="AL24">
        <f>MATCH(B24,'Player Data'!$A:$A,0)</f>
        <v/>
      </c>
      <c r="AM24" s="3">
        <f>1+IF(Settings!$F$10="ON",IFERROR(VLOOKUP(TRIM(F24),Settings!$D$12:$F$17,3,FALSE),0),0)</f>
        <v/>
      </c>
      <c r="AN24">
        <f>IFERROR(LEFT(C24,FIND(",",C24)-1),C24)</f>
        <v/>
      </c>
      <c r="AO24" s="6">
        <f>X24*(U24-Pool!$B$12)</f>
        <v/>
      </c>
      <c r="AP24" s="6">
        <f>Z24*(V24-Pool!$B$13)</f>
        <v/>
      </c>
      <c r="AQ24" s="3">
        <f>Settings!$B$2*(N24-Pool!$B$2)/Pool!$C$2+Settings!$B$3*(O24-Pool!$B$3)/Pool!$C$3+Settings!$B$4*(P24-Pool!$B$4)/Pool!$C$4+Settings!$B$5*(Q24-Pool!$B$5)/Pool!$C$5+Settings!$B$6*(R24-Pool!$B$6)/Pool!$C$6+Settings!$B$7*(S24-Pool!$B$7)/Pool!$C$7+Settings!$B$8*(AO24-Pool!$B$8)/Pool!$C$8+Settings!$B$9*(AP24-Pool!$B$9)/Pool!$C$9+Settings!$B$10*-(T24-Pool!$B$10)/Pool!$C$10</f>
        <v/>
      </c>
      <c r="AR24">
        <f>IF(RANK(AQ24,$AQ$2:$AQ$266)&lt;=Settings!$F$5,1,0)</f>
        <v/>
      </c>
      <c r="AS24" s="6">
        <f>X24*(U24-Pool!$D$12)</f>
        <v/>
      </c>
      <c r="AT24" s="6">
        <f>Z24*(V24-Pool!$D$13)</f>
        <v/>
      </c>
    </row>
    <row r="25">
      <c r="A25">
        <f>RANK(H25,$H$2:$H$266)</f>
        <v/>
      </c>
      <c r="B25" t="inlineStr">
        <is>
          <t>Kawhi Leonard</t>
        </is>
      </c>
      <c r="C25">
        <f>INDEX('Player Data'!$C:$C,AL25)</f>
        <v/>
      </c>
      <c r="D25">
        <f>SUMPRODUCT(($AN$2:$AN$266=AN25)*($H$2:$H$266&gt;H25))+1</f>
        <v/>
      </c>
      <c r="E25">
        <f>INDEX('Player Data'!$B:$B,AL25)</f>
        <v/>
      </c>
      <c r="F25" s="2" t="n"/>
      <c r="G25" s="3">
        <f>Settings!$B$2*AB25+Settings!$B$3*AC25+Settings!$B$4*AD25+Settings!$B$5*AE25+Settings!$B$6*AF25+Settings!$B$7*AG25+Settings!$B$8*AH25+Settings!$B$9*AI25+Settings!$B$10*AJ25</f>
        <v/>
      </c>
      <c r="H25" s="3">
        <f>G25-LARGE($G$2:$G$266,Settings!$F$4)</f>
        <v/>
      </c>
      <c r="I25">
        <f>IF(INDEX('Player Data'!$R:$R,AL25)="","",INDEX('Player Data'!$R:$R,AL25))</f>
        <v/>
      </c>
      <c r="J25" s="4">
        <f>IF(I25="","",I25-A25)</f>
        <v/>
      </c>
      <c r="L25" s="5">
        <f>IF(Settings!$F$7="Yes",INDEX('Minutes &amp; Health'!$O:$O,AL25),Settings!$F$8)</f>
        <v/>
      </c>
      <c r="M25" s="6">
        <f>INDEX('Minutes &amp; Health'!$P:$P,AL25)</f>
        <v/>
      </c>
      <c r="N25" s="5">
        <f>INDEX('Player Data'!$F:$F,AL25)/INDEX('Player Data'!$E:$E,AL25)*M25*L25*AM25</f>
        <v/>
      </c>
      <c r="O25" s="5">
        <f>INDEX('Player Data'!$G:$G,AL25)/INDEX('Player Data'!$E:$E,AL25)*M25*L25*AM25</f>
        <v/>
      </c>
      <c r="P25" s="5">
        <f>INDEX('Player Data'!$H:$H,AL25)/INDEX('Player Data'!$E:$E,AL25)*M25*L25*AM25</f>
        <v/>
      </c>
      <c r="Q25" s="5">
        <f>INDEX('Player Data'!$I:$I,AL25)/INDEX('Player Data'!$E:$E,AL25)*M25*L25*AM25</f>
        <v/>
      </c>
      <c r="R25" s="5">
        <f>INDEX('Player Data'!$J:$J,AL25)/INDEX('Player Data'!$E:$E,AL25)*M25*L25*AM25</f>
        <v/>
      </c>
      <c r="S25" s="5">
        <f>INDEX('Player Data'!$K:$K,AL25)/INDEX('Player Data'!$E:$E,AL25)*M25*L25*AM25</f>
        <v/>
      </c>
      <c r="T25" s="5">
        <f>INDEX('Player Data'!$L:$L,AL25)/INDEX('Player Data'!$E:$E,AL25)*M25*L25*AM25</f>
        <v/>
      </c>
      <c r="U25" s="7">
        <f>INDEX('Player Data'!$M:$M,AL25)</f>
        <v/>
      </c>
      <c r="V25" s="7">
        <f>INDEX('Player Data'!$N:$N,AL25)</f>
        <v/>
      </c>
      <c r="W25" s="5">
        <f>X25*U25</f>
        <v/>
      </c>
      <c r="X25" s="5">
        <f>INDEX('Player Data'!$O:$O,AL25)/INDEX('Player Data'!$E:$E,AL25)*M25*L25*AM25</f>
        <v/>
      </c>
      <c r="Y25" s="5">
        <f>Z25*V25</f>
        <v/>
      </c>
      <c r="Z25" s="5">
        <f>INDEX('Player Data'!$P:$P,AL25)/INDEX('Player Data'!$E:$E,AL25)*M25*L25*AM25</f>
        <v/>
      </c>
      <c r="AB25" s="3">
        <f>(N25-Pool!$D$2)/Pool!$E$2</f>
        <v/>
      </c>
      <c r="AC25" s="3">
        <f>(O25-Pool!$D$3)/Pool!$E$3</f>
        <v/>
      </c>
      <c r="AD25" s="3">
        <f>(P25-Pool!$D$4)/Pool!$E$4</f>
        <v/>
      </c>
      <c r="AE25" s="3">
        <f>(Q25-Pool!$D$5)/Pool!$E$5</f>
        <v/>
      </c>
      <c r="AF25" s="3">
        <f>(R25-Pool!$D$6)/Pool!$E$6</f>
        <v/>
      </c>
      <c r="AG25" s="3">
        <f>(S25-Pool!$D$7)/Pool!$E$7</f>
        <v/>
      </c>
      <c r="AH25" s="3">
        <f>(AS25-Pool!$D$8)/Pool!$E$8</f>
        <v/>
      </c>
      <c r="AI25" s="3">
        <f>(AT25-Pool!$D$9)/Pool!$E$9</f>
        <v/>
      </c>
      <c r="AJ25" s="3">
        <f>-(T25-Pool!$D$10)/Pool!$E$10</f>
        <v/>
      </c>
      <c r="AL25">
        <f>MATCH(B25,'Player Data'!$A:$A,0)</f>
        <v/>
      </c>
      <c r="AM25" s="3">
        <f>1+IF(Settings!$F$10="ON",IFERROR(VLOOKUP(TRIM(F25),Settings!$D$12:$F$17,3,FALSE),0),0)</f>
        <v/>
      </c>
      <c r="AN25">
        <f>IFERROR(LEFT(C25,FIND(",",C25)-1),C25)</f>
        <v/>
      </c>
      <c r="AO25" s="6">
        <f>X25*(U25-Pool!$B$12)</f>
        <v/>
      </c>
      <c r="AP25" s="6">
        <f>Z25*(V25-Pool!$B$13)</f>
        <v/>
      </c>
      <c r="AQ25" s="3">
        <f>Settings!$B$2*(N25-Pool!$B$2)/Pool!$C$2+Settings!$B$3*(O25-Pool!$B$3)/Pool!$C$3+Settings!$B$4*(P25-Pool!$B$4)/Pool!$C$4+Settings!$B$5*(Q25-Pool!$B$5)/Pool!$C$5+Settings!$B$6*(R25-Pool!$B$6)/Pool!$C$6+Settings!$B$7*(S25-Pool!$B$7)/Pool!$C$7+Settings!$B$8*(AO25-Pool!$B$8)/Pool!$C$8+Settings!$B$9*(AP25-Pool!$B$9)/Pool!$C$9+Settings!$B$10*-(T25-Pool!$B$10)/Pool!$C$10</f>
        <v/>
      </c>
      <c r="AR25">
        <f>IF(RANK(AQ25,$AQ$2:$AQ$266)&lt;=Settings!$F$5,1,0)</f>
        <v/>
      </c>
      <c r="AS25" s="6">
        <f>X25*(U25-Pool!$D$12)</f>
        <v/>
      </c>
      <c r="AT25" s="6">
        <f>Z25*(V25-Pool!$D$13)</f>
        <v/>
      </c>
    </row>
    <row r="26">
      <c r="A26">
        <f>RANK(H26,$H$2:$H$266)</f>
        <v/>
      </c>
      <c r="B26" t="inlineStr">
        <is>
          <t>Evan Mobley</t>
        </is>
      </c>
      <c r="C26">
        <f>INDEX('Player Data'!$C:$C,AL26)</f>
        <v/>
      </c>
      <c r="D26">
        <f>SUMPRODUCT(($AN$2:$AN$266=AN26)*($H$2:$H$266&gt;H26))+1</f>
        <v/>
      </c>
      <c r="E26">
        <f>INDEX('Player Data'!$B:$B,AL26)</f>
        <v/>
      </c>
      <c r="F26" s="2" t="n"/>
      <c r="G26" s="3">
        <f>Settings!$B$2*AB26+Settings!$B$3*AC26+Settings!$B$4*AD26+Settings!$B$5*AE26+Settings!$B$6*AF26+Settings!$B$7*AG26+Settings!$B$8*AH26+Settings!$B$9*AI26+Settings!$B$10*AJ26</f>
        <v/>
      </c>
      <c r="H26" s="3">
        <f>G26-LARGE($G$2:$G$266,Settings!$F$4)</f>
        <v/>
      </c>
      <c r="I26">
        <f>IF(INDEX('Player Data'!$R:$R,AL26)="","",INDEX('Player Data'!$R:$R,AL26))</f>
        <v/>
      </c>
      <c r="J26" s="4">
        <f>IF(I26="","",I26-A26)</f>
        <v/>
      </c>
      <c r="L26" s="5">
        <f>IF(Settings!$F$7="Yes",INDEX('Minutes &amp; Health'!$O:$O,AL26),Settings!$F$8)</f>
        <v/>
      </c>
      <c r="M26" s="6">
        <f>INDEX('Minutes &amp; Health'!$P:$P,AL26)</f>
        <v/>
      </c>
      <c r="N26" s="5">
        <f>INDEX('Player Data'!$F:$F,AL26)/INDEX('Player Data'!$E:$E,AL26)*M26*L26*AM26</f>
        <v/>
      </c>
      <c r="O26" s="5">
        <f>INDEX('Player Data'!$G:$G,AL26)/INDEX('Player Data'!$E:$E,AL26)*M26*L26*AM26</f>
        <v/>
      </c>
      <c r="P26" s="5">
        <f>INDEX('Player Data'!$H:$H,AL26)/INDEX('Player Data'!$E:$E,AL26)*M26*L26*AM26</f>
        <v/>
      </c>
      <c r="Q26" s="5">
        <f>INDEX('Player Data'!$I:$I,AL26)/INDEX('Player Data'!$E:$E,AL26)*M26*L26*AM26</f>
        <v/>
      </c>
      <c r="R26" s="5">
        <f>INDEX('Player Data'!$J:$J,AL26)/INDEX('Player Data'!$E:$E,AL26)*M26*L26*AM26</f>
        <v/>
      </c>
      <c r="S26" s="5">
        <f>INDEX('Player Data'!$K:$K,AL26)/INDEX('Player Data'!$E:$E,AL26)*M26*L26*AM26</f>
        <v/>
      </c>
      <c r="T26" s="5">
        <f>INDEX('Player Data'!$L:$L,AL26)/INDEX('Player Data'!$E:$E,AL26)*M26*L26*AM26</f>
        <v/>
      </c>
      <c r="U26" s="7">
        <f>INDEX('Player Data'!$M:$M,AL26)</f>
        <v/>
      </c>
      <c r="V26" s="7">
        <f>INDEX('Player Data'!$N:$N,AL26)</f>
        <v/>
      </c>
      <c r="W26" s="5">
        <f>X26*U26</f>
        <v/>
      </c>
      <c r="X26" s="5">
        <f>INDEX('Player Data'!$O:$O,AL26)/INDEX('Player Data'!$E:$E,AL26)*M26*L26*AM26</f>
        <v/>
      </c>
      <c r="Y26" s="5">
        <f>Z26*V26</f>
        <v/>
      </c>
      <c r="Z26" s="5">
        <f>INDEX('Player Data'!$P:$P,AL26)/INDEX('Player Data'!$E:$E,AL26)*M26*L26*AM26</f>
        <v/>
      </c>
      <c r="AB26" s="3">
        <f>(N26-Pool!$D$2)/Pool!$E$2</f>
        <v/>
      </c>
      <c r="AC26" s="3">
        <f>(O26-Pool!$D$3)/Pool!$E$3</f>
        <v/>
      </c>
      <c r="AD26" s="3">
        <f>(P26-Pool!$D$4)/Pool!$E$4</f>
        <v/>
      </c>
      <c r="AE26" s="3">
        <f>(Q26-Pool!$D$5)/Pool!$E$5</f>
        <v/>
      </c>
      <c r="AF26" s="3">
        <f>(R26-Pool!$D$6)/Pool!$E$6</f>
        <v/>
      </c>
      <c r="AG26" s="3">
        <f>(S26-Pool!$D$7)/Pool!$E$7</f>
        <v/>
      </c>
      <c r="AH26" s="3">
        <f>(AS26-Pool!$D$8)/Pool!$E$8</f>
        <v/>
      </c>
      <c r="AI26" s="3">
        <f>(AT26-Pool!$D$9)/Pool!$E$9</f>
        <v/>
      </c>
      <c r="AJ26" s="3">
        <f>-(T26-Pool!$D$10)/Pool!$E$10</f>
        <v/>
      </c>
      <c r="AL26">
        <f>MATCH(B26,'Player Data'!$A:$A,0)</f>
        <v/>
      </c>
      <c r="AM26" s="3">
        <f>1+IF(Settings!$F$10="ON",IFERROR(VLOOKUP(TRIM(F26),Settings!$D$12:$F$17,3,FALSE),0),0)</f>
        <v/>
      </c>
      <c r="AN26">
        <f>IFERROR(LEFT(C26,FIND(",",C26)-1),C26)</f>
        <v/>
      </c>
      <c r="AO26" s="6">
        <f>X26*(U26-Pool!$B$12)</f>
        <v/>
      </c>
      <c r="AP26" s="6">
        <f>Z26*(V26-Pool!$B$13)</f>
        <v/>
      </c>
      <c r="AQ26" s="3">
        <f>Settings!$B$2*(N26-Pool!$B$2)/Pool!$C$2+Settings!$B$3*(O26-Pool!$B$3)/Pool!$C$3+Settings!$B$4*(P26-Pool!$B$4)/Pool!$C$4+Settings!$B$5*(Q26-Pool!$B$5)/Pool!$C$5+Settings!$B$6*(R26-Pool!$B$6)/Pool!$C$6+Settings!$B$7*(S26-Pool!$B$7)/Pool!$C$7+Settings!$B$8*(AO26-Pool!$B$8)/Pool!$C$8+Settings!$B$9*(AP26-Pool!$B$9)/Pool!$C$9+Settings!$B$10*-(T26-Pool!$B$10)/Pool!$C$10</f>
        <v/>
      </c>
      <c r="AR26">
        <f>IF(RANK(AQ26,$AQ$2:$AQ$266)&lt;=Settings!$F$5,1,0)</f>
        <v/>
      </c>
      <c r="AS26" s="6">
        <f>X26*(U26-Pool!$D$12)</f>
        <v/>
      </c>
      <c r="AT26" s="6">
        <f>Z26*(V26-Pool!$D$13)</f>
        <v/>
      </c>
    </row>
    <row r="27">
      <c r="A27">
        <f>RANK(H27,$H$2:$H$266)</f>
        <v/>
      </c>
      <c r="B27" t="inlineStr">
        <is>
          <t>Caleb Wilson</t>
        </is>
      </c>
      <c r="C27">
        <f>INDEX('Player Data'!$C:$C,AL27)</f>
        <v/>
      </c>
      <c r="D27">
        <f>SUMPRODUCT(($AN$2:$AN$266=AN27)*($H$2:$H$266&gt;H27))+1</f>
        <v/>
      </c>
      <c r="E27">
        <f>INDEX('Player Data'!$B:$B,AL27)</f>
        <v/>
      </c>
      <c r="F27" s="2" t="inlineStr">
        <is>
          <t>+ +</t>
        </is>
      </c>
      <c r="G27" s="3">
        <f>Settings!$B$2*AB27+Settings!$B$3*AC27+Settings!$B$4*AD27+Settings!$B$5*AE27+Settings!$B$6*AF27+Settings!$B$7*AG27+Settings!$B$8*AH27+Settings!$B$9*AI27+Settings!$B$10*AJ27</f>
        <v/>
      </c>
      <c r="H27" s="3">
        <f>G27-LARGE($G$2:$G$266,Settings!$F$4)</f>
        <v/>
      </c>
      <c r="I27">
        <f>IF(INDEX('Player Data'!$R:$R,AL27)="","",INDEX('Player Data'!$R:$R,AL27))</f>
        <v/>
      </c>
      <c r="J27" s="4">
        <f>IF(I27="","",I27-A27)</f>
        <v/>
      </c>
      <c r="L27" s="5">
        <f>IF(Settings!$F$7="Yes",INDEX('Minutes &amp; Health'!$O:$O,AL27),Settings!$F$8)</f>
        <v/>
      </c>
      <c r="M27" s="6">
        <f>INDEX('Minutes &amp; Health'!$P:$P,AL27)</f>
        <v/>
      </c>
      <c r="N27" s="5">
        <f>INDEX('Player Data'!$F:$F,AL27)/INDEX('Player Data'!$E:$E,AL27)*M27*L27*AM27</f>
        <v/>
      </c>
      <c r="O27" s="5">
        <f>INDEX('Player Data'!$G:$G,AL27)/INDEX('Player Data'!$E:$E,AL27)*M27*L27*AM27</f>
        <v/>
      </c>
      <c r="P27" s="5">
        <f>INDEX('Player Data'!$H:$H,AL27)/INDEX('Player Data'!$E:$E,AL27)*M27*L27*AM27</f>
        <v/>
      </c>
      <c r="Q27" s="5">
        <f>INDEX('Player Data'!$I:$I,AL27)/INDEX('Player Data'!$E:$E,AL27)*M27*L27*AM27</f>
        <v/>
      </c>
      <c r="R27" s="5">
        <f>INDEX('Player Data'!$J:$J,AL27)/INDEX('Player Data'!$E:$E,AL27)*M27*L27*AM27</f>
        <v/>
      </c>
      <c r="S27" s="5">
        <f>INDEX('Player Data'!$K:$K,AL27)/INDEX('Player Data'!$E:$E,AL27)*M27*L27*AM27</f>
        <v/>
      </c>
      <c r="T27" s="5">
        <f>INDEX('Player Data'!$L:$L,AL27)/INDEX('Player Data'!$E:$E,AL27)*M27*L27*AM27</f>
        <v/>
      </c>
      <c r="U27" s="7">
        <f>INDEX('Player Data'!$M:$M,AL27)</f>
        <v/>
      </c>
      <c r="V27" s="7">
        <f>INDEX('Player Data'!$N:$N,AL27)</f>
        <v/>
      </c>
      <c r="W27" s="5">
        <f>X27*U27</f>
        <v/>
      </c>
      <c r="X27" s="5">
        <f>INDEX('Player Data'!$O:$O,AL27)/INDEX('Player Data'!$E:$E,AL27)*M27*L27*AM27</f>
        <v/>
      </c>
      <c r="Y27" s="5">
        <f>Z27*V27</f>
        <v/>
      </c>
      <c r="Z27" s="5">
        <f>INDEX('Player Data'!$P:$P,AL27)/INDEX('Player Data'!$E:$E,AL27)*M27*L27*AM27</f>
        <v/>
      </c>
      <c r="AB27" s="3">
        <f>(N27-Pool!$D$2)/Pool!$E$2</f>
        <v/>
      </c>
      <c r="AC27" s="3">
        <f>(O27-Pool!$D$3)/Pool!$E$3</f>
        <v/>
      </c>
      <c r="AD27" s="3">
        <f>(P27-Pool!$D$4)/Pool!$E$4</f>
        <v/>
      </c>
      <c r="AE27" s="3">
        <f>(Q27-Pool!$D$5)/Pool!$E$5</f>
        <v/>
      </c>
      <c r="AF27" s="3">
        <f>(R27-Pool!$D$6)/Pool!$E$6</f>
        <v/>
      </c>
      <c r="AG27" s="3">
        <f>(S27-Pool!$D$7)/Pool!$E$7</f>
        <v/>
      </c>
      <c r="AH27" s="3">
        <f>(AS27-Pool!$D$8)/Pool!$E$8</f>
        <v/>
      </c>
      <c r="AI27" s="3">
        <f>(AT27-Pool!$D$9)/Pool!$E$9</f>
        <v/>
      </c>
      <c r="AJ27" s="3">
        <f>-(T27-Pool!$D$10)/Pool!$E$10</f>
        <v/>
      </c>
      <c r="AL27">
        <f>MATCH(B27,'Player Data'!$A:$A,0)</f>
        <v/>
      </c>
      <c r="AM27" s="3">
        <f>1+IF(Settings!$F$10="ON",IFERROR(VLOOKUP(TRIM(F27),Settings!$D$12:$F$17,3,FALSE),0),0)</f>
        <v/>
      </c>
      <c r="AN27">
        <f>IFERROR(LEFT(C27,FIND(",",C27)-1),C27)</f>
        <v/>
      </c>
      <c r="AO27" s="6">
        <f>X27*(U27-Pool!$B$12)</f>
        <v/>
      </c>
      <c r="AP27" s="6">
        <f>Z27*(V27-Pool!$B$13)</f>
        <v/>
      </c>
      <c r="AQ27" s="3">
        <f>Settings!$B$2*(N27-Pool!$B$2)/Pool!$C$2+Settings!$B$3*(O27-Pool!$B$3)/Pool!$C$3+Settings!$B$4*(P27-Pool!$B$4)/Pool!$C$4+Settings!$B$5*(Q27-Pool!$B$5)/Pool!$C$5+Settings!$B$6*(R27-Pool!$B$6)/Pool!$C$6+Settings!$B$7*(S27-Pool!$B$7)/Pool!$C$7+Settings!$B$8*(AO27-Pool!$B$8)/Pool!$C$8+Settings!$B$9*(AP27-Pool!$B$9)/Pool!$C$9+Settings!$B$10*-(T27-Pool!$B$10)/Pool!$C$10</f>
        <v/>
      </c>
      <c r="AR27">
        <f>IF(RANK(AQ27,$AQ$2:$AQ$266)&lt;=Settings!$F$5,1,0)</f>
        <v/>
      </c>
      <c r="AS27" s="6">
        <f>X27*(U27-Pool!$D$12)</f>
        <v/>
      </c>
      <c r="AT27" s="6">
        <f>Z27*(V27-Pool!$D$13)</f>
        <v/>
      </c>
    </row>
    <row r="28">
      <c r="A28">
        <f>RANK(H28,$H$2:$H$266)</f>
        <v/>
      </c>
      <c r="B28" t="inlineStr">
        <is>
          <t>Derrick White</t>
        </is>
      </c>
      <c r="C28">
        <f>INDEX('Player Data'!$C:$C,AL28)</f>
        <v/>
      </c>
      <c r="D28">
        <f>SUMPRODUCT(($AN$2:$AN$266=AN28)*($H$2:$H$266&gt;H28))+1</f>
        <v/>
      </c>
      <c r="E28">
        <f>INDEX('Player Data'!$B:$B,AL28)</f>
        <v/>
      </c>
      <c r="F28" s="2" t="n"/>
      <c r="G28" s="3">
        <f>Settings!$B$2*AB28+Settings!$B$3*AC28+Settings!$B$4*AD28+Settings!$B$5*AE28+Settings!$B$6*AF28+Settings!$B$7*AG28+Settings!$B$8*AH28+Settings!$B$9*AI28+Settings!$B$10*AJ28</f>
        <v/>
      </c>
      <c r="H28" s="3">
        <f>G28-LARGE($G$2:$G$266,Settings!$F$4)</f>
        <v/>
      </c>
      <c r="I28">
        <f>IF(INDEX('Player Data'!$R:$R,AL28)="","",INDEX('Player Data'!$R:$R,AL28))</f>
        <v/>
      </c>
      <c r="J28" s="4">
        <f>IF(I28="","",I28-A28)</f>
        <v/>
      </c>
      <c r="L28" s="5">
        <f>IF(Settings!$F$7="Yes",INDEX('Minutes &amp; Health'!$O:$O,AL28),Settings!$F$8)</f>
        <v/>
      </c>
      <c r="M28" s="6">
        <f>INDEX('Minutes &amp; Health'!$P:$P,AL28)</f>
        <v/>
      </c>
      <c r="N28" s="5">
        <f>INDEX('Player Data'!$F:$F,AL28)/INDEX('Player Data'!$E:$E,AL28)*M28*L28*AM28</f>
        <v/>
      </c>
      <c r="O28" s="5">
        <f>INDEX('Player Data'!$G:$G,AL28)/INDEX('Player Data'!$E:$E,AL28)*M28*L28*AM28</f>
        <v/>
      </c>
      <c r="P28" s="5">
        <f>INDEX('Player Data'!$H:$H,AL28)/INDEX('Player Data'!$E:$E,AL28)*M28*L28*AM28</f>
        <v/>
      </c>
      <c r="Q28" s="5">
        <f>INDEX('Player Data'!$I:$I,AL28)/INDEX('Player Data'!$E:$E,AL28)*M28*L28*AM28</f>
        <v/>
      </c>
      <c r="R28" s="5">
        <f>INDEX('Player Data'!$J:$J,AL28)/INDEX('Player Data'!$E:$E,AL28)*M28*L28*AM28</f>
        <v/>
      </c>
      <c r="S28" s="5">
        <f>INDEX('Player Data'!$K:$K,AL28)/INDEX('Player Data'!$E:$E,AL28)*M28*L28*AM28</f>
        <v/>
      </c>
      <c r="T28" s="5">
        <f>INDEX('Player Data'!$L:$L,AL28)/INDEX('Player Data'!$E:$E,AL28)*M28*L28*AM28</f>
        <v/>
      </c>
      <c r="U28" s="7">
        <f>INDEX('Player Data'!$M:$M,AL28)</f>
        <v/>
      </c>
      <c r="V28" s="7">
        <f>INDEX('Player Data'!$N:$N,AL28)</f>
        <v/>
      </c>
      <c r="W28" s="5">
        <f>X28*U28</f>
        <v/>
      </c>
      <c r="X28" s="5">
        <f>INDEX('Player Data'!$O:$O,AL28)/INDEX('Player Data'!$E:$E,AL28)*M28*L28*AM28</f>
        <v/>
      </c>
      <c r="Y28" s="5">
        <f>Z28*V28</f>
        <v/>
      </c>
      <c r="Z28" s="5">
        <f>INDEX('Player Data'!$P:$P,AL28)/INDEX('Player Data'!$E:$E,AL28)*M28*L28*AM28</f>
        <v/>
      </c>
      <c r="AB28" s="3">
        <f>(N28-Pool!$D$2)/Pool!$E$2</f>
        <v/>
      </c>
      <c r="AC28" s="3">
        <f>(O28-Pool!$D$3)/Pool!$E$3</f>
        <v/>
      </c>
      <c r="AD28" s="3">
        <f>(P28-Pool!$D$4)/Pool!$E$4</f>
        <v/>
      </c>
      <c r="AE28" s="3">
        <f>(Q28-Pool!$D$5)/Pool!$E$5</f>
        <v/>
      </c>
      <c r="AF28" s="3">
        <f>(R28-Pool!$D$6)/Pool!$E$6</f>
        <v/>
      </c>
      <c r="AG28" s="3">
        <f>(S28-Pool!$D$7)/Pool!$E$7</f>
        <v/>
      </c>
      <c r="AH28" s="3">
        <f>(AS28-Pool!$D$8)/Pool!$E$8</f>
        <v/>
      </c>
      <c r="AI28" s="3">
        <f>(AT28-Pool!$D$9)/Pool!$E$9</f>
        <v/>
      </c>
      <c r="AJ28" s="3">
        <f>-(T28-Pool!$D$10)/Pool!$E$10</f>
        <v/>
      </c>
      <c r="AL28">
        <f>MATCH(B28,'Player Data'!$A:$A,0)</f>
        <v/>
      </c>
      <c r="AM28" s="3">
        <f>1+IF(Settings!$F$10="ON",IFERROR(VLOOKUP(TRIM(F28),Settings!$D$12:$F$17,3,FALSE),0),0)</f>
        <v/>
      </c>
      <c r="AN28">
        <f>IFERROR(LEFT(C28,FIND(",",C28)-1),C28)</f>
        <v/>
      </c>
      <c r="AO28" s="6">
        <f>X28*(U28-Pool!$B$12)</f>
        <v/>
      </c>
      <c r="AP28" s="6">
        <f>Z28*(V28-Pool!$B$13)</f>
        <v/>
      </c>
      <c r="AQ28" s="3">
        <f>Settings!$B$2*(N28-Pool!$B$2)/Pool!$C$2+Settings!$B$3*(O28-Pool!$B$3)/Pool!$C$3+Settings!$B$4*(P28-Pool!$B$4)/Pool!$C$4+Settings!$B$5*(Q28-Pool!$B$5)/Pool!$C$5+Settings!$B$6*(R28-Pool!$B$6)/Pool!$C$6+Settings!$B$7*(S28-Pool!$B$7)/Pool!$C$7+Settings!$B$8*(AO28-Pool!$B$8)/Pool!$C$8+Settings!$B$9*(AP28-Pool!$B$9)/Pool!$C$9+Settings!$B$10*-(T28-Pool!$B$10)/Pool!$C$10</f>
        <v/>
      </c>
      <c r="AR28">
        <f>IF(RANK(AQ28,$AQ$2:$AQ$266)&lt;=Settings!$F$5,1,0)</f>
        <v/>
      </c>
      <c r="AS28" s="6">
        <f>X28*(U28-Pool!$D$12)</f>
        <v/>
      </c>
      <c r="AT28" s="6">
        <f>Z28*(V28-Pool!$D$13)</f>
        <v/>
      </c>
    </row>
    <row r="29">
      <c r="A29">
        <f>RANK(H29,$H$2:$H$266)</f>
        <v/>
      </c>
      <c r="B29" t="inlineStr">
        <is>
          <t>Bam Adebayo</t>
        </is>
      </c>
      <c r="C29">
        <f>INDEX('Player Data'!$C:$C,AL29)</f>
        <v/>
      </c>
      <c r="D29">
        <f>SUMPRODUCT(($AN$2:$AN$266=AN29)*($H$2:$H$266&gt;H29))+1</f>
        <v/>
      </c>
      <c r="E29">
        <f>INDEX('Player Data'!$B:$B,AL29)</f>
        <v/>
      </c>
      <c r="F29" s="2" t="n"/>
      <c r="G29" s="3">
        <f>Settings!$B$2*AB29+Settings!$B$3*AC29+Settings!$B$4*AD29+Settings!$B$5*AE29+Settings!$B$6*AF29+Settings!$B$7*AG29+Settings!$B$8*AH29+Settings!$B$9*AI29+Settings!$B$10*AJ29</f>
        <v/>
      </c>
      <c r="H29" s="3">
        <f>G29-LARGE($G$2:$G$266,Settings!$F$4)</f>
        <v/>
      </c>
      <c r="I29">
        <f>IF(INDEX('Player Data'!$R:$R,AL29)="","",INDEX('Player Data'!$R:$R,AL29))</f>
        <v/>
      </c>
      <c r="J29" s="4">
        <f>IF(I29="","",I29-A29)</f>
        <v/>
      </c>
      <c r="L29" s="5">
        <f>IF(Settings!$F$7="Yes",INDEX('Minutes &amp; Health'!$O:$O,AL29),Settings!$F$8)</f>
        <v/>
      </c>
      <c r="M29" s="6">
        <f>INDEX('Minutes &amp; Health'!$P:$P,AL29)</f>
        <v/>
      </c>
      <c r="N29" s="5">
        <f>INDEX('Player Data'!$F:$F,AL29)/INDEX('Player Data'!$E:$E,AL29)*M29*L29*AM29</f>
        <v/>
      </c>
      <c r="O29" s="5">
        <f>INDEX('Player Data'!$G:$G,AL29)/INDEX('Player Data'!$E:$E,AL29)*M29*L29*AM29</f>
        <v/>
      </c>
      <c r="P29" s="5">
        <f>INDEX('Player Data'!$H:$H,AL29)/INDEX('Player Data'!$E:$E,AL29)*M29*L29*AM29</f>
        <v/>
      </c>
      <c r="Q29" s="5">
        <f>INDEX('Player Data'!$I:$I,AL29)/INDEX('Player Data'!$E:$E,AL29)*M29*L29*AM29</f>
        <v/>
      </c>
      <c r="R29" s="5">
        <f>INDEX('Player Data'!$J:$J,AL29)/INDEX('Player Data'!$E:$E,AL29)*M29*L29*AM29</f>
        <v/>
      </c>
      <c r="S29" s="5">
        <f>INDEX('Player Data'!$K:$K,AL29)/INDEX('Player Data'!$E:$E,AL29)*M29*L29*AM29</f>
        <v/>
      </c>
      <c r="T29" s="5">
        <f>INDEX('Player Data'!$L:$L,AL29)/INDEX('Player Data'!$E:$E,AL29)*M29*L29*AM29</f>
        <v/>
      </c>
      <c r="U29" s="7">
        <f>INDEX('Player Data'!$M:$M,AL29)</f>
        <v/>
      </c>
      <c r="V29" s="7">
        <f>INDEX('Player Data'!$N:$N,AL29)</f>
        <v/>
      </c>
      <c r="W29" s="5">
        <f>X29*U29</f>
        <v/>
      </c>
      <c r="X29" s="5">
        <f>INDEX('Player Data'!$O:$O,AL29)/INDEX('Player Data'!$E:$E,AL29)*M29*L29*AM29</f>
        <v/>
      </c>
      <c r="Y29" s="5">
        <f>Z29*V29</f>
        <v/>
      </c>
      <c r="Z29" s="5">
        <f>INDEX('Player Data'!$P:$P,AL29)/INDEX('Player Data'!$E:$E,AL29)*M29*L29*AM29</f>
        <v/>
      </c>
      <c r="AB29" s="3">
        <f>(N29-Pool!$D$2)/Pool!$E$2</f>
        <v/>
      </c>
      <c r="AC29" s="3">
        <f>(O29-Pool!$D$3)/Pool!$E$3</f>
        <v/>
      </c>
      <c r="AD29" s="3">
        <f>(P29-Pool!$D$4)/Pool!$E$4</f>
        <v/>
      </c>
      <c r="AE29" s="3">
        <f>(Q29-Pool!$D$5)/Pool!$E$5</f>
        <v/>
      </c>
      <c r="AF29" s="3">
        <f>(R29-Pool!$D$6)/Pool!$E$6</f>
        <v/>
      </c>
      <c r="AG29" s="3">
        <f>(S29-Pool!$D$7)/Pool!$E$7</f>
        <v/>
      </c>
      <c r="AH29" s="3">
        <f>(AS29-Pool!$D$8)/Pool!$E$8</f>
        <v/>
      </c>
      <c r="AI29" s="3">
        <f>(AT29-Pool!$D$9)/Pool!$E$9</f>
        <v/>
      </c>
      <c r="AJ29" s="3">
        <f>-(T29-Pool!$D$10)/Pool!$E$10</f>
        <v/>
      </c>
      <c r="AL29">
        <f>MATCH(B29,'Player Data'!$A:$A,0)</f>
        <v/>
      </c>
      <c r="AM29" s="3">
        <f>1+IF(Settings!$F$10="ON",IFERROR(VLOOKUP(TRIM(F29),Settings!$D$12:$F$17,3,FALSE),0),0)</f>
        <v/>
      </c>
      <c r="AN29">
        <f>IFERROR(LEFT(C29,FIND(",",C29)-1),C29)</f>
        <v/>
      </c>
      <c r="AO29" s="6">
        <f>X29*(U29-Pool!$B$12)</f>
        <v/>
      </c>
      <c r="AP29" s="6">
        <f>Z29*(V29-Pool!$B$13)</f>
        <v/>
      </c>
      <c r="AQ29" s="3">
        <f>Settings!$B$2*(N29-Pool!$B$2)/Pool!$C$2+Settings!$B$3*(O29-Pool!$B$3)/Pool!$C$3+Settings!$B$4*(P29-Pool!$B$4)/Pool!$C$4+Settings!$B$5*(Q29-Pool!$B$5)/Pool!$C$5+Settings!$B$6*(R29-Pool!$B$6)/Pool!$C$6+Settings!$B$7*(S29-Pool!$B$7)/Pool!$C$7+Settings!$B$8*(AO29-Pool!$B$8)/Pool!$C$8+Settings!$B$9*(AP29-Pool!$B$9)/Pool!$C$9+Settings!$B$10*-(T29-Pool!$B$10)/Pool!$C$10</f>
        <v/>
      </c>
      <c r="AR29">
        <f>IF(RANK(AQ29,$AQ$2:$AQ$266)&lt;=Settings!$F$5,1,0)</f>
        <v/>
      </c>
      <c r="AS29" s="6">
        <f>X29*(U29-Pool!$D$12)</f>
        <v/>
      </c>
      <c r="AT29" s="6">
        <f>Z29*(V29-Pool!$D$13)</f>
        <v/>
      </c>
    </row>
    <row r="30">
      <c r="A30">
        <f>RANK(H30,$H$2:$H$266)</f>
        <v/>
      </c>
      <c r="B30" t="inlineStr">
        <is>
          <t>Giannis Antetokounmpo</t>
        </is>
      </c>
      <c r="C30">
        <f>INDEX('Player Data'!$C:$C,AL30)</f>
        <v/>
      </c>
      <c r="D30">
        <f>SUMPRODUCT(($AN$2:$AN$266=AN30)*($H$2:$H$266&gt;H30))+1</f>
        <v/>
      </c>
      <c r="E30">
        <f>INDEX('Player Data'!$B:$B,AL30)</f>
        <v/>
      </c>
      <c r="F30" s="2" t="n"/>
      <c r="G30" s="3">
        <f>Settings!$B$2*AB30+Settings!$B$3*AC30+Settings!$B$4*AD30+Settings!$B$5*AE30+Settings!$B$6*AF30+Settings!$B$7*AG30+Settings!$B$8*AH30+Settings!$B$9*AI30+Settings!$B$10*AJ30</f>
        <v/>
      </c>
      <c r="H30" s="3">
        <f>G30-LARGE($G$2:$G$266,Settings!$F$4)</f>
        <v/>
      </c>
      <c r="I30">
        <f>IF(INDEX('Player Data'!$R:$R,AL30)="","",INDEX('Player Data'!$R:$R,AL30))</f>
        <v/>
      </c>
      <c r="J30" s="4">
        <f>IF(I30="","",I30-A30)</f>
        <v/>
      </c>
      <c r="L30" s="5">
        <f>IF(Settings!$F$7="Yes",INDEX('Minutes &amp; Health'!$O:$O,AL30),Settings!$F$8)</f>
        <v/>
      </c>
      <c r="M30" s="6">
        <f>INDEX('Minutes &amp; Health'!$P:$P,AL30)</f>
        <v/>
      </c>
      <c r="N30" s="5">
        <f>INDEX('Player Data'!$F:$F,AL30)/INDEX('Player Data'!$E:$E,AL30)*M30*L30*AM30</f>
        <v/>
      </c>
      <c r="O30" s="5">
        <f>INDEX('Player Data'!$G:$G,AL30)/INDEX('Player Data'!$E:$E,AL30)*M30*L30*AM30</f>
        <v/>
      </c>
      <c r="P30" s="5">
        <f>INDEX('Player Data'!$H:$H,AL30)/INDEX('Player Data'!$E:$E,AL30)*M30*L30*AM30</f>
        <v/>
      </c>
      <c r="Q30" s="5">
        <f>INDEX('Player Data'!$I:$I,AL30)/INDEX('Player Data'!$E:$E,AL30)*M30*L30*AM30</f>
        <v/>
      </c>
      <c r="R30" s="5">
        <f>INDEX('Player Data'!$J:$J,AL30)/INDEX('Player Data'!$E:$E,AL30)*M30*L30*AM30</f>
        <v/>
      </c>
      <c r="S30" s="5">
        <f>INDEX('Player Data'!$K:$K,AL30)/INDEX('Player Data'!$E:$E,AL30)*M30*L30*AM30</f>
        <v/>
      </c>
      <c r="T30" s="5">
        <f>INDEX('Player Data'!$L:$L,AL30)/INDEX('Player Data'!$E:$E,AL30)*M30*L30*AM30</f>
        <v/>
      </c>
      <c r="U30" s="7">
        <f>INDEX('Player Data'!$M:$M,AL30)</f>
        <v/>
      </c>
      <c r="V30" s="7">
        <f>INDEX('Player Data'!$N:$N,AL30)</f>
        <v/>
      </c>
      <c r="W30" s="5">
        <f>X30*U30</f>
        <v/>
      </c>
      <c r="X30" s="5">
        <f>INDEX('Player Data'!$O:$O,AL30)/INDEX('Player Data'!$E:$E,AL30)*M30*L30*AM30</f>
        <v/>
      </c>
      <c r="Y30" s="5">
        <f>Z30*V30</f>
        <v/>
      </c>
      <c r="Z30" s="5">
        <f>INDEX('Player Data'!$P:$P,AL30)/INDEX('Player Data'!$E:$E,AL30)*M30*L30*AM30</f>
        <v/>
      </c>
      <c r="AB30" s="3">
        <f>(N30-Pool!$D$2)/Pool!$E$2</f>
        <v/>
      </c>
      <c r="AC30" s="3">
        <f>(O30-Pool!$D$3)/Pool!$E$3</f>
        <v/>
      </c>
      <c r="AD30" s="3">
        <f>(P30-Pool!$D$4)/Pool!$E$4</f>
        <v/>
      </c>
      <c r="AE30" s="3">
        <f>(Q30-Pool!$D$5)/Pool!$E$5</f>
        <v/>
      </c>
      <c r="AF30" s="3">
        <f>(R30-Pool!$D$6)/Pool!$E$6</f>
        <v/>
      </c>
      <c r="AG30" s="3">
        <f>(S30-Pool!$D$7)/Pool!$E$7</f>
        <v/>
      </c>
      <c r="AH30" s="3">
        <f>(AS30-Pool!$D$8)/Pool!$E$8</f>
        <v/>
      </c>
      <c r="AI30" s="3">
        <f>(AT30-Pool!$D$9)/Pool!$E$9</f>
        <v/>
      </c>
      <c r="AJ30" s="3">
        <f>-(T30-Pool!$D$10)/Pool!$E$10</f>
        <v/>
      </c>
      <c r="AL30">
        <f>MATCH(B30,'Player Data'!$A:$A,0)</f>
        <v/>
      </c>
      <c r="AM30" s="3">
        <f>1+IF(Settings!$F$10="ON",IFERROR(VLOOKUP(TRIM(F30),Settings!$D$12:$F$17,3,FALSE),0),0)</f>
        <v/>
      </c>
      <c r="AN30">
        <f>IFERROR(LEFT(C30,FIND(",",C30)-1),C30)</f>
        <v/>
      </c>
      <c r="AO30" s="6">
        <f>X30*(U30-Pool!$B$12)</f>
        <v/>
      </c>
      <c r="AP30" s="6">
        <f>Z30*(V30-Pool!$B$13)</f>
        <v/>
      </c>
      <c r="AQ30" s="3">
        <f>Settings!$B$2*(N30-Pool!$B$2)/Pool!$C$2+Settings!$B$3*(O30-Pool!$B$3)/Pool!$C$3+Settings!$B$4*(P30-Pool!$B$4)/Pool!$C$4+Settings!$B$5*(Q30-Pool!$B$5)/Pool!$C$5+Settings!$B$6*(R30-Pool!$B$6)/Pool!$C$6+Settings!$B$7*(S30-Pool!$B$7)/Pool!$C$7+Settings!$B$8*(AO30-Pool!$B$8)/Pool!$C$8+Settings!$B$9*(AP30-Pool!$B$9)/Pool!$C$9+Settings!$B$10*-(T30-Pool!$B$10)/Pool!$C$10</f>
        <v/>
      </c>
      <c r="AR30">
        <f>IF(RANK(AQ30,$AQ$2:$AQ$266)&lt;=Settings!$F$5,1,0)</f>
        <v/>
      </c>
      <c r="AS30" s="6">
        <f>X30*(U30-Pool!$D$12)</f>
        <v/>
      </c>
      <c r="AT30" s="6">
        <f>Z30*(V30-Pool!$D$13)</f>
        <v/>
      </c>
    </row>
    <row r="31">
      <c r="A31">
        <f>RANK(H31,$H$2:$H$266)</f>
        <v/>
      </c>
      <c r="B31" t="inlineStr">
        <is>
          <t>OG Anunoby</t>
        </is>
      </c>
      <c r="C31">
        <f>INDEX('Player Data'!$C:$C,AL31)</f>
        <v/>
      </c>
      <c r="D31">
        <f>SUMPRODUCT(($AN$2:$AN$266=AN31)*($H$2:$H$266&gt;H31))+1</f>
        <v/>
      </c>
      <c r="E31">
        <f>INDEX('Player Data'!$B:$B,AL31)</f>
        <v/>
      </c>
      <c r="F31" s="2" t="n"/>
      <c r="G31" s="3">
        <f>Settings!$B$2*AB31+Settings!$B$3*AC31+Settings!$B$4*AD31+Settings!$B$5*AE31+Settings!$B$6*AF31+Settings!$B$7*AG31+Settings!$B$8*AH31+Settings!$B$9*AI31+Settings!$B$10*AJ31</f>
        <v/>
      </c>
      <c r="H31" s="3">
        <f>G31-LARGE($G$2:$G$266,Settings!$F$4)</f>
        <v/>
      </c>
      <c r="I31">
        <f>IF(INDEX('Player Data'!$R:$R,AL31)="","",INDEX('Player Data'!$R:$R,AL31))</f>
        <v/>
      </c>
      <c r="J31" s="4">
        <f>IF(I31="","",I31-A31)</f>
        <v/>
      </c>
      <c r="L31" s="5">
        <f>IF(Settings!$F$7="Yes",INDEX('Minutes &amp; Health'!$O:$O,AL31),Settings!$F$8)</f>
        <v/>
      </c>
      <c r="M31" s="6">
        <f>INDEX('Minutes &amp; Health'!$P:$P,AL31)</f>
        <v/>
      </c>
      <c r="N31" s="5">
        <f>INDEX('Player Data'!$F:$F,AL31)/INDEX('Player Data'!$E:$E,AL31)*M31*L31*AM31</f>
        <v/>
      </c>
      <c r="O31" s="5">
        <f>INDEX('Player Data'!$G:$G,AL31)/INDEX('Player Data'!$E:$E,AL31)*M31*L31*AM31</f>
        <v/>
      </c>
      <c r="P31" s="5">
        <f>INDEX('Player Data'!$H:$H,AL31)/INDEX('Player Data'!$E:$E,AL31)*M31*L31*AM31</f>
        <v/>
      </c>
      <c r="Q31" s="5">
        <f>INDEX('Player Data'!$I:$I,AL31)/INDEX('Player Data'!$E:$E,AL31)*M31*L31*AM31</f>
        <v/>
      </c>
      <c r="R31" s="5">
        <f>INDEX('Player Data'!$J:$J,AL31)/INDEX('Player Data'!$E:$E,AL31)*M31*L31*AM31</f>
        <v/>
      </c>
      <c r="S31" s="5">
        <f>INDEX('Player Data'!$K:$K,AL31)/INDEX('Player Data'!$E:$E,AL31)*M31*L31*AM31</f>
        <v/>
      </c>
      <c r="T31" s="5">
        <f>INDEX('Player Data'!$L:$L,AL31)/INDEX('Player Data'!$E:$E,AL31)*M31*L31*AM31</f>
        <v/>
      </c>
      <c r="U31" s="7">
        <f>INDEX('Player Data'!$M:$M,AL31)</f>
        <v/>
      </c>
      <c r="V31" s="7">
        <f>INDEX('Player Data'!$N:$N,AL31)</f>
        <v/>
      </c>
      <c r="W31" s="5">
        <f>X31*U31</f>
        <v/>
      </c>
      <c r="X31" s="5">
        <f>INDEX('Player Data'!$O:$O,AL31)/INDEX('Player Data'!$E:$E,AL31)*M31*L31*AM31</f>
        <v/>
      </c>
      <c r="Y31" s="5">
        <f>Z31*V31</f>
        <v/>
      </c>
      <c r="Z31" s="5">
        <f>INDEX('Player Data'!$P:$P,AL31)/INDEX('Player Data'!$E:$E,AL31)*M31*L31*AM31</f>
        <v/>
      </c>
      <c r="AB31" s="3">
        <f>(N31-Pool!$D$2)/Pool!$E$2</f>
        <v/>
      </c>
      <c r="AC31" s="3">
        <f>(O31-Pool!$D$3)/Pool!$E$3</f>
        <v/>
      </c>
      <c r="AD31" s="3">
        <f>(P31-Pool!$D$4)/Pool!$E$4</f>
        <v/>
      </c>
      <c r="AE31" s="3">
        <f>(Q31-Pool!$D$5)/Pool!$E$5</f>
        <v/>
      </c>
      <c r="AF31" s="3">
        <f>(R31-Pool!$D$6)/Pool!$E$6</f>
        <v/>
      </c>
      <c r="AG31" s="3">
        <f>(S31-Pool!$D$7)/Pool!$E$7</f>
        <v/>
      </c>
      <c r="AH31" s="3">
        <f>(AS31-Pool!$D$8)/Pool!$E$8</f>
        <v/>
      </c>
      <c r="AI31" s="3">
        <f>(AT31-Pool!$D$9)/Pool!$E$9</f>
        <v/>
      </c>
      <c r="AJ31" s="3">
        <f>-(T31-Pool!$D$10)/Pool!$E$10</f>
        <v/>
      </c>
      <c r="AL31">
        <f>MATCH(B31,'Player Data'!$A:$A,0)</f>
        <v/>
      </c>
      <c r="AM31" s="3">
        <f>1+IF(Settings!$F$10="ON",IFERROR(VLOOKUP(TRIM(F31),Settings!$D$12:$F$17,3,FALSE),0),0)</f>
        <v/>
      </c>
      <c r="AN31">
        <f>IFERROR(LEFT(C31,FIND(",",C31)-1),C31)</f>
        <v/>
      </c>
      <c r="AO31" s="6">
        <f>X31*(U31-Pool!$B$12)</f>
        <v/>
      </c>
      <c r="AP31" s="6">
        <f>Z31*(V31-Pool!$B$13)</f>
        <v/>
      </c>
      <c r="AQ31" s="3">
        <f>Settings!$B$2*(N31-Pool!$B$2)/Pool!$C$2+Settings!$B$3*(O31-Pool!$B$3)/Pool!$C$3+Settings!$B$4*(P31-Pool!$B$4)/Pool!$C$4+Settings!$B$5*(Q31-Pool!$B$5)/Pool!$C$5+Settings!$B$6*(R31-Pool!$B$6)/Pool!$C$6+Settings!$B$7*(S31-Pool!$B$7)/Pool!$C$7+Settings!$B$8*(AO31-Pool!$B$8)/Pool!$C$8+Settings!$B$9*(AP31-Pool!$B$9)/Pool!$C$9+Settings!$B$10*-(T31-Pool!$B$10)/Pool!$C$10</f>
        <v/>
      </c>
      <c r="AR31">
        <f>IF(RANK(AQ31,$AQ$2:$AQ$266)&lt;=Settings!$F$5,1,0)</f>
        <v/>
      </c>
      <c r="AS31" s="6">
        <f>X31*(U31-Pool!$D$12)</f>
        <v/>
      </c>
      <c r="AT31" s="6">
        <f>Z31*(V31-Pool!$D$13)</f>
        <v/>
      </c>
    </row>
    <row r="32">
      <c r="A32">
        <f>RANK(H32,$H$2:$H$266)</f>
        <v/>
      </c>
      <c r="B32" t="inlineStr">
        <is>
          <t>Devin Booker</t>
        </is>
      </c>
      <c r="C32">
        <f>INDEX('Player Data'!$C:$C,AL32)</f>
        <v/>
      </c>
      <c r="D32">
        <f>SUMPRODUCT(($AN$2:$AN$266=AN32)*($H$2:$H$266&gt;H32))+1</f>
        <v/>
      </c>
      <c r="E32">
        <f>INDEX('Player Data'!$B:$B,AL32)</f>
        <v/>
      </c>
      <c r="F32" s="2" t="n"/>
      <c r="G32" s="3">
        <f>Settings!$B$2*AB32+Settings!$B$3*AC32+Settings!$B$4*AD32+Settings!$B$5*AE32+Settings!$B$6*AF32+Settings!$B$7*AG32+Settings!$B$8*AH32+Settings!$B$9*AI32+Settings!$B$10*AJ32</f>
        <v/>
      </c>
      <c r="H32" s="3">
        <f>G32-LARGE($G$2:$G$266,Settings!$F$4)</f>
        <v/>
      </c>
      <c r="I32">
        <f>IF(INDEX('Player Data'!$R:$R,AL32)="","",INDEX('Player Data'!$R:$R,AL32))</f>
        <v/>
      </c>
      <c r="J32" s="4">
        <f>IF(I32="","",I32-A32)</f>
        <v/>
      </c>
      <c r="L32" s="5">
        <f>IF(Settings!$F$7="Yes",INDEX('Minutes &amp; Health'!$O:$O,AL32),Settings!$F$8)</f>
        <v/>
      </c>
      <c r="M32" s="6">
        <f>INDEX('Minutes &amp; Health'!$P:$P,AL32)</f>
        <v/>
      </c>
      <c r="N32" s="5">
        <f>INDEX('Player Data'!$F:$F,AL32)/INDEX('Player Data'!$E:$E,AL32)*M32*L32*AM32</f>
        <v/>
      </c>
      <c r="O32" s="5">
        <f>INDEX('Player Data'!$G:$G,AL32)/INDEX('Player Data'!$E:$E,AL32)*M32*L32*AM32</f>
        <v/>
      </c>
      <c r="P32" s="5">
        <f>INDEX('Player Data'!$H:$H,AL32)/INDEX('Player Data'!$E:$E,AL32)*M32*L32*AM32</f>
        <v/>
      </c>
      <c r="Q32" s="5">
        <f>INDEX('Player Data'!$I:$I,AL32)/INDEX('Player Data'!$E:$E,AL32)*M32*L32*AM32</f>
        <v/>
      </c>
      <c r="R32" s="5">
        <f>INDEX('Player Data'!$J:$J,AL32)/INDEX('Player Data'!$E:$E,AL32)*M32*L32*AM32</f>
        <v/>
      </c>
      <c r="S32" s="5">
        <f>INDEX('Player Data'!$K:$K,AL32)/INDEX('Player Data'!$E:$E,AL32)*M32*L32*AM32</f>
        <v/>
      </c>
      <c r="T32" s="5">
        <f>INDEX('Player Data'!$L:$L,AL32)/INDEX('Player Data'!$E:$E,AL32)*M32*L32*AM32</f>
        <v/>
      </c>
      <c r="U32" s="7">
        <f>INDEX('Player Data'!$M:$M,AL32)</f>
        <v/>
      </c>
      <c r="V32" s="7">
        <f>INDEX('Player Data'!$N:$N,AL32)</f>
        <v/>
      </c>
      <c r="W32" s="5">
        <f>X32*U32</f>
        <v/>
      </c>
      <c r="X32" s="5">
        <f>INDEX('Player Data'!$O:$O,AL32)/INDEX('Player Data'!$E:$E,AL32)*M32*L32*AM32</f>
        <v/>
      </c>
      <c r="Y32" s="5">
        <f>Z32*V32</f>
        <v/>
      </c>
      <c r="Z32" s="5">
        <f>INDEX('Player Data'!$P:$P,AL32)/INDEX('Player Data'!$E:$E,AL32)*M32*L32*AM32</f>
        <v/>
      </c>
      <c r="AB32" s="3">
        <f>(N32-Pool!$D$2)/Pool!$E$2</f>
        <v/>
      </c>
      <c r="AC32" s="3">
        <f>(O32-Pool!$D$3)/Pool!$E$3</f>
        <v/>
      </c>
      <c r="AD32" s="3">
        <f>(P32-Pool!$D$4)/Pool!$E$4</f>
        <v/>
      </c>
      <c r="AE32" s="3">
        <f>(Q32-Pool!$D$5)/Pool!$E$5</f>
        <v/>
      </c>
      <c r="AF32" s="3">
        <f>(R32-Pool!$D$6)/Pool!$E$6</f>
        <v/>
      </c>
      <c r="AG32" s="3">
        <f>(S32-Pool!$D$7)/Pool!$E$7</f>
        <v/>
      </c>
      <c r="AH32" s="3">
        <f>(AS32-Pool!$D$8)/Pool!$E$8</f>
        <v/>
      </c>
      <c r="AI32" s="3">
        <f>(AT32-Pool!$D$9)/Pool!$E$9</f>
        <v/>
      </c>
      <c r="AJ32" s="3">
        <f>-(T32-Pool!$D$10)/Pool!$E$10</f>
        <v/>
      </c>
      <c r="AL32">
        <f>MATCH(B32,'Player Data'!$A:$A,0)</f>
        <v/>
      </c>
      <c r="AM32" s="3">
        <f>1+IF(Settings!$F$10="ON",IFERROR(VLOOKUP(TRIM(F32),Settings!$D$12:$F$17,3,FALSE),0),0)</f>
        <v/>
      </c>
      <c r="AN32">
        <f>IFERROR(LEFT(C32,FIND(",",C32)-1),C32)</f>
        <v/>
      </c>
      <c r="AO32" s="6">
        <f>X32*(U32-Pool!$B$12)</f>
        <v/>
      </c>
      <c r="AP32" s="6">
        <f>Z32*(V32-Pool!$B$13)</f>
        <v/>
      </c>
      <c r="AQ32" s="3">
        <f>Settings!$B$2*(N32-Pool!$B$2)/Pool!$C$2+Settings!$B$3*(O32-Pool!$B$3)/Pool!$C$3+Settings!$B$4*(P32-Pool!$B$4)/Pool!$C$4+Settings!$B$5*(Q32-Pool!$B$5)/Pool!$C$5+Settings!$B$6*(R32-Pool!$B$6)/Pool!$C$6+Settings!$B$7*(S32-Pool!$B$7)/Pool!$C$7+Settings!$B$8*(AO32-Pool!$B$8)/Pool!$C$8+Settings!$B$9*(AP32-Pool!$B$9)/Pool!$C$9+Settings!$B$10*-(T32-Pool!$B$10)/Pool!$C$10</f>
        <v/>
      </c>
      <c r="AR32">
        <f>IF(RANK(AQ32,$AQ$2:$AQ$266)&lt;=Settings!$F$5,1,0)</f>
        <v/>
      </c>
      <c r="AS32" s="6">
        <f>X32*(U32-Pool!$D$12)</f>
        <v/>
      </c>
      <c r="AT32" s="6">
        <f>Z32*(V32-Pool!$D$13)</f>
        <v/>
      </c>
    </row>
    <row r="33">
      <c r="A33">
        <f>RANK(H33,$H$2:$H$266)</f>
        <v/>
      </c>
      <c r="B33" t="inlineStr">
        <is>
          <t>Lauri Markkanen</t>
        </is>
      </c>
      <c r="C33">
        <f>INDEX('Player Data'!$C:$C,AL33)</f>
        <v/>
      </c>
      <c r="D33">
        <f>SUMPRODUCT(($AN$2:$AN$266=AN33)*($H$2:$H$266&gt;H33))+1</f>
        <v/>
      </c>
      <c r="E33">
        <f>INDEX('Player Data'!$B:$B,AL33)</f>
        <v/>
      </c>
      <c r="F33" s="2" t="n"/>
      <c r="G33" s="3">
        <f>Settings!$B$2*AB33+Settings!$B$3*AC33+Settings!$B$4*AD33+Settings!$B$5*AE33+Settings!$B$6*AF33+Settings!$B$7*AG33+Settings!$B$8*AH33+Settings!$B$9*AI33+Settings!$B$10*AJ33</f>
        <v/>
      </c>
      <c r="H33" s="3">
        <f>G33-LARGE($G$2:$G$266,Settings!$F$4)</f>
        <v/>
      </c>
      <c r="I33">
        <f>IF(INDEX('Player Data'!$R:$R,AL33)="","",INDEX('Player Data'!$R:$R,AL33))</f>
        <v/>
      </c>
      <c r="J33" s="4">
        <f>IF(I33="","",I33-A33)</f>
        <v/>
      </c>
      <c r="L33" s="5">
        <f>IF(Settings!$F$7="Yes",INDEX('Minutes &amp; Health'!$O:$O,AL33),Settings!$F$8)</f>
        <v/>
      </c>
      <c r="M33" s="6">
        <f>INDEX('Minutes &amp; Health'!$P:$P,AL33)</f>
        <v/>
      </c>
      <c r="N33" s="5">
        <f>INDEX('Player Data'!$F:$F,AL33)/INDEX('Player Data'!$E:$E,AL33)*M33*L33*AM33</f>
        <v/>
      </c>
      <c r="O33" s="5">
        <f>INDEX('Player Data'!$G:$G,AL33)/INDEX('Player Data'!$E:$E,AL33)*M33*L33*AM33</f>
        <v/>
      </c>
      <c r="P33" s="5">
        <f>INDEX('Player Data'!$H:$H,AL33)/INDEX('Player Data'!$E:$E,AL33)*M33*L33*AM33</f>
        <v/>
      </c>
      <c r="Q33" s="5">
        <f>INDEX('Player Data'!$I:$I,AL33)/INDEX('Player Data'!$E:$E,AL33)*M33*L33*AM33</f>
        <v/>
      </c>
      <c r="R33" s="5">
        <f>INDEX('Player Data'!$J:$J,AL33)/INDEX('Player Data'!$E:$E,AL33)*M33*L33*AM33</f>
        <v/>
      </c>
      <c r="S33" s="5">
        <f>INDEX('Player Data'!$K:$K,AL33)/INDEX('Player Data'!$E:$E,AL33)*M33*L33*AM33</f>
        <v/>
      </c>
      <c r="T33" s="5">
        <f>INDEX('Player Data'!$L:$L,AL33)/INDEX('Player Data'!$E:$E,AL33)*M33*L33*AM33</f>
        <v/>
      </c>
      <c r="U33" s="7">
        <f>INDEX('Player Data'!$M:$M,AL33)</f>
        <v/>
      </c>
      <c r="V33" s="7">
        <f>INDEX('Player Data'!$N:$N,AL33)</f>
        <v/>
      </c>
      <c r="W33" s="5">
        <f>X33*U33</f>
        <v/>
      </c>
      <c r="X33" s="5">
        <f>INDEX('Player Data'!$O:$O,AL33)/INDEX('Player Data'!$E:$E,AL33)*M33*L33*AM33</f>
        <v/>
      </c>
      <c r="Y33" s="5">
        <f>Z33*V33</f>
        <v/>
      </c>
      <c r="Z33" s="5">
        <f>INDEX('Player Data'!$P:$P,AL33)/INDEX('Player Data'!$E:$E,AL33)*M33*L33*AM33</f>
        <v/>
      </c>
      <c r="AB33" s="3">
        <f>(N33-Pool!$D$2)/Pool!$E$2</f>
        <v/>
      </c>
      <c r="AC33" s="3">
        <f>(O33-Pool!$D$3)/Pool!$E$3</f>
        <v/>
      </c>
      <c r="AD33" s="3">
        <f>(P33-Pool!$D$4)/Pool!$E$4</f>
        <v/>
      </c>
      <c r="AE33" s="3">
        <f>(Q33-Pool!$D$5)/Pool!$E$5</f>
        <v/>
      </c>
      <c r="AF33" s="3">
        <f>(R33-Pool!$D$6)/Pool!$E$6</f>
        <v/>
      </c>
      <c r="AG33" s="3">
        <f>(S33-Pool!$D$7)/Pool!$E$7</f>
        <v/>
      </c>
      <c r="AH33" s="3">
        <f>(AS33-Pool!$D$8)/Pool!$E$8</f>
        <v/>
      </c>
      <c r="AI33" s="3">
        <f>(AT33-Pool!$D$9)/Pool!$E$9</f>
        <v/>
      </c>
      <c r="AJ33" s="3">
        <f>-(T33-Pool!$D$10)/Pool!$E$10</f>
        <v/>
      </c>
      <c r="AL33">
        <f>MATCH(B33,'Player Data'!$A:$A,0)</f>
        <v/>
      </c>
      <c r="AM33" s="3">
        <f>1+IF(Settings!$F$10="ON",IFERROR(VLOOKUP(TRIM(F33),Settings!$D$12:$F$17,3,FALSE),0),0)</f>
        <v/>
      </c>
      <c r="AN33">
        <f>IFERROR(LEFT(C33,FIND(",",C33)-1),C33)</f>
        <v/>
      </c>
      <c r="AO33" s="6">
        <f>X33*(U33-Pool!$B$12)</f>
        <v/>
      </c>
      <c r="AP33" s="6">
        <f>Z33*(V33-Pool!$B$13)</f>
        <v/>
      </c>
      <c r="AQ33" s="3">
        <f>Settings!$B$2*(N33-Pool!$B$2)/Pool!$C$2+Settings!$B$3*(O33-Pool!$B$3)/Pool!$C$3+Settings!$B$4*(P33-Pool!$B$4)/Pool!$C$4+Settings!$B$5*(Q33-Pool!$B$5)/Pool!$C$5+Settings!$B$6*(R33-Pool!$B$6)/Pool!$C$6+Settings!$B$7*(S33-Pool!$B$7)/Pool!$C$7+Settings!$B$8*(AO33-Pool!$B$8)/Pool!$C$8+Settings!$B$9*(AP33-Pool!$B$9)/Pool!$C$9+Settings!$B$10*-(T33-Pool!$B$10)/Pool!$C$10</f>
        <v/>
      </c>
      <c r="AR33">
        <f>IF(RANK(AQ33,$AQ$2:$AQ$266)&lt;=Settings!$F$5,1,0)</f>
        <v/>
      </c>
      <c r="AS33" s="6">
        <f>X33*(U33-Pool!$D$12)</f>
        <v/>
      </c>
      <c r="AT33" s="6">
        <f>Z33*(V33-Pool!$D$13)</f>
        <v/>
      </c>
    </row>
    <row r="34">
      <c r="A34">
        <f>RANK(H34,$H$2:$H$266)</f>
        <v/>
      </c>
      <c r="B34" t="inlineStr">
        <is>
          <t>Anthony Davis</t>
        </is>
      </c>
      <c r="C34">
        <f>INDEX('Player Data'!$C:$C,AL34)</f>
        <v/>
      </c>
      <c r="D34">
        <f>SUMPRODUCT(($AN$2:$AN$266=AN34)*($H$2:$H$266&gt;H34))+1</f>
        <v/>
      </c>
      <c r="E34">
        <f>INDEX('Player Data'!$B:$B,AL34)</f>
        <v/>
      </c>
      <c r="F34" s="2" t="n"/>
      <c r="G34" s="3">
        <f>Settings!$B$2*AB34+Settings!$B$3*AC34+Settings!$B$4*AD34+Settings!$B$5*AE34+Settings!$B$6*AF34+Settings!$B$7*AG34+Settings!$B$8*AH34+Settings!$B$9*AI34+Settings!$B$10*AJ34</f>
        <v/>
      </c>
      <c r="H34" s="3">
        <f>G34-LARGE($G$2:$G$266,Settings!$F$4)</f>
        <v/>
      </c>
      <c r="I34">
        <f>IF(INDEX('Player Data'!$R:$R,AL34)="","",INDEX('Player Data'!$R:$R,AL34))</f>
        <v/>
      </c>
      <c r="J34" s="4">
        <f>IF(I34="","",I34-A34)</f>
        <v/>
      </c>
      <c r="L34" s="5">
        <f>IF(Settings!$F$7="Yes",INDEX('Minutes &amp; Health'!$O:$O,AL34),Settings!$F$8)</f>
        <v/>
      </c>
      <c r="M34" s="6">
        <f>INDEX('Minutes &amp; Health'!$P:$P,AL34)</f>
        <v/>
      </c>
      <c r="N34" s="5">
        <f>INDEX('Player Data'!$F:$F,AL34)/INDEX('Player Data'!$E:$E,AL34)*M34*L34*AM34</f>
        <v/>
      </c>
      <c r="O34" s="5">
        <f>INDEX('Player Data'!$G:$G,AL34)/INDEX('Player Data'!$E:$E,AL34)*M34*L34*AM34</f>
        <v/>
      </c>
      <c r="P34" s="5">
        <f>INDEX('Player Data'!$H:$H,AL34)/INDEX('Player Data'!$E:$E,AL34)*M34*L34*AM34</f>
        <v/>
      </c>
      <c r="Q34" s="5">
        <f>INDEX('Player Data'!$I:$I,AL34)/INDEX('Player Data'!$E:$E,AL34)*M34*L34*AM34</f>
        <v/>
      </c>
      <c r="R34" s="5">
        <f>INDEX('Player Data'!$J:$J,AL34)/INDEX('Player Data'!$E:$E,AL34)*M34*L34*AM34</f>
        <v/>
      </c>
      <c r="S34" s="5">
        <f>INDEX('Player Data'!$K:$K,AL34)/INDEX('Player Data'!$E:$E,AL34)*M34*L34*AM34</f>
        <v/>
      </c>
      <c r="T34" s="5">
        <f>INDEX('Player Data'!$L:$L,AL34)/INDEX('Player Data'!$E:$E,AL34)*M34*L34*AM34</f>
        <v/>
      </c>
      <c r="U34" s="7">
        <f>INDEX('Player Data'!$M:$M,AL34)</f>
        <v/>
      </c>
      <c r="V34" s="7">
        <f>INDEX('Player Data'!$N:$N,AL34)</f>
        <v/>
      </c>
      <c r="W34" s="5">
        <f>X34*U34</f>
        <v/>
      </c>
      <c r="X34" s="5">
        <f>INDEX('Player Data'!$O:$O,AL34)/INDEX('Player Data'!$E:$E,AL34)*M34*L34*AM34</f>
        <v/>
      </c>
      <c r="Y34" s="5">
        <f>Z34*V34</f>
        <v/>
      </c>
      <c r="Z34" s="5">
        <f>INDEX('Player Data'!$P:$P,AL34)/INDEX('Player Data'!$E:$E,AL34)*M34*L34*AM34</f>
        <v/>
      </c>
      <c r="AB34" s="3">
        <f>(N34-Pool!$D$2)/Pool!$E$2</f>
        <v/>
      </c>
      <c r="AC34" s="3">
        <f>(O34-Pool!$D$3)/Pool!$E$3</f>
        <v/>
      </c>
      <c r="AD34" s="3">
        <f>(P34-Pool!$D$4)/Pool!$E$4</f>
        <v/>
      </c>
      <c r="AE34" s="3">
        <f>(Q34-Pool!$D$5)/Pool!$E$5</f>
        <v/>
      </c>
      <c r="AF34" s="3">
        <f>(R34-Pool!$D$6)/Pool!$E$6</f>
        <v/>
      </c>
      <c r="AG34" s="3">
        <f>(S34-Pool!$D$7)/Pool!$E$7</f>
        <v/>
      </c>
      <c r="AH34" s="3">
        <f>(AS34-Pool!$D$8)/Pool!$E$8</f>
        <v/>
      </c>
      <c r="AI34" s="3">
        <f>(AT34-Pool!$D$9)/Pool!$E$9</f>
        <v/>
      </c>
      <c r="AJ34" s="3">
        <f>-(T34-Pool!$D$10)/Pool!$E$10</f>
        <v/>
      </c>
      <c r="AL34">
        <f>MATCH(B34,'Player Data'!$A:$A,0)</f>
        <v/>
      </c>
      <c r="AM34" s="3">
        <f>1+IF(Settings!$F$10="ON",IFERROR(VLOOKUP(TRIM(F34),Settings!$D$12:$F$17,3,FALSE),0),0)</f>
        <v/>
      </c>
      <c r="AN34">
        <f>IFERROR(LEFT(C34,FIND(",",C34)-1),C34)</f>
        <v/>
      </c>
      <c r="AO34" s="6">
        <f>X34*(U34-Pool!$B$12)</f>
        <v/>
      </c>
      <c r="AP34" s="6">
        <f>Z34*(V34-Pool!$B$13)</f>
        <v/>
      </c>
      <c r="AQ34" s="3">
        <f>Settings!$B$2*(N34-Pool!$B$2)/Pool!$C$2+Settings!$B$3*(O34-Pool!$B$3)/Pool!$C$3+Settings!$B$4*(P34-Pool!$B$4)/Pool!$C$4+Settings!$B$5*(Q34-Pool!$B$5)/Pool!$C$5+Settings!$B$6*(R34-Pool!$B$6)/Pool!$C$6+Settings!$B$7*(S34-Pool!$B$7)/Pool!$C$7+Settings!$B$8*(AO34-Pool!$B$8)/Pool!$C$8+Settings!$B$9*(AP34-Pool!$B$9)/Pool!$C$9+Settings!$B$10*-(T34-Pool!$B$10)/Pool!$C$10</f>
        <v/>
      </c>
      <c r="AR34">
        <f>IF(RANK(AQ34,$AQ$2:$AQ$266)&lt;=Settings!$F$5,1,0)</f>
        <v/>
      </c>
      <c r="AS34" s="6">
        <f>X34*(U34-Pool!$D$12)</f>
        <v/>
      </c>
      <c r="AT34" s="6">
        <f>Z34*(V34-Pool!$D$13)</f>
        <v/>
      </c>
    </row>
    <row r="35">
      <c r="A35">
        <f>RANK(H35,$H$2:$H$266)</f>
        <v/>
      </c>
      <c r="B35" t="inlineStr">
        <is>
          <t>Desmond Bane</t>
        </is>
      </c>
      <c r="C35">
        <f>INDEX('Player Data'!$C:$C,AL35)</f>
        <v/>
      </c>
      <c r="D35">
        <f>SUMPRODUCT(($AN$2:$AN$266=AN35)*($H$2:$H$266&gt;H35))+1</f>
        <v/>
      </c>
      <c r="E35">
        <f>INDEX('Player Data'!$B:$B,AL35)</f>
        <v/>
      </c>
      <c r="F35" s="2" t="n"/>
      <c r="G35" s="3">
        <f>Settings!$B$2*AB35+Settings!$B$3*AC35+Settings!$B$4*AD35+Settings!$B$5*AE35+Settings!$B$6*AF35+Settings!$B$7*AG35+Settings!$B$8*AH35+Settings!$B$9*AI35+Settings!$B$10*AJ35</f>
        <v/>
      </c>
      <c r="H35" s="3">
        <f>G35-LARGE($G$2:$G$266,Settings!$F$4)</f>
        <v/>
      </c>
      <c r="I35">
        <f>IF(INDEX('Player Data'!$R:$R,AL35)="","",INDEX('Player Data'!$R:$R,AL35))</f>
        <v/>
      </c>
      <c r="J35" s="4">
        <f>IF(I35="","",I35-A35)</f>
        <v/>
      </c>
      <c r="L35" s="5">
        <f>IF(Settings!$F$7="Yes",INDEX('Minutes &amp; Health'!$O:$O,AL35),Settings!$F$8)</f>
        <v/>
      </c>
      <c r="M35" s="6">
        <f>INDEX('Minutes &amp; Health'!$P:$P,AL35)</f>
        <v/>
      </c>
      <c r="N35" s="5">
        <f>INDEX('Player Data'!$F:$F,AL35)/INDEX('Player Data'!$E:$E,AL35)*M35*L35*AM35</f>
        <v/>
      </c>
      <c r="O35" s="5">
        <f>INDEX('Player Data'!$G:$G,AL35)/INDEX('Player Data'!$E:$E,AL35)*M35*L35*AM35</f>
        <v/>
      </c>
      <c r="P35" s="5">
        <f>INDEX('Player Data'!$H:$H,AL35)/INDEX('Player Data'!$E:$E,AL35)*M35*L35*AM35</f>
        <v/>
      </c>
      <c r="Q35" s="5">
        <f>INDEX('Player Data'!$I:$I,AL35)/INDEX('Player Data'!$E:$E,AL35)*M35*L35*AM35</f>
        <v/>
      </c>
      <c r="R35" s="5">
        <f>INDEX('Player Data'!$J:$J,AL35)/INDEX('Player Data'!$E:$E,AL35)*M35*L35*AM35</f>
        <v/>
      </c>
      <c r="S35" s="5">
        <f>INDEX('Player Data'!$K:$K,AL35)/INDEX('Player Data'!$E:$E,AL35)*M35*L35*AM35</f>
        <v/>
      </c>
      <c r="T35" s="5">
        <f>INDEX('Player Data'!$L:$L,AL35)/INDEX('Player Data'!$E:$E,AL35)*M35*L35*AM35</f>
        <v/>
      </c>
      <c r="U35" s="7">
        <f>INDEX('Player Data'!$M:$M,AL35)</f>
        <v/>
      </c>
      <c r="V35" s="7">
        <f>INDEX('Player Data'!$N:$N,AL35)</f>
        <v/>
      </c>
      <c r="W35" s="5">
        <f>X35*U35</f>
        <v/>
      </c>
      <c r="X35" s="5">
        <f>INDEX('Player Data'!$O:$O,AL35)/INDEX('Player Data'!$E:$E,AL35)*M35*L35*AM35</f>
        <v/>
      </c>
      <c r="Y35" s="5">
        <f>Z35*V35</f>
        <v/>
      </c>
      <c r="Z35" s="5">
        <f>INDEX('Player Data'!$P:$P,AL35)/INDEX('Player Data'!$E:$E,AL35)*M35*L35*AM35</f>
        <v/>
      </c>
      <c r="AB35" s="3">
        <f>(N35-Pool!$D$2)/Pool!$E$2</f>
        <v/>
      </c>
      <c r="AC35" s="3">
        <f>(O35-Pool!$D$3)/Pool!$E$3</f>
        <v/>
      </c>
      <c r="AD35" s="3">
        <f>(P35-Pool!$D$4)/Pool!$E$4</f>
        <v/>
      </c>
      <c r="AE35" s="3">
        <f>(Q35-Pool!$D$5)/Pool!$E$5</f>
        <v/>
      </c>
      <c r="AF35" s="3">
        <f>(R35-Pool!$D$6)/Pool!$E$6</f>
        <v/>
      </c>
      <c r="AG35" s="3">
        <f>(S35-Pool!$D$7)/Pool!$E$7</f>
        <v/>
      </c>
      <c r="AH35" s="3">
        <f>(AS35-Pool!$D$8)/Pool!$E$8</f>
        <v/>
      </c>
      <c r="AI35" s="3">
        <f>(AT35-Pool!$D$9)/Pool!$E$9</f>
        <v/>
      </c>
      <c r="AJ35" s="3">
        <f>-(T35-Pool!$D$10)/Pool!$E$10</f>
        <v/>
      </c>
      <c r="AL35">
        <f>MATCH(B35,'Player Data'!$A:$A,0)</f>
        <v/>
      </c>
      <c r="AM35" s="3">
        <f>1+IF(Settings!$F$10="ON",IFERROR(VLOOKUP(TRIM(F35),Settings!$D$12:$F$17,3,FALSE),0),0)</f>
        <v/>
      </c>
      <c r="AN35">
        <f>IFERROR(LEFT(C35,FIND(",",C35)-1),C35)</f>
        <v/>
      </c>
      <c r="AO35" s="6">
        <f>X35*(U35-Pool!$B$12)</f>
        <v/>
      </c>
      <c r="AP35" s="6">
        <f>Z35*(V35-Pool!$B$13)</f>
        <v/>
      </c>
      <c r="AQ35" s="3">
        <f>Settings!$B$2*(N35-Pool!$B$2)/Pool!$C$2+Settings!$B$3*(O35-Pool!$B$3)/Pool!$C$3+Settings!$B$4*(P35-Pool!$B$4)/Pool!$C$4+Settings!$B$5*(Q35-Pool!$B$5)/Pool!$C$5+Settings!$B$6*(R35-Pool!$B$6)/Pool!$C$6+Settings!$B$7*(S35-Pool!$B$7)/Pool!$C$7+Settings!$B$8*(AO35-Pool!$B$8)/Pool!$C$8+Settings!$B$9*(AP35-Pool!$B$9)/Pool!$C$9+Settings!$B$10*-(T35-Pool!$B$10)/Pool!$C$10</f>
        <v/>
      </c>
      <c r="AR35">
        <f>IF(RANK(AQ35,$AQ$2:$AQ$266)&lt;=Settings!$F$5,1,0)</f>
        <v/>
      </c>
      <c r="AS35" s="6">
        <f>X35*(U35-Pool!$D$12)</f>
        <v/>
      </c>
      <c r="AT35" s="6">
        <f>Z35*(V35-Pool!$D$13)</f>
        <v/>
      </c>
    </row>
    <row r="36">
      <c r="A36">
        <f>RANK(H36,$H$2:$H$266)</f>
        <v/>
      </c>
      <c r="B36" t="inlineStr">
        <is>
          <t>Chet Holmgren</t>
        </is>
      </c>
      <c r="C36">
        <f>INDEX('Player Data'!$C:$C,AL36)</f>
        <v/>
      </c>
      <c r="D36">
        <f>SUMPRODUCT(($AN$2:$AN$266=AN36)*($H$2:$H$266&gt;H36))+1</f>
        <v/>
      </c>
      <c r="E36">
        <f>INDEX('Player Data'!$B:$B,AL36)</f>
        <v/>
      </c>
      <c r="F36" s="2" t="n"/>
      <c r="G36" s="3">
        <f>Settings!$B$2*AB36+Settings!$B$3*AC36+Settings!$B$4*AD36+Settings!$B$5*AE36+Settings!$B$6*AF36+Settings!$B$7*AG36+Settings!$B$8*AH36+Settings!$B$9*AI36+Settings!$B$10*AJ36</f>
        <v/>
      </c>
      <c r="H36" s="3">
        <f>G36-LARGE($G$2:$G$266,Settings!$F$4)</f>
        <v/>
      </c>
      <c r="I36">
        <f>IF(INDEX('Player Data'!$R:$R,AL36)="","",INDEX('Player Data'!$R:$R,AL36))</f>
        <v/>
      </c>
      <c r="J36" s="4">
        <f>IF(I36="","",I36-A36)</f>
        <v/>
      </c>
      <c r="L36" s="5">
        <f>IF(Settings!$F$7="Yes",INDEX('Minutes &amp; Health'!$O:$O,AL36),Settings!$F$8)</f>
        <v/>
      </c>
      <c r="M36" s="6">
        <f>INDEX('Minutes &amp; Health'!$P:$P,AL36)</f>
        <v/>
      </c>
      <c r="N36" s="5">
        <f>INDEX('Player Data'!$F:$F,AL36)/INDEX('Player Data'!$E:$E,AL36)*M36*L36*AM36</f>
        <v/>
      </c>
      <c r="O36" s="5">
        <f>INDEX('Player Data'!$G:$G,AL36)/INDEX('Player Data'!$E:$E,AL36)*M36*L36*AM36</f>
        <v/>
      </c>
      <c r="P36" s="5">
        <f>INDEX('Player Data'!$H:$H,AL36)/INDEX('Player Data'!$E:$E,AL36)*M36*L36*AM36</f>
        <v/>
      </c>
      <c r="Q36" s="5">
        <f>INDEX('Player Data'!$I:$I,AL36)/INDEX('Player Data'!$E:$E,AL36)*M36*L36*AM36</f>
        <v/>
      </c>
      <c r="R36" s="5">
        <f>INDEX('Player Data'!$J:$J,AL36)/INDEX('Player Data'!$E:$E,AL36)*M36*L36*AM36</f>
        <v/>
      </c>
      <c r="S36" s="5">
        <f>INDEX('Player Data'!$K:$K,AL36)/INDEX('Player Data'!$E:$E,AL36)*M36*L36*AM36</f>
        <v/>
      </c>
      <c r="T36" s="5">
        <f>INDEX('Player Data'!$L:$L,AL36)/INDEX('Player Data'!$E:$E,AL36)*M36*L36*AM36</f>
        <v/>
      </c>
      <c r="U36" s="7">
        <f>INDEX('Player Data'!$M:$M,AL36)</f>
        <v/>
      </c>
      <c r="V36" s="7">
        <f>INDEX('Player Data'!$N:$N,AL36)</f>
        <v/>
      </c>
      <c r="W36" s="5">
        <f>X36*U36</f>
        <v/>
      </c>
      <c r="X36" s="5">
        <f>INDEX('Player Data'!$O:$O,AL36)/INDEX('Player Data'!$E:$E,AL36)*M36*L36*AM36</f>
        <v/>
      </c>
      <c r="Y36" s="5">
        <f>Z36*V36</f>
        <v/>
      </c>
      <c r="Z36" s="5">
        <f>INDEX('Player Data'!$P:$P,AL36)/INDEX('Player Data'!$E:$E,AL36)*M36*L36*AM36</f>
        <v/>
      </c>
      <c r="AB36" s="3">
        <f>(N36-Pool!$D$2)/Pool!$E$2</f>
        <v/>
      </c>
      <c r="AC36" s="3">
        <f>(O36-Pool!$D$3)/Pool!$E$3</f>
        <v/>
      </c>
      <c r="AD36" s="3">
        <f>(P36-Pool!$D$4)/Pool!$E$4</f>
        <v/>
      </c>
      <c r="AE36" s="3">
        <f>(Q36-Pool!$D$5)/Pool!$E$5</f>
        <v/>
      </c>
      <c r="AF36" s="3">
        <f>(R36-Pool!$D$6)/Pool!$E$6</f>
        <v/>
      </c>
      <c r="AG36" s="3">
        <f>(S36-Pool!$D$7)/Pool!$E$7</f>
        <v/>
      </c>
      <c r="AH36" s="3">
        <f>(AS36-Pool!$D$8)/Pool!$E$8</f>
        <v/>
      </c>
      <c r="AI36" s="3">
        <f>(AT36-Pool!$D$9)/Pool!$E$9</f>
        <v/>
      </c>
      <c r="AJ36" s="3">
        <f>-(T36-Pool!$D$10)/Pool!$E$10</f>
        <v/>
      </c>
      <c r="AL36">
        <f>MATCH(B36,'Player Data'!$A:$A,0)</f>
        <v/>
      </c>
      <c r="AM36" s="3">
        <f>1+IF(Settings!$F$10="ON",IFERROR(VLOOKUP(TRIM(F36),Settings!$D$12:$F$17,3,FALSE),0),0)</f>
        <v/>
      </c>
      <c r="AN36">
        <f>IFERROR(LEFT(C36,FIND(",",C36)-1),C36)</f>
        <v/>
      </c>
      <c r="AO36" s="6">
        <f>X36*(U36-Pool!$B$12)</f>
        <v/>
      </c>
      <c r="AP36" s="6">
        <f>Z36*(V36-Pool!$B$13)</f>
        <v/>
      </c>
      <c r="AQ36" s="3">
        <f>Settings!$B$2*(N36-Pool!$B$2)/Pool!$C$2+Settings!$B$3*(O36-Pool!$B$3)/Pool!$C$3+Settings!$B$4*(P36-Pool!$B$4)/Pool!$C$4+Settings!$B$5*(Q36-Pool!$B$5)/Pool!$C$5+Settings!$B$6*(R36-Pool!$B$6)/Pool!$C$6+Settings!$B$7*(S36-Pool!$B$7)/Pool!$C$7+Settings!$B$8*(AO36-Pool!$B$8)/Pool!$C$8+Settings!$B$9*(AP36-Pool!$B$9)/Pool!$C$9+Settings!$B$10*-(T36-Pool!$B$10)/Pool!$C$10</f>
        <v/>
      </c>
      <c r="AR36">
        <f>IF(RANK(AQ36,$AQ$2:$AQ$266)&lt;=Settings!$F$5,1,0)</f>
        <v/>
      </c>
      <c r="AS36" s="6">
        <f>X36*(U36-Pool!$D$12)</f>
        <v/>
      </c>
      <c r="AT36" s="6">
        <f>Z36*(V36-Pool!$D$13)</f>
        <v/>
      </c>
    </row>
    <row r="37">
      <c r="A37">
        <f>RANK(H37,$H$2:$H$266)</f>
        <v/>
      </c>
      <c r="B37" t="inlineStr">
        <is>
          <t>Austin Reaves</t>
        </is>
      </c>
      <c r="C37">
        <f>INDEX('Player Data'!$C:$C,AL37)</f>
        <v/>
      </c>
      <c r="D37">
        <f>SUMPRODUCT(($AN$2:$AN$266=AN37)*($H$2:$H$266&gt;H37))+1</f>
        <v/>
      </c>
      <c r="E37">
        <f>INDEX('Player Data'!$B:$B,AL37)</f>
        <v/>
      </c>
      <c r="F37" s="2" t="n"/>
      <c r="G37" s="3">
        <f>Settings!$B$2*AB37+Settings!$B$3*AC37+Settings!$B$4*AD37+Settings!$B$5*AE37+Settings!$B$6*AF37+Settings!$B$7*AG37+Settings!$B$8*AH37+Settings!$B$9*AI37+Settings!$B$10*AJ37</f>
        <v/>
      </c>
      <c r="H37" s="3">
        <f>G37-LARGE($G$2:$G$266,Settings!$F$4)</f>
        <v/>
      </c>
      <c r="I37">
        <f>IF(INDEX('Player Data'!$R:$R,AL37)="","",INDEX('Player Data'!$R:$R,AL37))</f>
        <v/>
      </c>
      <c r="J37" s="4">
        <f>IF(I37="","",I37-A37)</f>
        <v/>
      </c>
      <c r="L37" s="5">
        <f>IF(Settings!$F$7="Yes",INDEX('Minutes &amp; Health'!$O:$O,AL37),Settings!$F$8)</f>
        <v/>
      </c>
      <c r="M37" s="6">
        <f>INDEX('Minutes &amp; Health'!$P:$P,AL37)</f>
        <v/>
      </c>
      <c r="N37" s="5">
        <f>INDEX('Player Data'!$F:$F,AL37)/INDEX('Player Data'!$E:$E,AL37)*M37*L37*AM37</f>
        <v/>
      </c>
      <c r="O37" s="5">
        <f>INDEX('Player Data'!$G:$G,AL37)/INDEX('Player Data'!$E:$E,AL37)*M37*L37*AM37</f>
        <v/>
      </c>
      <c r="P37" s="5">
        <f>INDEX('Player Data'!$H:$H,AL37)/INDEX('Player Data'!$E:$E,AL37)*M37*L37*AM37</f>
        <v/>
      </c>
      <c r="Q37" s="5">
        <f>INDEX('Player Data'!$I:$I,AL37)/INDEX('Player Data'!$E:$E,AL37)*M37*L37*AM37</f>
        <v/>
      </c>
      <c r="R37" s="5">
        <f>INDEX('Player Data'!$J:$J,AL37)/INDEX('Player Data'!$E:$E,AL37)*M37*L37*AM37</f>
        <v/>
      </c>
      <c r="S37" s="5">
        <f>INDEX('Player Data'!$K:$K,AL37)/INDEX('Player Data'!$E:$E,AL37)*M37*L37*AM37</f>
        <v/>
      </c>
      <c r="T37" s="5">
        <f>INDEX('Player Data'!$L:$L,AL37)/INDEX('Player Data'!$E:$E,AL37)*M37*L37*AM37</f>
        <v/>
      </c>
      <c r="U37" s="7">
        <f>INDEX('Player Data'!$M:$M,AL37)</f>
        <v/>
      </c>
      <c r="V37" s="7">
        <f>INDEX('Player Data'!$N:$N,AL37)</f>
        <v/>
      </c>
      <c r="W37" s="5">
        <f>X37*U37</f>
        <v/>
      </c>
      <c r="X37" s="5">
        <f>INDEX('Player Data'!$O:$O,AL37)/INDEX('Player Data'!$E:$E,AL37)*M37*L37*AM37</f>
        <v/>
      </c>
      <c r="Y37" s="5">
        <f>Z37*V37</f>
        <v/>
      </c>
      <c r="Z37" s="5">
        <f>INDEX('Player Data'!$P:$P,AL37)/INDEX('Player Data'!$E:$E,AL37)*M37*L37*AM37</f>
        <v/>
      </c>
      <c r="AB37" s="3">
        <f>(N37-Pool!$D$2)/Pool!$E$2</f>
        <v/>
      </c>
      <c r="AC37" s="3">
        <f>(O37-Pool!$D$3)/Pool!$E$3</f>
        <v/>
      </c>
      <c r="AD37" s="3">
        <f>(P37-Pool!$D$4)/Pool!$E$4</f>
        <v/>
      </c>
      <c r="AE37" s="3">
        <f>(Q37-Pool!$D$5)/Pool!$E$5</f>
        <v/>
      </c>
      <c r="AF37" s="3">
        <f>(R37-Pool!$D$6)/Pool!$E$6</f>
        <v/>
      </c>
      <c r="AG37" s="3">
        <f>(S37-Pool!$D$7)/Pool!$E$7</f>
        <v/>
      </c>
      <c r="AH37" s="3">
        <f>(AS37-Pool!$D$8)/Pool!$E$8</f>
        <v/>
      </c>
      <c r="AI37" s="3">
        <f>(AT37-Pool!$D$9)/Pool!$E$9</f>
        <v/>
      </c>
      <c r="AJ37" s="3">
        <f>-(T37-Pool!$D$10)/Pool!$E$10</f>
        <v/>
      </c>
      <c r="AL37">
        <f>MATCH(B37,'Player Data'!$A:$A,0)</f>
        <v/>
      </c>
      <c r="AM37" s="3">
        <f>1+IF(Settings!$F$10="ON",IFERROR(VLOOKUP(TRIM(F37),Settings!$D$12:$F$17,3,FALSE),0),0)</f>
        <v/>
      </c>
      <c r="AN37">
        <f>IFERROR(LEFT(C37,FIND(",",C37)-1),C37)</f>
        <v/>
      </c>
      <c r="AO37" s="6">
        <f>X37*(U37-Pool!$B$12)</f>
        <v/>
      </c>
      <c r="AP37" s="6">
        <f>Z37*(V37-Pool!$B$13)</f>
        <v/>
      </c>
      <c r="AQ37" s="3">
        <f>Settings!$B$2*(N37-Pool!$B$2)/Pool!$C$2+Settings!$B$3*(O37-Pool!$B$3)/Pool!$C$3+Settings!$B$4*(P37-Pool!$B$4)/Pool!$C$4+Settings!$B$5*(Q37-Pool!$B$5)/Pool!$C$5+Settings!$B$6*(R37-Pool!$B$6)/Pool!$C$6+Settings!$B$7*(S37-Pool!$B$7)/Pool!$C$7+Settings!$B$8*(AO37-Pool!$B$8)/Pool!$C$8+Settings!$B$9*(AP37-Pool!$B$9)/Pool!$C$9+Settings!$B$10*-(T37-Pool!$B$10)/Pool!$C$10</f>
        <v/>
      </c>
      <c r="AR37">
        <f>IF(RANK(AQ37,$AQ$2:$AQ$266)&lt;=Settings!$F$5,1,0)</f>
        <v/>
      </c>
      <c r="AS37" s="6">
        <f>X37*(U37-Pool!$D$12)</f>
        <v/>
      </c>
      <c r="AT37" s="6">
        <f>Z37*(V37-Pool!$D$13)</f>
        <v/>
      </c>
    </row>
    <row r="38">
      <c r="A38">
        <f>RANK(H38,$H$2:$H$266)</f>
        <v/>
      </c>
      <c r="B38" t="inlineStr">
        <is>
          <t>Jarrett Allen</t>
        </is>
      </c>
      <c r="C38">
        <f>INDEX('Player Data'!$C:$C,AL38)</f>
        <v/>
      </c>
      <c r="D38">
        <f>SUMPRODUCT(($AN$2:$AN$266=AN38)*($H$2:$H$266&gt;H38))+1</f>
        <v/>
      </c>
      <c r="E38">
        <f>INDEX('Player Data'!$B:$B,AL38)</f>
        <v/>
      </c>
      <c r="F38" s="2" t="n"/>
      <c r="G38" s="3">
        <f>Settings!$B$2*AB38+Settings!$B$3*AC38+Settings!$B$4*AD38+Settings!$B$5*AE38+Settings!$B$6*AF38+Settings!$B$7*AG38+Settings!$B$8*AH38+Settings!$B$9*AI38+Settings!$B$10*AJ38</f>
        <v/>
      </c>
      <c r="H38" s="3">
        <f>G38-LARGE($G$2:$G$266,Settings!$F$4)</f>
        <v/>
      </c>
      <c r="I38">
        <f>IF(INDEX('Player Data'!$R:$R,AL38)="","",INDEX('Player Data'!$R:$R,AL38))</f>
        <v/>
      </c>
      <c r="J38" s="4">
        <f>IF(I38="","",I38-A38)</f>
        <v/>
      </c>
      <c r="L38" s="5">
        <f>IF(Settings!$F$7="Yes",INDEX('Minutes &amp; Health'!$O:$O,AL38),Settings!$F$8)</f>
        <v/>
      </c>
      <c r="M38" s="6">
        <f>INDEX('Minutes &amp; Health'!$P:$P,AL38)</f>
        <v/>
      </c>
      <c r="N38" s="5">
        <f>INDEX('Player Data'!$F:$F,AL38)/INDEX('Player Data'!$E:$E,AL38)*M38*L38*AM38</f>
        <v/>
      </c>
      <c r="O38" s="5">
        <f>INDEX('Player Data'!$G:$G,AL38)/INDEX('Player Data'!$E:$E,AL38)*M38*L38*AM38</f>
        <v/>
      </c>
      <c r="P38" s="5">
        <f>INDEX('Player Data'!$H:$H,AL38)/INDEX('Player Data'!$E:$E,AL38)*M38*L38*AM38</f>
        <v/>
      </c>
      <c r="Q38" s="5">
        <f>INDEX('Player Data'!$I:$I,AL38)/INDEX('Player Data'!$E:$E,AL38)*M38*L38*AM38</f>
        <v/>
      </c>
      <c r="R38" s="5">
        <f>INDEX('Player Data'!$J:$J,AL38)/INDEX('Player Data'!$E:$E,AL38)*M38*L38*AM38</f>
        <v/>
      </c>
      <c r="S38" s="5">
        <f>INDEX('Player Data'!$K:$K,AL38)/INDEX('Player Data'!$E:$E,AL38)*M38*L38*AM38</f>
        <v/>
      </c>
      <c r="T38" s="5">
        <f>INDEX('Player Data'!$L:$L,AL38)/INDEX('Player Data'!$E:$E,AL38)*M38*L38*AM38</f>
        <v/>
      </c>
      <c r="U38" s="7">
        <f>INDEX('Player Data'!$M:$M,AL38)</f>
        <v/>
      </c>
      <c r="V38" s="7">
        <f>INDEX('Player Data'!$N:$N,AL38)</f>
        <v/>
      </c>
      <c r="W38" s="5">
        <f>X38*U38</f>
        <v/>
      </c>
      <c r="X38" s="5">
        <f>INDEX('Player Data'!$O:$O,AL38)/INDEX('Player Data'!$E:$E,AL38)*M38*L38*AM38</f>
        <v/>
      </c>
      <c r="Y38" s="5">
        <f>Z38*V38</f>
        <v/>
      </c>
      <c r="Z38" s="5">
        <f>INDEX('Player Data'!$P:$P,AL38)/INDEX('Player Data'!$E:$E,AL38)*M38*L38*AM38</f>
        <v/>
      </c>
      <c r="AB38" s="3">
        <f>(N38-Pool!$D$2)/Pool!$E$2</f>
        <v/>
      </c>
      <c r="AC38" s="3">
        <f>(O38-Pool!$D$3)/Pool!$E$3</f>
        <v/>
      </c>
      <c r="AD38" s="3">
        <f>(P38-Pool!$D$4)/Pool!$E$4</f>
        <v/>
      </c>
      <c r="AE38" s="3">
        <f>(Q38-Pool!$D$5)/Pool!$E$5</f>
        <v/>
      </c>
      <c r="AF38" s="3">
        <f>(R38-Pool!$D$6)/Pool!$E$6</f>
        <v/>
      </c>
      <c r="AG38" s="3">
        <f>(S38-Pool!$D$7)/Pool!$E$7</f>
        <v/>
      </c>
      <c r="AH38" s="3">
        <f>(AS38-Pool!$D$8)/Pool!$E$8</f>
        <v/>
      </c>
      <c r="AI38" s="3">
        <f>(AT38-Pool!$D$9)/Pool!$E$9</f>
        <v/>
      </c>
      <c r="AJ38" s="3">
        <f>-(T38-Pool!$D$10)/Pool!$E$10</f>
        <v/>
      </c>
      <c r="AL38">
        <f>MATCH(B38,'Player Data'!$A:$A,0)</f>
        <v/>
      </c>
      <c r="AM38" s="3">
        <f>1+IF(Settings!$F$10="ON",IFERROR(VLOOKUP(TRIM(F38),Settings!$D$12:$F$17,3,FALSE),0),0)</f>
        <v/>
      </c>
      <c r="AN38">
        <f>IFERROR(LEFT(C38,FIND(",",C38)-1),C38)</f>
        <v/>
      </c>
      <c r="AO38" s="6">
        <f>X38*(U38-Pool!$B$12)</f>
        <v/>
      </c>
      <c r="AP38" s="6">
        <f>Z38*(V38-Pool!$B$13)</f>
        <v/>
      </c>
      <c r="AQ38" s="3">
        <f>Settings!$B$2*(N38-Pool!$B$2)/Pool!$C$2+Settings!$B$3*(O38-Pool!$B$3)/Pool!$C$3+Settings!$B$4*(P38-Pool!$B$4)/Pool!$C$4+Settings!$B$5*(Q38-Pool!$B$5)/Pool!$C$5+Settings!$B$6*(R38-Pool!$B$6)/Pool!$C$6+Settings!$B$7*(S38-Pool!$B$7)/Pool!$C$7+Settings!$B$8*(AO38-Pool!$B$8)/Pool!$C$8+Settings!$B$9*(AP38-Pool!$B$9)/Pool!$C$9+Settings!$B$10*-(T38-Pool!$B$10)/Pool!$C$10</f>
        <v/>
      </c>
      <c r="AR38">
        <f>IF(RANK(AQ38,$AQ$2:$AQ$266)&lt;=Settings!$F$5,1,0)</f>
        <v/>
      </c>
      <c r="AS38" s="6">
        <f>X38*(U38-Pool!$D$12)</f>
        <v/>
      </c>
      <c r="AT38" s="6">
        <f>Z38*(V38-Pool!$D$13)</f>
        <v/>
      </c>
    </row>
    <row r="39">
      <c r="A39">
        <f>RANK(H39,$H$2:$H$266)</f>
        <v/>
      </c>
      <c r="B39" t="inlineStr">
        <is>
          <t>Domantas Sabonis</t>
        </is>
      </c>
      <c r="C39">
        <f>INDEX('Player Data'!$C:$C,AL39)</f>
        <v/>
      </c>
      <c r="D39">
        <f>SUMPRODUCT(($AN$2:$AN$266=AN39)*($H$2:$H$266&gt;H39))+1</f>
        <v/>
      </c>
      <c r="E39">
        <f>INDEX('Player Data'!$B:$B,AL39)</f>
        <v/>
      </c>
      <c r="F39" s="2" t="n"/>
      <c r="G39" s="3">
        <f>Settings!$B$2*AB39+Settings!$B$3*AC39+Settings!$B$4*AD39+Settings!$B$5*AE39+Settings!$B$6*AF39+Settings!$B$7*AG39+Settings!$B$8*AH39+Settings!$B$9*AI39+Settings!$B$10*AJ39</f>
        <v/>
      </c>
      <c r="H39" s="3">
        <f>G39-LARGE($G$2:$G$266,Settings!$F$4)</f>
        <v/>
      </c>
      <c r="I39">
        <f>IF(INDEX('Player Data'!$R:$R,AL39)="","",INDEX('Player Data'!$R:$R,AL39))</f>
        <v/>
      </c>
      <c r="J39" s="4">
        <f>IF(I39="","",I39-A39)</f>
        <v/>
      </c>
      <c r="L39" s="5">
        <f>IF(Settings!$F$7="Yes",INDEX('Minutes &amp; Health'!$O:$O,AL39),Settings!$F$8)</f>
        <v/>
      </c>
      <c r="M39" s="6">
        <f>INDEX('Minutes &amp; Health'!$P:$P,AL39)</f>
        <v/>
      </c>
      <c r="N39" s="5">
        <f>INDEX('Player Data'!$F:$F,AL39)/INDEX('Player Data'!$E:$E,AL39)*M39*L39*AM39</f>
        <v/>
      </c>
      <c r="O39" s="5">
        <f>INDEX('Player Data'!$G:$G,AL39)/INDEX('Player Data'!$E:$E,AL39)*M39*L39*AM39</f>
        <v/>
      </c>
      <c r="P39" s="5">
        <f>INDEX('Player Data'!$H:$H,AL39)/INDEX('Player Data'!$E:$E,AL39)*M39*L39*AM39</f>
        <v/>
      </c>
      <c r="Q39" s="5">
        <f>INDEX('Player Data'!$I:$I,AL39)/INDEX('Player Data'!$E:$E,AL39)*M39*L39*AM39</f>
        <v/>
      </c>
      <c r="R39" s="5">
        <f>INDEX('Player Data'!$J:$J,AL39)/INDEX('Player Data'!$E:$E,AL39)*M39*L39*AM39</f>
        <v/>
      </c>
      <c r="S39" s="5">
        <f>INDEX('Player Data'!$K:$K,AL39)/INDEX('Player Data'!$E:$E,AL39)*M39*L39*AM39</f>
        <v/>
      </c>
      <c r="T39" s="5">
        <f>INDEX('Player Data'!$L:$L,AL39)/INDEX('Player Data'!$E:$E,AL39)*M39*L39*AM39</f>
        <v/>
      </c>
      <c r="U39" s="7">
        <f>INDEX('Player Data'!$M:$M,AL39)</f>
        <v/>
      </c>
      <c r="V39" s="7">
        <f>INDEX('Player Data'!$N:$N,AL39)</f>
        <v/>
      </c>
      <c r="W39" s="5">
        <f>X39*U39</f>
        <v/>
      </c>
      <c r="X39" s="5">
        <f>INDEX('Player Data'!$O:$O,AL39)/INDEX('Player Data'!$E:$E,AL39)*M39*L39*AM39</f>
        <v/>
      </c>
      <c r="Y39" s="5">
        <f>Z39*V39</f>
        <v/>
      </c>
      <c r="Z39" s="5">
        <f>INDEX('Player Data'!$P:$P,AL39)/INDEX('Player Data'!$E:$E,AL39)*M39*L39*AM39</f>
        <v/>
      </c>
      <c r="AB39" s="3">
        <f>(N39-Pool!$D$2)/Pool!$E$2</f>
        <v/>
      </c>
      <c r="AC39" s="3">
        <f>(O39-Pool!$D$3)/Pool!$E$3</f>
        <v/>
      </c>
      <c r="AD39" s="3">
        <f>(P39-Pool!$D$4)/Pool!$E$4</f>
        <v/>
      </c>
      <c r="AE39" s="3">
        <f>(Q39-Pool!$D$5)/Pool!$E$5</f>
        <v/>
      </c>
      <c r="AF39" s="3">
        <f>(R39-Pool!$D$6)/Pool!$E$6</f>
        <v/>
      </c>
      <c r="AG39" s="3">
        <f>(S39-Pool!$D$7)/Pool!$E$7</f>
        <v/>
      </c>
      <c r="AH39" s="3">
        <f>(AS39-Pool!$D$8)/Pool!$E$8</f>
        <v/>
      </c>
      <c r="AI39" s="3">
        <f>(AT39-Pool!$D$9)/Pool!$E$9</f>
        <v/>
      </c>
      <c r="AJ39" s="3">
        <f>-(T39-Pool!$D$10)/Pool!$E$10</f>
        <v/>
      </c>
      <c r="AL39">
        <f>MATCH(B39,'Player Data'!$A:$A,0)</f>
        <v/>
      </c>
      <c r="AM39" s="3">
        <f>1+IF(Settings!$F$10="ON",IFERROR(VLOOKUP(TRIM(F39),Settings!$D$12:$F$17,3,FALSE),0),0)</f>
        <v/>
      </c>
      <c r="AN39">
        <f>IFERROR(LEFT(C39,FIND(",",C39)-1),C39)</f>
        <v/>
      </c>
      <c r="AO39" s="6">
        <f>X39*(U39-Pool!$B$12)</f>
        <v/>
      </c>
      <c r="AP39" s="6">
        <f>Z39*(V39-Pool!$B$13)</f>
        <v/>
      </c>
      <c r="AQ39" s="3">
        <f>Settings!$B$2*(N39-Pool!$B$2)/Pool!$C$2+Settings!$B$3*(O39-Pool!$B$3)/Pool!$C$3+Settings!$B$4*(P39-Pool!$B$4)/Pool!$C$4+Settings!$B$5*(Q39-Pool!$B$5)/Pool!$C$5+Settings!$B$6*(R39-Pool!$B$6)/Pool!$C$6+Settings!$B$7*(S39-Pool!$B$7)/Pool!$C$7+Settings!$B$8*(AO39-Pool!$B$8)/Pool!$C$8+Settings!$B$9*(AP39-Pool!$B$9)/Pool!$C$9+Settings!$B$10*-(T39-Pool!$B$10)/Pool!$C$10</f>
        <v/>
      </c>
      <c r="AR39">
        <f>IF(RANK(AQ39,$AQ$2:$AQ$266)&lt;=Settings!$F$5,1,0)</f>
        <v/>
      </c>
      <c r="AS39" s="6">
        <f>X39*(U39-Pool!$D$12)</f>
        <v/>
      </c>
      <c r="AT39" s="6">
        <f>Z39*(V39-Pool!$D$13)</f>
        <v/>
      </c>
    </row>
    <row r="40">
      <c r="A40">
        <f>RANK(H40,$H$2:$H$266)</f>
        <v/>
      </c>
      <c r="B40" t="inlineStr">
        <is>
          <t>Jalen Williams</t>
        </is>
      </c>
      <c r="C40">
        <f>INDEX('Player Data'!$C:$C,AL40)</f>
        <v/>
      </c>
      <c r="D40">
        <f>SUMPRODUCT(($AN$2:$AN$266=AN40)*($H$2:$H$266&gt;H40))+1</f>
        <v/>
      </c>
      <c r="E40">
        <f>INDEX('Player Data'!$B:$B,AL40)</f>
        <v/>
      </c>
      <c r="F40" s="2" t="n"/>
      <c r="G40" s="3">
        <f>Settings!$B$2*AB40+Settings!$B$3*AC40+Settings!$B$4*AD40+Settings!$B$5*AE40+Settings!$B$6*AF40+Settings!$B$7*AG40+Settings!$B$8*AH40+Settings!$B$9*AI40+Settings!$B$10*AJ40</f>
        <v/>
      </c>
      <c r="H40" s="3">
        <f>G40-LARGE($G$2:$G$266,Settings!$F$4)</f>
        <v/>
      </c>
      <c r="I40">
        <f>IF(INDEX('Player Data'!$R:$R,AL40)="","",INDEX('Player Data'!$R:$R,AL40))</f>
        <v/>
      </c>
      <c r="J40" s="4">
        <f>IF(I40="","",I40-A40)</f>
        <v/>
      </c>
      <c r="L40" s="5">
        <f>IF(Settings!$F$7="Yes",INDEX('Minutes &amp; Health'!$O:$O,AL40),Settings!$F$8)</f>
        <v/>
      </c>
      <c r="M40" s="6">
        <f>INDEX('Minutes &amp; Health'!$P:$P,AL40)</f>
        <v/>
      </c>
      <c r="N40" s="5">
        <f>INDEX('Player Data'!$F:$F,AL40)/INDEX('Player Data'!$E:$E,AL40)*M40*L40*AM40</f>
        <v/>
      </c>
      <c r="O40" s="5">
        <f>INDEX('Player Data'!$G:$G,AL40)/INDEX('Player Data'!$E:$E,AL40)*M40*L40*AM40</f>
        <v/>
      </c>
      <c r="P40" s="5">
        <f>INDEX('Player Data'!$H:$H,AL40)/INDEX('Player Data'!$E:$E,AL40)*M40*L40*AM40</f>
        <v/>
      </c>
      <c r="Q40" s="5">
        <f>INDEX('Player Data'!$I:$I,AL40)/INDEX('Player Data'!$E:$E,AL40)*M40*L40*AM40</f>
        <v/>
      </c>
      <c r="R40" s="5">
        <f>INDEX('Player Data'!$J:$J,AL40)/INDEX('Player Data'!$E:$E,AL40)*M40*L40*AM40</f>
        <v/>
      </c>
      <c r="S40" s="5">
        <f>INDEX('Player Data'!$K:$K,AL40)/INDEX('Player Data'!$E:$E,AL40)*M40*L40*AM40</f>
        <v/>
      </c>
      <c r="T40" s="5">
        <f>INDEX('Player Data'!$L:$L,AL40)/INDEX('Player Data'!$E:$E,AL40)*M40*L40*AM40</f>
        <v/>
      </c>
      <c r="U40" s="7">
        <f>INDEX('Player Data'!$M:$M,AL40)</f>
        <v/>
      </c>
      <c r="V40" s="7">
        <f>INDEX('Player Data'!$N:$N,AL40)</f>
        <v/>
      </c>
      <c r="W40" s="5">
        <f>X40*U40</f>
        <v/>
      </c>
      <c r="X40" s="5">
        <f>INDEX('Player Data'!$O:$O,AL40)/INDEX('Player Data'!$E:$E,AL40)*M40*L40*AM40</f>
        <v/>
      </c>
      <c r="Y40" s="5">
        <f>Z40*V40</f>
        <v/>
      </c>
      <c r="Z40" s="5">
        <f>INDEX('Player Data'!$P:$P,AL40)/INDEX('Player Data'!$E:$E,AL40)*M40*L40*AM40</f>
        <v/>
      </c>
      <c r="AB40" s="3">
        <f>(N40-Pool!$D$2)/Pool!$E$2</f>
        <v/>
      </c>
      <c r="AC40" s="3">
        <f>(O40-Pool!$D$3)/Pool!$E$3</f>
        <v/>
      </c>
      <c r="AD40" s="3">
        <f>(P40-Pool!$D$4)/Pool!$E$4</f>
        <v/>
      </c>
      <c r="AE40" s="3">
        <f>(Q40-Pool!$D$5)/Pool!$E$5</f>
        <v/>
      </c>
      <c r="AF40" s="3">
        <f>(R40-Pool!$D$6)/Pool!$E$6</f>
        <v/>
      </c>
      <c r="AG40" s="3">
        <f>(S40-Pool!$D$7)/Pool!$E$7</f>
        <v/>
      </c>
      <c r="AH40" s="3">
        <f>(AS40-Pool!$D$8)/Pool!$E$8</f>
        <v/>
      </c>
      <c r="AI40" s="3">
        <f>(AT40-Pool!$D$9)/Pool!$E$9</f>
        <v/>
      </c>
      <c r="AJ40" s="3">
        <f>-(T40-Pool!$D$10)/Pool!$E$10</f>
        <v/>
      </c>
      <c r="AL40">
        <f>MATCH(B40,'Player Data'!$A:$A,0)</f>
        <v/>
      </c>
      <c r="AM40" s="3">
        <f>1+IF(Settings!$F$10="ON",IFERROR(VLOOKUP(TRIM(F40),Settings!$D$12:$F$17,3,FALSE),0),0)</f>
        <v/>
      </c>
      <c r="AN40">
        <f>IFERROR(LEFT(C40,FIND(",",C40)-1),C40)</f>
        <v/>
      </c>
      <c r="AO40" s="6">
        <f>X40*(U40-Pool!$B$12)</f>
        <v/>
      </c>
      <c r="AP40" s="6">
        <f>Z40*(V40-Pool!$B$13)</f>
        <v/>
      </c>
      <c r="AQ40" s="3">
        <f>Settings!$B$2*(N40-Pool!$B$2)/Pool!$C$2+Settings!$B$3*(O40-Pool!$B$3)/Pool!$C$3+Settings!$B$4*(P40-Pool!$B$4)/Pool!$C$4+Settings!$B$5*(Q40-Pool!$B$5)/Pool!$C$5+Settings!$B$6*(R40-Pool!$B$6)/Pool!$C$6+Settings!$B$7*(S40-Pool!$B$7)/Pool!$C$7+Settings!$B$8*(AO40-Pool!$B$8)/Pool!$C$8+Settings!$B$9*(AP40-Pool!$B$9)/Pool!$C$9+Settings!$B$10*-(T40-Pool!$B$10)/Pool!$C$10</f>
        <v/>
      </c>
      <c r="AR40">
        <f>IF(RANK(AQ40,$AQ$2:$AQ$266)&lt;=Settings!$F$5,1,0)</f>
        <v/>
      </c>
      <c r="AS40" s="6">
        <f>X40*(U40-Pool!$D$12)</f>
        <v/>
      </c>
      <c r="AT40" s="6">
        <f>Z40*(V40-Pool!$D$13)</f>
        <v/>
      </c>
    </row>
    <row r="41">
      <c r="A41">
        <f>RANK(H41,$H$2:$H$266)</f>
        <v/>
      </c>
      <c r="B41" t="inlineStr">
        <is>
          <t>Mikal Bridges</t>
        </is>
      </c>
      <c r="C41">
        <f>INDEX('Player Data'!$C:$C,AL41)</f>
        <v/>
      </c>
      <c r="D41">
        <f>SUMPRODUCT(($AN$2:$AN$266=AN41)*($H$2:$H$266&gt;H41))+1</f>
        <v/>
      </c>
      <c r="E41">
        <f>INDEX('Player Data'!$B:$B,AL41)</f>
        <v/>
      </c>
      <c r="F41" s="2" t="n"/>
      <c r="G41" s="3">
        <f>Settings!$B$2*AB41+Settings!$B$3*AC41+Settings!$B$4*AD41+Settings!$B$5*AE41+Settings!$B$6*AF41+Settings!$B$7*AG41+Settings!$B$8*AH41+Settings!$B$9*AI41+Settings!$B$10*AJ41</f>
        <v/>
      </c>
      <c r="H41" s="3">
        <f>G41-LARGE($G$2:$G$266,Settings!$F$4)</f>
        <v/>
      </c>
      <c r="I41">
        <f>IF(INDEX('Player Data'!$R:$R,AL41)="","",INDEX('Player Data'!$R:$R,AL41))</f>
        <v/>
      </c>
      <c r="J41" s="4">
        <f>IF(I41="","",I41-A41)</f>
        <v/>
      </c>
      <c r="L41" s="5">
        <f>IF(Settings!$F$7="Yes",INDEX('Minutes &amp; Health'!$O:$O,AL41),Settings!$F$8)</f>
        <v/>
      </c>
      <c r="M41" s="6">
        <f>INDEX('Minutes &amp; Health'!$P:$P,AL41)</f>
        <v/>
      </c>
      <c r="N41" s="5">
        <f>INDEX('Player Data'!$F:$F,AL41)/INDEX('Player Data'!$E:$E,AL41)*M41*L41*AM41</f>
        <v/>
      </c>
      <c r="O41" s="5">
        <f>INDEX('Player Data'!$G:$G,AL41)/INDEX('Player Data'!$E:$E,AL41)*M41*L41*AM41</f>
        <v/>
      </c>
      <c r="P41" s="5">
        <f>INDEX('Player Data'!$H:$H,AL41)/INDEX('Player Data'!$E:$E,AL41)*M41*L41*AM41</f>
        <v/>
      </c>
      <c r="Q41" s="5">
        <f>INDEX('Player Data'!$I:$I,AL41)/INDEX('Player Data'!$E:$E,AL41)*M41*L41*AM41</f>
        <v/>
      </c>
      <c r="R41" s="5">
        <f>INDEX('Player Data'!$J:$J,AL41)/INDEX('Player Data'!$E:$E,AL41)*M41*L41*AM41</f>
        <v/>
      </c>
      <c r="S41" s="5">
        <f>INDEX('Player Data'!$K:$K,AL41)/INDEX('Player Data'!$E:$E,AL41)*M41*L41*AM41</f>
        <v/>
      </c>
      <c r="T41" s="5">
        <f>INDEX('Player Data'!$L:$L,AL41)/INDEX('Player Data'!$E:$E,AL41)*M41*L41*AM41</f>
        <v/>
      </c>
      <c r="U41" s="7">
        <f>INDEX('Player Data'!$M:$M,AL41)</f>
        <v/>
      </c>
      <c r="V41" s="7">
        <f>INDEX('Player Data'!$N:$N,AL41)</f>
        <v/>
      </c>
      <c r="W41" s="5">
        <f>X41*U41</f>
        <v/>
      </c>
      <c r="X41" s="5">
        <f>INDEX('Player Data'!$O:$O,AL41)/INDEX('Player Data'!$E:$E,AL41)*M41*L41*AM41</f>
        <v/>
      </c>
      <c r="Y41" s="5">
        <f>Z41*V41</f>
        <v/>
      </c>
      <c r="Z41" s="5">
        <f>INDEX('Player Data'!$P:$P,AL41)/INDEX('Player Data'!$E:$E,AL41)*M41*L41*AM41</f>
        <v/>
      </c>
      <c r="AB41" s="3">
        <f>(N41-Pool!$D$2)/Pool!$E$2</f>
        <v/>
      </c>
      <c r="AC41" s="3">
        <f>(O41-Pool!$D$3)/Pool!$E$3</f>
        <v/>
      </c>
      <c r="AD41" s="3">
        <f>(P41-Pool!$D$4)/Pool!$E$4</f>
        <v/>
      </c>
      <c r="AE41" s="3">
        <f>(Q41-Pool!$D$5)/Pool!$E$5</f>
        <v/>
      </c>
      <c r="AF41" s="3">
        <f>(R41-Pool!$D$6)/Pool!$E$6</f>
        <v/>
      </c>
      <c r="AG41" s="3">
        <f>(S41-Pool!$D$7)/Pool!$E$7</f>
        <v/>
      </c>
      <c r="AH41" s="3">
        <f>(AS41-Pool!$D$8)/Pool!$E$8</f>
        <v/>
      </c>
      <c r="AI41" s="3">
        <f>(AT41-Pool!$D$9)/Pool!$E$9</f>
        <v/>
      </c>
      <c r="AJ41" s="3">
        <f>-(T41-Pool!$D$10)/Pool!$E$10</f>
        <v/>
      </c>
      <c r="AL41">
        <f>MATCH(B41,'Player Data'!$A:$A,0)</f>
        <v/>
      </c>
      <c r="AM41" s="3">
        <f>1+IF(Settings!$F$10="ON",IFERROR(VLOOKUP(TRIM(F41),Settings!$D$12:$F$17,3,FALSE),0),0)</f>
        <v/>
      </c>
      <c r="AN41">
        <f>IFERROR(LEFT(C41,FIND(",",C41)-1),C41)</f>
        <v/>
      </c>
      <c r="AO41" s="6">
        <f>X41*(U41-Pool!$B$12)</f>
        <v/>
      </c>
      <c r="AP41" s="6">
        <f>Z41*(V41-Pool!$B$13)</f>
        <v/>
      </c>
      <c r="AQ41" s="3">
        <f>Settings!$B$2*(N41-Pool!$B$2)/Pool!$C$2+Settings!$B$3*(O41-Pool!$B$3)/Pool!$C$3+Settings!$B$4*(P41-Pool!$B$4)/Pool!$C$4+Settings!$B$5*(Q41-Pool!$B$5)/Pool!$C$5+Settings!$B$6*(R41-Pool!$B$6)/Pool!$C$6+Settings!$B$7*(S41-Pool!$B$7)/Pool!$C$7+Settings!$B$8*(AO41-Pool!$B$8)/Pool!$C$8+Settings!$B$9*(AP41-Pool!$B$9)/Pool!$C$9+Settings!$B$10*-(T41-Pool!$B$10)/Pool!$C$10</f>
        <v/>
      </c>
      <c r="AR41">
        <f>IF(RANK(AQ41,$AQ$2:$AQ$266)&lt;=Settings!$F$5,1,0)</f>
        <v/>
      </c>
      <c r="AS41" s="6">
        <f>X41*(U41-Pool!$D$12)</f>
        <v/>
      </c>
      <c r="AT41" s="6">
        <f>Z41*(V41-Pool!$D$13)</f>
        <v/>
      </c>
    </row>
    <row r="42">
      <c r="A42">
        <f>RANK(H42,$H$2:$H$266)</f>
        <v/>
      </c>
      <c r="B42" t="inlineStr">
        <is>
          <t>Dyson Daniels</t>
        </is>
      </c>
      <c r="C42">
        <f>INDEX('Player Data'!$C:$C,AL42)</f>
        <v/>
      </c>
      <c r="D42">
        <f>SUMPRODUCT(($AN$2:$AN$266=AN42)*($H$2:$H$266&gt;H42))+1</f>
        <v/>
      </c>
      <c r="E42">
        <f>INDEX('Player Data'!$B:$B,AL42)</f>
        <v/>
      </c>
      <c r="F42" s="2" t="n"/>
      <c r="G42" s="3">
        <f>Settings!$B$2*AB42+Settings!$B$3*AC42+Settings!$B$4*AD42+Settings!$B$5*AE42+Settings!$B$6*AF42+Settings!$B$7*AG42+Settings!$B$8*AH42+Settings!$B$9*AI42+Settings!$B$10*AJ42</f>
        <v/>
      </c>
      <c r="H42" s="3">
        <f>G42-LARGE($G$2:$G$266,Settings!$F$4)</f>
        <v/>
      </c>
      <c r="I42">
        <f>IF(INDEX('Player Data'!$R:$R,AL42)="","",INDEX('Player Data'!$R:$R,AL42))</f>
        <v/>
      </c>
      <c r="J42" s="4">
        <f>IF(I42="","",I42-A42)</f>
        <v/>
      </c>
      <c r="L42" s="5">
        <f>IF(Settings!$F$7="Yes",INDEX('Minutes &amp; Health'!$O:$O,AL42),Settings!$F$8)</f>
        <v/>
      </c>
      <c r="M42" s="6">
        <f>INDEX('Minutes &amp; Health'!$P:$P,AL42)</f>
        <v/>
      </c>
      <c r="N42" s="5">
        <f>INDEX('Player Data'!$F:$F,AL42)/INDEX('Player Data'!$E:$E,AL42)*M42*L42*AM42</f>
        <v/>
      </c>
      <c r="O42" s="5">
        <f>INDEX('Player Data'!$G:$G,AL42)/INDEX('Player Data'!$E:$E,AL42)*M42*L42*AM42</f>
        <v/>
      </c>
      <c r="P42" s="5">
        <f>INDEX('Player Data'!$H:$H,AL42)/INDEX('Player Data'!$E:$E,AL42)*M42*L42*AM42</f>
        <v/>
      </c>
      <c r="Q42" s="5">
        <f>INDEX('Player Data'!$I:$I,AL42)/INDEX('Player Data'!$E:$E,AL42)*M42*L42*AM42</f>
        <v/>
      </c>
      <c r="R42" s="5">
        <f>INDEX('Player Data'!$J:$J,AL42)/INDEX('Player Data'!$E:$E,AL42)*M42*L42*AM42</f>
        <v/>
      </c>
      <c r="S42" s="5">
        <f>INDEX('Player Data'!$K:$K,AL42)/INDEX('Player Data'!$E:$E,AL42)*M42*L42*AM42</f>
        <v/>
      </c>
      <c r="T42" s="5">
        <f>INDEX('Player Data'!$L:$L,AL42)/INDEX('Player Data'!$E:$E,AL42)*M42*L42*AM42</f>
        <v/>
      </c>
      <c r="U42" s="7">
        <f>INDEX('Player Data'!$M:$M,AL42)</f>
        <v/>
      </c>
      <c r="V42" s="7">
        <f>INDEX('Player Data'!$N:$N,AL42)</f>
        <v/>
      </c>
      <c r="W42" s="5">
        <f>X42*U42</f>
        <v/>
      </c>
      <c r="X42" s="5">
        <f>INDEX('Player Data'!$O:$O,AL42)/INDEX('Player Data'!$E:$E,AL42)*M42*L42*AM42</f>
        <v/>
      </c>
      <c r="Y42" s="5">
        <f>Z42*V42</f>
        <v/>
      </c>
      <c r="Z42" s="5">
        <f>INDEX('Player Data'!$P:$P,AL42)/INDEX('Player Data'!$E:$E,AL42)*M42*L42*AM42</f>
        <v/>
      </c>
      <c r="AB42" s="3">
        <f>(N42-Pool!$D$2)/Pool!$E$2</f>
        <v/>
      </c>
      <c r="AC42" s="3">
        <f>(O42-Pool!$D$3)/Pool!$E$3</f>
        <v/>
      </c>
      <c r="AD42" s="3">
        <f>(P42-Pool!$D$4)/Pool!$E$4</f>
        <v/>
      </c>
      <c r="AE42" s="3">
        <f>(Q42-Pool!$D$5)/Pool!$E$5</f>
        <v/>
      </c>
      <c r="AF42" s="3">
        <f>(R42-Pool!$D$6)/Pool!$E$6</f>
        <v/>
      </c>
      <c r="AG42" s="3">
        <f>(S42-Pool!$D$7)/Pool!$E$7</f>
        <v/>
      </c>
      <c r="AH42" s="3">
        <f>(AS42-Pool!$D$8)/Pool!$E$8</f>
        <v/>
      </c>
      <c r="AI42" s="3">
        <f>(AT42-Pool!$D$9)/Pool!$E$9</f>
        <v/>
      </c>
      <c r="AJ42" s="3">
        <f>-(T42-Pool!$D$10)/Pool!$E$10</f>
        <v/>
      </c>
      <c r="AL42">
        <f>MATCH(B42,'Player Data'!$A:$A,0)</f>
        <v/>
      </c>
      <c r="AM42" s="3">
        <f>1+IF(Settings!$F$10="ON",IFERROR(VLOOKUP(TRIM(F42),Settings!$D$12:$F$17,3,FALSE),0),0)</f>
        <v/>
      </c>
      <c r="AN42">
        <f>IFERROR(LEFT(C42,FIND(",",C42)-1),C42)</f>
        <v/>
      </c>
      <c r="AO42" s="6">
        <f>X42*(U42-Pool!$B$12)</f>
        <v/>
      </c>
      <c r="AP42" s="6">
        <f>Z42*(V42-Pool!$B$13)</f>
        <v/>
      </c>
      <c r="AQ42" s="3">
        <f>Settings!$B$2*(N42-Pool!$B$2)/Pool!$C$2+Settings!$B$3*(O42-Pool!$B$3)/Pool!$C$3+Settings!$B$4*(P42-Pool!$B$4)/Pool!$C$4+Settings!$B$5*(Q42-Pool!$B$5)/Pool!$C$5+Settings!$B$6*(R42-Pool!$B$6)/Pool!$C$6+Settings!$B$7*(S42-Pool!$B$7)/Pool!$C$7+Settings!$B$8*(AO42-Pool!$B$8)/Pool!$C$8+Settings!$B$9*(AP42-Pool!$B$9)/Pool!$C$9+Settings!$B$10*-(T42-Pool!$B$10)/Pool!$C$10</f>
        <v/>
      </c>
      <c r="AR42">
        <f>IF(RANK(AQ42,$AQ$2:$AQ$266)&lt;=Settings!$F$5,1,0)</f>
        <v/>
      </c>
      <c r="AS42" s="6">
        <f>X42*(U42-Pool!$D$12)</f>
        <v/>
      </c>
      <c r="AT42" s="6">
        <f>Z42*(V42-Pool!$D$13)</f>
        <v/>
      </c>
    </row>
    <row r="43">
      <c r="A43">
        <f>RANK(H43,$H$2:$H$266)</f>
        <v/>
      </c>
      <c r="B43" t="inlineStr">
        <is>
          <t>Damian Lillard</t>
        </is>
      </c>
      <c r="C43">
        <f>INDEX('Player Data'!$C:$C,AL43)</f>
        <v/>
      </c>
      <c r="D43">
        <f>SUMPRODUCT(($AN$2:$AN$266=AN43)*($H$2:$H$266&gt;H43))+1</f>
        <v/>
      </c>
      <c r="E43">
        <f>INDEX('Player Data'!$B:$B,AL43)</f>
        <v/>
      </c>
      <c r="F43" s="2" t="n"/>
      <c r="G43" s="3">
        <f>Settings!$B$2*AB43+Settings!$B$3*AC43+Settings!$B$4*AD43+Settings!$B$5*AE43+Settings!$B$6*AF43+Settings!$B$7*AG43+Settings!$B$8*AH43+Settings!$B$9*AI43+Settings!$B$10*AJ43</f>
        <v/>
      </c>
      <c r="H43" s="3">
        <f>G43-LARGE($G$2:$G$266,Settings!$F$4)</f>
        <v/>
      </c>
      <c r="I43">
        <f>IF(INDEX('Player Data'!$R:$R,AL43)="","",INDEX('Player Data'!$R:$R,AL43))</f>
        <v/>
      </c>
      <c r="J43" s="4">
        <f>IF(I43="","",I43-A43)</f>
        <v/>
      </c>
      <c r="L43" s="5">
        <f>IF(Settings!$F$7="Yes",INDEX('Minutes &amp; Health'!$O:$O,AL43),Settings!$F$8)</f>
        <v/>
      </c>
      <c r="M43" s="6">
        <f>INDEX('Minutes &amp; Health'!$P:$P,AL43)</f>
        <v/>
      </c>
      <c r="N43" s="5">
        <f>INDEX('Player Data'!$F:$F,AL43)/INDEX('Player Data'!$E:$E,AL43)*M43*L43*AM43</f>
        <v/>
      </c>
      <c r="O43" s="5">
        <f>INDEX('Player Data'!$G:$G,AL43)/INDEX('Player Data'!$E:$E,AL43)*M43*L43*AM43</f>
        <v/>
      </c>
      <c r="P43" s="5">
        <f>INDEX('Player Data'!$H:$H,AL43)/INDEX('Player Data'!$E:$E,AL43)*M43*L43*AM43</f>
        <v/>
      </c>
      <c r="Q43" s="5">
        <f>INDEX('Player Data'!$I:$I,AL43)/INDEX('Player Data'!$E:$E,AL43)*M43*L43*AM43</f>
        <v/>
      </c>
      <c r="R43" s="5">
        <f>INDEX('Player Data'!$J:$J,AL43)/INDEX('Player Data'!$E:$E,AL43)*M43*L43*AM43</f>
        <v/>
      </c>
      <c r="S43" s="5">
        <f>INDEX('Player Data'!$K:$K,AL43)/INDEX('Player Data'!$E:$E,AL43)*M43*L43*AM43</f>
        <v/>
      </c>
      <c r="T43" s="5">
        <f>INDEX('Player Data'!$L:$L,AL43)/INDEX('Player Data'!$E:$E,AL43)*M43*L43*AM43</f>
        <v/>
      </c>
      <c r="U43" s="7">
        <f>INDEX('Player Data'!$M:$M,AL43)</f>
        <v/>
      </c>
      <c r="V43" s="7">
        <f>INDEX('Player Data'!$N:$N,AL43)</f>
        <v/>
      </c>
      <c r="W43" s="5">
        <f>X43*U43</f>
        <v/>
      </c>
      <c r="X43" s="5">
        <f>INDEX('Player Data'!$O:$O,AL43)/INDEX('Player Data'!$E:$E,AL43)*M43*L43*AM43</f>
        <v/>
      </c>
      <c r="Y43" s="5">
        <f>Z43*V43</f>
        <v/>
      </c>
      <c r="Z43" s="5">
        <f>INDEX('Player Data'!$P:$P,AL43)/INDEX('Player Data'!$E:$E,AL43)*M43*L43*AM43</f>
        <v/>
      </c>
      <c r="AB43" s="3">
        <f>(N43-Pool!$D$2)/Pool!$E$2</f>
        <v/>
      </c>
      <c r="AC43" s="3">
        <f>(O43-Pool!$D$3)/Pool!$E$3</f>
        <v/>
      </c>
      <c r="AD43" s="3">
        <f>(P43-Pool!$D$4)/Pool!$E$4</f>
        <v/>
      </c>
      <c r="AE43" s="3">
        <f>(Q43-Pool!$D$5)/Pool!$E$5</f>
        <v/>
      </c>
      <c r="AF43" s="3">
        <f>(R43-Pool!$D$6)/Pool!$E$6</f>
        <v/>
      </c>
      <c r="AG43" s="3">
        <f>(S43-Pool!$D$7)/Pool!$E$7</f>
        <v/>
      </c>
      <c r="AH43" s="3">
        <f>(AS43-Pool!$D$8)/Pool!$E$8</f>
        <v/>
      </c>
      <c r="AI43" s="3">
        <f>(AT43-Pool!$D$9)/Pool!$E$9</f>
        <v/>
      </c>
      <c r="AJ43" s="3">
        <f>-(T43-Pool!$D$10)/Pool!$E$10</f>
        <v/>
      </c>
      <c r="AL43">
        <f>MATCH(B43,'Player Data'!$A:$A,0)</f>
        <v/>
      </c>
      <c r="AM43" s="3">
        <f>1+IF(Settings!$F$10="ON",IFERROR(VLOOKUP(TRIM(F43),Settings!$D$12:$F$17,3,FALSE),0),0)</f>
        <v/>
      </c>
      <c r="AN43">
        <f>IFERROR(LEFT(C43,FIND(",",C43)-1),C43)</f>
        <v/>
      </c>
      <c r="AO43" s="6">
        <f>X43*(U43-Pool!$B$12)</f>
        <v/>
      </c>
      <c r="AP43" s="6">
        <f>Z43*(V43-Pool!$B$13)</f>
        <v/>
      </c>
      <c r="AQ43" s="3">
        <f>Settings!$B$2*(N43-Pool!$B$2)/Pool!$C$2+Settings!$B$3*(O43-Pool!$B$3)/Pool!$C$3+Settings!$B$4*(P43-Pool!$B$4)/Pool!$C$4+Settings!$B$5*(Q43-Pool!$B$5)/Pool!$C$5+Settings!$B$6*(R43-Pool!$B$6)/Pool!$C$6+Settings!$B$7*(S43-Pool!$B$7)/Pool!$C$7+Settings!$B$8*(AO43-Pool!$B$8)/Pool!$C$8+Settings!$B$9*(AP43-Pool!$B$9)/Pool!$C$9+Settings!$B$10*-(T43-Pool!$B$10)/Pool!$C$10</f>
        <v/>
      </c>
      <c r="AR43">
        <f>IF(RANK(AQ43,$AQ$2:$AQ$266)&lt;=Settings!$F$5,1,0)</f>
        <v/>
      </c>
      <c r="AS43" s="6">
        <f>X43*(U43-Pool!$D$12)</f>
        <v/>
      </c>
      <c r="AT43" s="6">
        <f>Z43*(V43-Pool!$D$13)</f>
        <v/>
      </c>
    </row>
    <row r="44">
      <c r="A44">
        <f>RANK(H44,$H$2:$H$266)</f>
        <v/>
      </c>
      <c r="B44" t="inlineStr">
        <is>
          <t>Jalen Brunson</t>
        </is>
      </c>
      <c r="C44">
        <f>INDEX('Player Data'!$C:$C,AL44)</f>
        <v/>
      </c>
      <c r="D44">
        <f>SUMPRODUCT(($AN$2:$AN$266=AN44)*($H$2:$H$266&gt;H44))+1</f>
        <v/>
      </c>
      <c r="E44">
        <f>INDEX('Player Data'!$B:$B,AL44)</f>
        <v/>
      </c>
      <c r="F44" s="2" t="n"/>
      <c r="G44" s="3">
        <f>Settings!$B$2*AB44+Settings!$B$3*AC44+Settings!$B$4*AD44+Settings!$B$5*AE44+Settings!$B$6*AF44+Settings!$B$7*AG44+Settings!$B$8*AH44+Settings!$B$9*AI44+Settings!$B$10*AJ44</f>
        <v/>
      </c>
      <c r="H44" s="3">
        <f>G44-LARGE($G$2:$G$266,Settings!$F$4)</f>
        <v/>
      </c>
      <c r="I44">
        <f>IF(INDEX('Player Data'!$R:$R,AL44)="","",INDEX('Player Data'!$R:$R,AL44))</f>
        <v/>
      </c>
      <c r="J44" s="4">
        <f>IF(I44="","",I44-A44)</f>
        <v/>
      </c>
      <c r="L44" s="5">
        <f>IF(Settings!$F$7="Yes",INDEX('Minutes &amp; Health'!$O:$O,AL44),Settings!$F$8)</f>
        <v/>
      </c>
      <c r="M44" s="6">
        <f>INDEX('Minutes &amp; Health'!$P:$P,AL44)</f>
        <v/>
      </c>
      <c r="N44" s="5">
        <f>INDEX('Player Data'!$F:$F,AL44)/INDEX('Player Data'!$E:$E,AL44)*M44*L44*AM44</f>
        <v/>
      </c>
      <c r="O44" s="5">
        <f>INDEX('Player Data'!$G:$G,AL44)/INDEX('Player Data'!$E:$E,AL44)*M44*L44*AM44</f>
        <v/>
      </c>
      <c r="P44" s="5">
        <f>INDEX('Player Data'!$H:$H,AL44)/INDEX('Player Data'!$E:$E,AL44)*M44*L44*AM44</f>
        <v/>
      </c>
      <c r="Q44" s="5">
        <f>INDEX('Player Data'!$I:$I,AL44)/INDEX('Player Data'!$E:$E,AL44)*M44*L44*AM44</f>
        <v/>
      </c>
      <c r="R44" s="5">
        <f>INDEX('Player Data'!$J:$J,AL44)/INDEX('Player Data'!$E:$E,AL44)*M44*L44*AM44</f>
        <v/>
      </c>
      <c r="S44" s="5">
        <f>INDEX('Player Data'!$K:$K,AL44)/INDEX('Player Data'!$E:$E,AL44)*M44*L44*AM44</f>
        <v/>
      </c>
      <c r="T44" s="5">
        <f>INDEX('Player Data'!$L:$L,AL44)/INDEX('Player Data'!$E:$E,AL44)*M44*L44*AM44</f>
        <v/>
      </c>
      <c r="U44" s="7">
        <f>INDEX('Player Data'!$M:$M,AL44)</f>
        <v/>
      </c>
      <c r="V44" s="7">
        <f>INDEX('Player Data'!$N:$N,AL44)</f>
        <v/>
      </c>
      <c r="W44" s="5">
        <f>X44*U44</f>
        <v/>
      </c>
      <c r="X44" s="5">
        <f>INDEX('Player Data'!$O:$O,AL44)/INDEX('Player Data'!$E:$E,AL44)*M44*L44*AM44</f>
        <v/>
      </c>
      <c r="Y44" s="5">
        <f>Z44*V44</f>
        <v/>
      </c>
      <c r="Z44" s="5">
        <f>INDEX('Player Data'!$P:$P,AL44)/INDEX('Player Data'!$E:$E,AL44)*M44*L44*AM44</f>
        <v/>
      </c>
      <c r="AB44" s="3">
        <f>(N44-Pool!$D$2)/Pool!$E$2</f>
        <v/>
      </c>
      <c r="AC44" s="3">
        <f>(O44-Pool!$D$3)/Pool!$E$3</f>
        <v/>
      </c>
      <c r="AD44" s="3">
        <f>(P44-Pool!$D$4)/Pool!$E$4</f>
        <v/>
      </c>
      <c r="AE44" s="3">
        <f>(Q44-Pool!$D$5)/Pool!$E$5</f>
        <v/>
      </c>
      <c r="AF44" s="3">
        <f>(R44-Pool!$D$6)/Pool!$E$6</f>
        <v/>
      </c>
      <c r="AG44" s="3">
        <f>(S44-Pool!$D$7)/Pool!$E$7</f>
        <v/>
      </c>
      <c r="AH44" s="3">
        <f>(AS44-Pool!$D$8)/Pool!$E$8</f>
        <v/>
      </c>
      <c r="AI44" s="3">
        <f>(AT44-Pool!$D$9)/Pool!$E$9</f>
        <v/>
      </c>
      <c r="AJ44" s="3">
        <f>-(T44-Pool!$D$10)/Pool!$E$10</f>
        <v/>
      </c>
      <c r="AL44">
        <f>MATCH(B44,'Player Data'!$A:$A,0)</f>
        <v/>
      </c>
      <c r="AM44" s="3">
        <f>1+IF(Settings!$F$10="ON",IFERROR(VLOOKUP(TRIM(F44),Settings!$D$12:$F$17,3,FALSE),0),0)</f>
        <v/>
      </c>
      <c r="AN44">
        <f>IFERROR(LEFT(C44,FIND(",",C44)-1),C44)</f>
        <v/>
      </c>
      <c r="AO44" s="6">
        <f>X44*(U44-Pool!$B$12)</f>
        <v/>
      </c>
      <c r="AP44" s="6">
        <f>Z44*(V44-Pool!$B$13)</f>
        <v/>
      </c>
      <c r="AQ44" s="3">
        <f>Settings!$B$2*(N44-Pool!$B$2)/Pool!$C$2+Settings!$B$3*(O44-Pool!$B$3)/Pool!$C$3+Settings!$B$4*(P44-Pool!$B$4)/Pool!$C$4+Settings!$B$5*(Q44-Pool!$B$5)/Pool!$C$5+Settings!$B$6*(R44-Pool!$B$6)/Pool!$C$6+Settings!$B$7*(S44-Pool!$B$7)/Pool!$C$7+Settings!$B$8*(AO44-Pool!$B$8)/Pool!$C$8+Settings!$B$9*(AP44-Pool!$B$9)/Pool!$C$9+Settings!$B$10*-(T44-Pool!$B$10)/Pool!$C$10</f>
        <v/>
      </c>
      <c r="AR44">
        <f>IF(RANK(AQ44,$AQ$2:$AQ$266)&lt;=Settings!$F$5,1,0)</f>
        <v/>
      </c>
      <c r="AS44" s="6">
        <f>X44*(U44-Pool!$D$12)</f>
        <v/>
      </c>
      <c r="AT44" s="6">
        <f>Z44*(V44-Pool!$D$13)</f>
        <v/>
      </c>
    </row>
    <row r="45">
      <c r="A45">
        <f>RANK(H45,$H$2:$H$266)</f>
        <v/>
      </c>
      <c r="B45" t="inlineStr">
        <is>
          <t>Franz Wagner</t>
        </is>
      </c>
      <c r="C45">
        <f>INDEX('Player Data'!$C:$C,AL45)</f>
        <v/>
      </c>
      <c r="D45">
        <f>SUMPRODUCT(($AN$2:$AN$266=AN45)*($H$2:$H$266&gt;H45))+1</f>
        <v/>
      </c>
      <c r="E45">
        <f>INDEX('Player Data'!$B:$B,AL45)</f>
        <v/>
      </c>
      <c r="F45" s="2" t="n"/>
      <c r="G45" s="3">
        <f>Settings!$B$2*AB45+Settings!$B$3*AC45+Settings!$B$4*AD45+Settings!$B$5*AE45+Settings!$B$6*AF45+Settings!$B$7*AG45+Settings!$B$8*AH45+Settings!$B$9*AI45+Settings!$B$10*AJ45</f>
        <v/>
      </c>
      <c r="H45" s="3">
        <f>G45-LARGE($G$2:$G$266,Settings!$F$4)</f>
        <v/>
      </c>
      <c r="I45">
        <f>IF(INDEX('Player Data'!$R:$R,AL45)="","",INDEX('Player Data'!$R:$R,AL45))</f>
        <v/>
      </c>
      <c r="J45" s="4">
        <f>IF(I45="","",I45-A45)</f>
        <v/>
      </c>
      <c r="L45" s="5">
        <f>IF(Settings!$F$7="Yes",INDEX('Minutes &amp; Health'!$O:$O,AL45),Settings!$F$8)</f>
        <v/>
      </c>
      <c r="M45" s="6">
        <f>INDEX('Minutes &amp; Health'!$P:$P,AL45)</f>
        <v/>
      </c>
      <c r="N45" s="5">
        <f>INDEX('Player Data'!$F:$F,AL45)/INDEX('Player Data'!$E:$E,AL45)*M45*L45*AM45</f>
        <v/>
      </c>
      <c r="O45" s="5">
        <f>INDEX('Player Data'!$G:$G,AL45)/INDEX('Player Data'!$E:$E,AL45)*M45*L45*AM45</f>
        <v/>
      </c>
      <c r="P45" s="5">
        <f>INDEX('Player Data'!$H:$H,AL45)/INDEX('Player Data'!$E:$E,AL45)*M45*L45*AM45</f>
        <v/>
      </c>
      <c r="Q45" s="5">
        <f>INDEX('Player Data'!$I:$I,AL45)/INDEX('Player Data'!$E:$E,AL45)*M45*L45*AM45</f>
        <v/>
      </c>
      <c r="R45" s="5">
        <f>INDEX('Player Data'!$J:$J,AL45)/INDEX('Player Data'!$E:$E,AL45)*M45*L45*AM45</f>
        <v/>
      </c>
      <c r="S45" s="5">
        <f>INDEX('Player Data'!$K:$K,AL45)/INDEX('Player Data'!$E:$E,AL45)*M45*L45*AM45</f>
        <v/>
      </c>
      <c r="T45" s="5">
        <f>INDEX('Player Data'!$L:$L,AL45)/INDEX('Player Data'!$E:$E,AL45)*M45*L45*AM45</f>
        <v/>
      </c>
      <c r="U45" s="7">
        <f>INDEX('Player Data'!$M:$M,AL45)</f>
        <v/>
      </c>
      <c r="V45" s="7">
        <f>INDEX('Player Data'!$N:$N,AL45)</f>
        <v/>
      </c>
      <c r="W45" s="5">
        <f>X45*U45</f>
        <v/>
      </c>
      <c r="X45" s="5">
        <f>INDEX('Player Data'!$O:$O,AL45)/INDEX('Player Data'!$E:$E,AL45)*M45*L45*AM45</f>
        <v/>
      </c>
      <c r="Y45" s="5">
        <f>Z45*V45</f>
        <v/>
      </c>
      <c r="Z45" s="5">
        <f>INDEX('Player Data'!$P:$P,AL45)/INDEX('Player Data'!$E:$E,AL45)*M45*L45*AM45</f>
        <v/>
      </c>
      <c r="AB45" s="3">
        <f>(N45-Pool!$D$2)/Pool!$E$2</f>
        <v/>
      </c>
      <c r="AC45" s="3">
        <f>(O45-Pool!$D$3)/Pool!$E$3</f>
        <v/>
      </c>
      <c r="AD45" s="3">
        <f>(P45-Pool!$D$4)/Pool!$E$4</f>
        <v/>
      </c>
      <c r="AE45" s="3">
        <f>(Q45-Pool!$D$5)/Pool!$E$5</f>
        <v/>
      </c>
      <c r="AF45" s="3">
        <f>(R45-Pool!$D$6)/Pool!$E$6</f>
        <v/>
      </c>
      <c r="AG45" s="3">
        <f>(S45-Pool!$D$7)/Pool!$E$7</f>
        <v/>
      </c>
      <c r="AH45" s="3">
        <f>(AS45-Pool!$D$8)/Pool!$E$8</f>
        <v/>
      </c>
      <c r="AI45" s="3">
        <f>(AT45-Pool!$D$9)/Pool!$E$9</f>
        <v/>
      </c>
      <c r="AJ45" s="3">
        <f>-(T45-Pool!$D$10)/Pool!$E$10</f>
        <v/>
      </c>
      <c r="AL45">
        <f>MATCH(B45,'Player Data'!$A:$A,0)</f>
        <v/>
      </c>
      <c r="AM45" s="3">
        <f>1+IF(Settings!$F$10="ON",IFERROR(VLOOKUP(TRIM(F45),Settings!$D$12:$F$17,3,FALSE),0),0)</f>
        <v/>
      </c>
      <c r="AN45">
        <f>IFERROR(LEFT(C45,FIND(",",C45)-1),C45)</f>
        <v/>
      </c>
      <c r="AO45" s="6">
        <f>X45*(U45-Pool!$B$12)</f>
        <v/>
      </c>
      <c r="AP45" s="6">
        <f>Z45*(V45-Pool!$B$13)</f>
        <v/>
      </c>
      <c r="AQ45" s="3">
        <f>Settings!$B$2*(N45-Pool!$B$2)/Pool!$C$2+Settings!$B$3*(O45-Pool!$B$3)/Pool!$C$3+Settings!$B$4*(P45-Pool!$B$4)/Pool!$C$4+Settings!$B$5*(Q45-Pool!$B$5)/Pool!$C$5+Settings!$B$6*(R45-Pool!$B$6)/Pool!$C$6+Settings!$B$7*(S45-Pool!$B$7)/Pool!$C$7+Settings!$B$8*(AO45-Pool!$B$8)/Pool!$C$8+Settings!$B$9*(AP45-Pool!$B$9)/Pool!$C$9+Settings!$B$10*-(T45-Pool!$B$10)/Pool!$C$10</f>
        <v/>
      </c>
      <c r="AR45">
        <f>IF(RANK(AQ45,$AQ$2:$AQ$266)&lt;=Settings!$F$5,1,0)</f>
        <v/>
      </c>
      <c r="AS45" s="6">
        <f>X45*(U45-Pool!$D$12)</f>
        <v/>
      </c>
      <c r="AT45" s="6">
        <f>Z45*(V45-Pool!$D$13)</f>
        <v/>
      </c>
    </row>
    <row r="46">
      <c r="A46">
        <f>RANK(H46,$H$2:$H$266)</f>
        <v/>
      </c>
      <c r="B46" t="inlineStr">
        <is>
          <t>Josh Giddey</t>
        </is>
      </c>
      <c r="C46">
        <f>INDEX('Player Data'!$C:$C,AL46)</f>
        <v/>
      </c>
      <c r="D46">
        <f>SUMPRODUCT(($AN$2:$AN$266=AN46)*($H$2:$H$266&gt;H46))+1</f>
        <v/>
      </c>
      <c r="E46">
        <f>INDEX('Player Data'!$B:$B,AL46)</f>
        <v/>
      </c>
      <c r="F46" s="2" t="n"/>
      <c r="G46" s="3">
        <f>Settings!$B$2*AB46+Settings!$B$3*AC46+Settings!$B$4*AD46+Settings!$B$5*AE46+Settings!$B$6*AF46+Settings!$B$7*AG46+Settings!$B$8*AH46+Settings!$B$9*AI46+Settings!$B$10*AJ46</f>
        <v/>
      </c>
      <c r="H46" s="3">
        <f>G46-LARGE($G$2:$G$266,Settings!$F$4)</f>
        <v/>
      </c>
      <c r="I46">
        <f>IF(INDEX('Player Data'!$R:$R,AL46)="","",INDEX('Player Data'!$R:$R,AL46))</f>
        <v/>
      </c>
      <c r="J46" s="4">
        <f>IF(I46="","",I46-A46)</f>
        <v/>
      </c>
      <c r="L46" s="5">
        <f>IF(Settings!$F$7="Yes",INDEX('Minutes &amp; Health'!$O:$O,AL46),Settings!$F$8)</f>
        <v/>
      </c>
      <c r="M46" s="6">
        <f>INDEX('Minutes &amp; Health'!$P:$P,AL46)</f>
        <v/>
      </c>
      <c r="N46" s="5">
        <f>INDEX('Player Data'!$F:$F,AL46)/INDEX('Player Data'!$E:$E,AL46)*M46*L46*AM46</f>
        <v/>
      </c>
      <c r="O46" s="5">
        <f>INDEX('Player Data'!$G:$G,AL46)/INDEX('Player Data'!$E:$E,AL46)*M46*L46*AM46</f>
        <v/>
      </c>
      <c r="P46" s="5">
        <f>INDEX('Player Data'!$H:$H,AL46)/INDEX('Player Data'!$E:$E,AL46)*M46*L46*AM46</f>
        <v/>
      </c>
      <c r="Q46" s="5">
        <f>INDEX('Player Data'!$I:$I,AL46)/INDEX('Player Data'!$E:$E,AL46)*M46*L46*AM46</f>
        <v/>
      </c>
      <c r="R46" s="5">
        <f>INDEX('Player Data'!$J:$J,AL46)/INDEX('Player Data'!$E:$E,AL46)*M46*L46*AM46</f>
        <v/>
      </c>
      <c r="S46" s="5">
        <f>INDEX('Player Data'!$K:$K,AL46)/INDEX('Player Data'!$E:$E,AL46)*M46*L46*AM46</f>
        <v/>
      </c>
      <c r="T46" s="5">
        <f>INDEX('Player Data'!$L:$L,AL46)/INDEX('Player Data'!$E:$E,AL46)*M46*L46*AM46</f>
        <v/>
      </c>
      <c r="U46" s="7">
        <f>INDEX('Player Data'!$M:$M,AL46)</f>
        <v/>
      </c>
      <c r="V46" s="7">
        <f>INDEX('Player Data'!$N:$N,AL46)</f>
        <v/>
      </c>
      <c r="W46" s="5">
        <f>X46*U46</f>
        <v/>
      </c>
      <c r="X46" s="5">
        <f>INDEX('Player Data'!$O:$O,AL46)/INDEX('Player Data'!$E:$E,AL46)*M46*L46*AM46</f>
        <v/>
      </c>
      <c r="Y46" s="5">
        <f>Z46*V46</f>
        <v/>
      </c>
      <c r="Z46" s="5">
        <f>INDEX('Player Data'!$P:$P,AL46)/INDEX('Player Data'!$E:$E,AL46)*M46*L46*AM46</f>
        <v/>
      </c>
      <c r="AB46" s="3">
        <f>(N46-Pool!$D$2)/Pool!$E$2</f>
        <v/>
      </c>
      <c r="AC46" s="3">
        <f>(O46-Pool!$D$3)/Pool!$E$3</f>
        <v/>
      </c>
      <c r="AD46" s="3">
        <f>(P46-Pool!$D$4)/Pool!$E$4</f>
        <v/>
      </c>
      <c r="AE46" s="3">
        <f>(Q46-Pool!$D$5)/Pool!$E$5</f>
        <v/>
      </c>
      <c r="AF46" s="3">
        <f>(R46-Pool!$D$6)/Pool!$E$6</f>
        <v/>
      </c>
      <c r="AG46" s="3">
        <f>(S46-Pool!$D$7)/Pool!$E$7</f>
        <v/>
      </c>
      <c r="AH46" s="3">
        <f>(AS46-Pool!$D$8)/Pool!$E$8</f>
        <v/>
      </c>
      <c r="AI46" s="3">
        <f>(AT46-Pool!$D$9)/Pool!$E$9</f>
        <v/>
      </c>
      <c r="AJ46" s="3">
        <f>-(T46-Pool!$D$10)/Pool!$E$10</f>
        <v/>
      </c>
      <c r="AL46">
        <f>MATCH(B46,'Player Data'!$A:$A,0)</f>
        <v/>
      </c>
      <c r="AM46" s="3">
        <f>1+IF(Settings!$F$10="ON",IFERROR(VLOOKUP(TRIM(F46),Settings!$D$12:$F$17,3,FALSE),0),0)</f>
        <v/>
      </c>
      <c r="AN46">
        <f>IFERROR(LEFT(C46,FIND(",",C46)-1),C46)</f>
        <v/>
      </c>
      <c r="AO46" s="6">
        <f>X46*(U46-Pool!$B$12)</f>
        <v/>
      </c>
      <c r="AP46" s="6">
        <f>Z46*(V46-Pool!$B$13)</f>
        <v/>
      </c>
      <c r="AQ46" s="3">
        <f>Settings!$B$2*(N46-Pool!$B$2)/Pool!$C$2+Settings!$B$3*(O46-Pool!$B$3)/Pool!$C$3+Settings!$B$4*(P46-Pool!$B$4)/Pool!$C$4+Settings!$B$5*(Q46-Pool!$B$5)/Pool!$C$5+Settings!$B$6*(R46-Pool!$B$6)/Pool!$C$6+Settings!$B$7*(S46-Pool!$B$7)/Pool!$C$7+Settings!$B$8*(AO46-Pool!$B$8)/Pool!$C$8+Settings!$B$9*(AP46-Pool!$B$9)/Pool!$C$9+Settings!$B$10*-(T46-Pool!$B$10)/Pool!$C$10</f>
        <v/>
      </c>
      <c r="AR46">
        <f>IF(RANK(AQ46,$AQ$2:$AQ$266)&lt;=Settings!$F$5,1,0)</f>
        <v/>
      </c>
      <c r="AS46" s="6">
        <f>X46*(U46-Pool!$D$12)</f>
        <v/>
      </c>
      <c r="AT46" s="6">
        <f>Z46*(V46-Pool!$D$13)</f>
        <v/>
      </c>
    </row>
    <row r="47">
      <c r="A47">
        <f>RANK(H47,$H$2:$H$266)</f>
        <v/>
      </c>
      <c r="B47" t="inlineStr">
        <is>
          <t>Onyeka Okongwu</t>
        </is>
      </c>
      <c r="C47">
        <f>INDEX('Player Data'!$C:$C,AL47)</f>
        <v/>
      </c>
      <c r="D47">
        <f>SUMPRODUCT(($AN$2:$AN$266=AN47)*($H$2:$H$266&gt;H47))+1</f>
        <v/>
      </c>
      <c r="E47">
        <f>INDEX('Player Data'!$B:$B,AL47)</f>
        <v/>
      </c>
      <c r="F47" s="2" t="n"/>
      <c r="G47" s="3">
        <f>Settings!$B$2*AB47+Settings!$B$3*AC47+Settings!$B$4*AD47+Settings!$B$5*AE47+Settings!$B$6*AF47+Settings!$B$7*AG47+Settings!$B$8*AH47+Settings!$B$9*AI47+Settings!$B$10*AJ47</f>
        <v/>
      </c>
      <c r="H47" s="3">
        <f>G47-LARGE($G$2:$G$266,Settings!$F$4)</f>
        <v/>
      </c>
      <c r="I47">
        <f>IF(INDEX('Player Data'!$R:$R,AL47)="","",INDEX('Player Data'!$R:$R,AL47))</f>
        <v/>
      </c>
      <c r="J47" s="4">
        <f>IF(I47="","",I47-A47)</f>
        <v/>
      </c>
      <c r="L47" s="5">
        <f>IF(Settings!$F$7="Yes",INDEX('Minutes &amp; Health'!$O:$O,AL47),Settings!$F$8)</f>
        <v/>
      </c>
      <c r="M47" s="6">
        <f>INDEX('Minutes &amp; Health'!$P:$P,AL47)</f>
        <v/>
      </c>
      <c r="N47" s="5">
        <f>INDEX('Player Data'!$F:$F,AL47)/INDEX('Player Data'!$E:$E,AL47)*M47*L47*AM47</f>
        <v/>
      </c>
      <c r="O47" s="5">
        <f>INDEX('Player Data'!$G:$G,AL47)/INDEX('Player Data'!$E:$E,AL47)*M47*L47*AM47</f>
        <v/>
      </c>
      <c r="P47" s="5">
        <f>INDEX('Player Data'!$H:$H,AL47)/INDEX('Player Data'!$E:$E,AL47)*M47*L47*AM47</f>
        <v/>
      </c>
      <c r="Q47" s="5">
        <f>INDEX('Player Data'!$I:$I,AL47)/INDEX('Player Data'!$E:$E,AL47)*M47*L47*AM47</f>
        <v/>
      </c>
      <c r="R47" s="5">
        <f>INDEX('Player Data'!$J:$J,AL47)/INDEX('Player Data'!$E:$E,AL47)*M47*L47*AM47</f>
        <v/>
      </c>
      <c r="S47" s="5">
        <f>INDEX('Player Data'!$K:$K,AL47)/INDEX('Player Data'!$E:$E,AL47)*M47*L47*AM47</f>
        <v/>
      </c>
      <c r="T47" s="5">
        <f>INDEX('Player Data'!$L:$L,AL47)/INDEX('Player Data'!$E:$E,AL47)*M47*L47*AM47</f>
        <v/>
      </c>
      <c r="U47" s="7">
        <f>INDEX('Player Data'!$M:$M,AL47)</f>
        <v/>
      </c>
      <c r="V47" s="7">
        <f>INDEX('Player Data'!$N:$N,AL47)</f>
        <v/>
      </c>
      <c r="W47" s="5">
        <f>X47*U47</f>
        <v/>
      </c>
      <c r="X47" s="5">
        <f>INDEX('Player Data'!$O:$O,AL47)/INDEX('Player Data'!$E:$E,AL47)*M47*L47*AM47</f>
        <v/>
      </c>
      <c r="Y47" s="5">
        <f>Z47*V47</f>
        <v/>
      </c>
      <c r="Z47" s="5">
        <f>INDEX('Player Data'!$P:$P,AL47)/INDEX('Player Data'!$E:$E,AL47)*M47*L47*AM47</f>
        <v/>
      </c>
      <c r="AB47" s="3">
        <f>(N47-Pool!$D$2)/Pool!$E$2</f>
        <v/>
      </c>
      <c r="AC47" s="3">
        <f>(O47-Pool!$D$3)/Pool!$E$3</f>
        <v/>
      </c>
      <c r="AD47" s="3">
        <f>(P47-Pool!$D$4)/Pool!$E$4</f>
        <v/>
      </c>
      <c r="AE47" s="3">
        <f>(Q47-Pool!$D$5)/Pool!$E$5</f>
        <v/>
      </c>
      <c r="AF47" s="3">
        <f>(R47-Pool!$D$6)/Pool!$E$6</f>
        <v/>
      </c>
      <c r="AG47" s="3">
        <f>(S47-Pool!$D$7)/Pool!$E$7</f>
        <v/>
      </c>
      <c r="AH47" s="3">
        <f>(AS47-Pool!$D$8)/Pool!$E$8</f>
        <v/>
      </c>
      <c r="AI47" s="3">
        <f>(AT47-Pool!$D$9)/Pool!$E$9</f>
        <v/>
      </c>
      <c r="AJ47" s="3">
        <f>-(T47-Pool!$D$10)/Pool!$E$10</f>
        <v/>
      </c>
      <c r="AL47">
        <f>MATCH(B47,'Player Data'!$A:$A,0)</f>
        <v/>
      </c>
      <c r="AM47" s="3">
        <f>1+IF(Settings!$F$10="ON",IFERROR(VLOOKUP(TRIM(F47),Settings!$D$12:$F$17,3,FALSE),0),0)</f>
        <v/>
      </c>
      <c r="AN47">
        <f>IFERROR(LEFT(C47,FIND(",",C47)-1),C47)</f>
        <v/>
      </c>
      <c r="AO47" s="6">
        <f>X47*(U47-Pool!$B$12)</f>
        <v/>
      </c>
      <c r="AP47" s="6">
        <f>Z47*(V47-Pool!$B$13)</f>
        <v/>
      </c>
      <c r="AQ47" s="3">
        <f>Settings!$B$2*(N47-Pool!$B$2)/Pool!$C$2+Settings!$B$3*(O47-Pool!$B$3)/Pool!$C$3+Settings!$B$4*(P47-Pool!$B$4)/Pool!$C$4+Settings!$B$5*(Q47-Pool!$B$5)/Pool!$C$5+Settings!$B$6*(R47-Pool!$B$6)/Pool!$C$6+Settings!$B$7*(S47-Pool!$B$7)/Pool!$C$7+Settings!$B$8*(AO47-Pool!$B$8)/Pool!$C$8+Settings!$B$9*(AP47-Pool!$B$9)/Pool!$C$9+Settings!$B$10*-(T47-Pool!$B$10)/Pool!$C$10</f>
        <v/>
      </c>
      <c r="AR47">
        <f>IF(RANK(AQ47,$AQ$2:$AQ$266)&lt;=Settings!$F$5,1,0)</f>
        <v/>
      </c>
      <c r="AS47" s="6">
        <f>X47*(U47-Pool!$D$12)</f>
        <v/>
      </c>
      <c r="AT47" s="6">
        <f>Z47*(V47-Pool!$D$13)</f>
        <v/>
      </c>
    </row>
    <row r="48">
      <c r="A48">
        <f>RANK(H48,$H$2:$H$266)</f>
        <v/>
      </c>
      <c r="B48" t="inlineStr">
        <is>
          <t>Cameron Boozer</t>
        </is>
      </c>
      <c r="C48">
        <f>INDEX('Player Data'!$C:$C,AL48)</f>
        <v/>
      </c>
      <c r="D48">
        <f>SUMPRODUCT(($AN$2:$AN$266=AN48)*($H$2:$H$266&gt;H48))+1</f>
        <v/>
      </c>
      <c r="E48">
        <f>INDEX('Player Data'!$B:$B,AL48)</f>
        <v/>
      </c>
      <c r="F48" s="2" t="inlineStr">
        <is>
          <t>+</t>
        </is>
      </c>
      <c r="G48" s="3">
        <f>Settings!$B$2*AB48+Settings!$B$3*AC48+Settings!$B$4*AD48+Settings!$B$5*AE48+Settings!$B$6*AF48+Settings!$B$7*AG48+Settings!$B$8*AH48+Settings!$B$9*AI48+Settings!$B$10*AJ48</f>
        <v/>
      </c>
      <c r="H48" s="3">
        <f>G48-LARGE($G$2:$G$266,Settings!$F$4)</f>
        <v/>
      </c>
      <c r="I48">
        <f>IF(INDEX('Player Data'!$R:$R,AL48)="","",INDEX('Player Data'!$R:$R,AL48))</f>
        <v/>
      </c>
      <c r="J48" s="4">
        <f>IF(I48="","",I48-A48)</f>
        <v/>
      </c>
      <c r="L48" s="5">
        <f>IF(Settings!$F$7="Yes",INDEX('Minutes &amp; Health'!$O:$O,AL48),Settings!$F$8)</f>
        <v/>
      </c>
      <c r="M48" s="6">
        <f>INDEX('Minutes &amp; Health'!$P:$P,AL48)</f>
        <v/>
      </c>
      <c r="N48" s="5">
        <f>INDEX('Player Data'!$F:$F,AL48)/INDEX('Player Data'!$E:$E,AL48)*M48*L48*AM48</f>
        <v/>
      </c>
      <c r="O48" s="5">
        <f>INDEX('Player Data'!$G:$G,AL48)/INDEX('Player Data'!$E:$E,AL48)*M48*L48*AM48</f>
        <v/>
      </c>
      <c r="P48" s="5">
        <f>INDEX('Player Data'!$H:$H,AL48)/INDEX('Player Data'!$E:$E,AL48)*M48*L48*AM48</f>
        <v/>
      </c>
      <c r="Q48" s="5">
        <f>INDEX('Player Data'!$I:$I,AL48)/INDEX('Player Data'!$E:$E,AL48)*M48*L48*AM48</f>
        <v/>
      </c>
      <c r="R48" s="5">
        <f>INDEX('Player Data'!$J:$J,AL48)/INDEX('Player Data'!$E:$E,AL48)*M48*L48*AM48</f>
        <v/>
      </c>
      <c r="S48" s="5">
        <f>INDEX('Player Data'!$K:$K,AL48)/INDEX('Player Data'!$E:$E,AL48)*M48*L48*AM48</f>
        <v/>
      </c>
      <c r="T48" s="5">
        <f>INDEX('Player Data'!$L:$L,AL48)/INDEX('Player Data'!$E:$E,AL48)*M48*L48*AM48</f>
        <v/>
      </c>
      <c r="U48" s="7">
        <f>INDEX('Player Data'!$M:$M,AL48)</f>
        <v/>
      </c>
      <c r="V48" s="7">
        <f>INDEX('Player Data'!$N:$N,AL48)</f>
        <v/>
      </c>
      <c r="W48" s="5">
        <f>X48*U48</f>
        <v/>
      </c>
      <c r="X48" s="5">
        <f>INDEX('Player Data'!$O:$O,AL48)/INDEX('Player Data'!$E:$E,AL48)*M48*L48*AM48</f>
        <v/>
      </c>
      <c r="Y48" s="5">
        <f>Z48*V48</f>
        <v/>
      </c>
      <c r="Z48" s="5">
        <f>INDEX('Player Data'!$P:$P,AL48)/INDEX('Player Data'!$E:$E,AL48)*M48*L48*AM48</f>
        <v/>
      </c>
      <c r="AB48" s="3">
        <f>(N48-Pool!$D$2)/Pool!$E$2</f>
        <v/>
      </c>
      <c r="AC48" s="3">
        <f>(O48-Pool!$D$3)/Pool!$E$3</f>
        <v/>
      </c>
      <c r="AD48" s="3">
        <f>(P48-Pool!$D$4)/Pool!$E$4</f>
        <v/>
      </c>
      <c r="AE48" s="3">
        <f>(Q48-Pool!$D$5)/Pool!$E$5</f>
        <v/>
      </c>
      <c r="AF48" s="3">
        <f>(R48-Pool!$D$6)/Pool!$E$6</f>
        <v/>
      </c>
      <c r="AG48" s="3">
        <f>(S48-Pool!$D$7)/Pool!$E$7</f>
        <v/>
      </c>
      <c r="AH48" s="3">
        <f>(AS48-Pool!$D$8)/Pool!$E$8</f>
        <v/>
      </c>
      <c r="AI48" s="3">
        <f>(AT48-Pool!$D$9)/Pool!$E$9</f>
        <v/>
      </c>
      <c r="AJ48" s="3">
        <f>-(T48-Pool!$D$10)/Pool!$E$10</f>
        <v/>
      </c>
      <c r="AL48">
        <f>MATCH(B48,'Player Data'!$A:$A,0)</f>
        <v/>
      </c>
      <c r="AM48" s="3">
        <f>1+IF(Settings!$F$10="ON",IFERROR(VLOOKUP(TRIM(F48),Settings!$D$12:$F$17,3,FALSE),0),0)</f>
        <v/>
      </c>
      <c r="AN48">
        <f>IFERROR(LEFT(C48,FIND(",",C48)-1),C48)</f>
        <v/>
      </c>
      <c r="AO48" s="6">
        <f>X48*(U48-Pool!$B$12)</f>
        <v/>
      </c>
      <c r="AP48" s="6">
        <f>Z48*(V48-Pool!$B$13)</f>
        <v/>
      </c>
      <c r="AQ48" s="3">
        <f>Settings!$B$2*(N48-Pool!$B$2)/Pool!$C$2+Settings!$B$3*(O48-Pool!$B$3)/Pool!$C$3+Settings!$B$4*(P48-Pool!$B$4)/Pool!$C$4+Settings!$B$5*(Q48-Pool!$B$5)/Pool!$C$5+Settings!$B$6*(R48-Pool!$B$6)/Pool!$C$6+Settings!$B$7*(S48-Pool!$B$7)/Pool!$C$7+Settings!$B$8*(AO48-Pool!$B$8)/Pool!$C$8+Settings!$B$9*(AP48-Pool!$B$9)/Pool!$C$9+Settings!$B$10*-(T48-Pool!$B$10)/Pool!$C$10</f>
        <v/>
      </c>
      <c r="AR48">
        <f>IF(RANK(AQ48,$AQ$2:$AQ$266)&lt;=Settings!$F$5,1,0)</f>
        <v/>
      </c>
      <c r="AS48" s="6">
        <f>X48*(U48-Pool!$D$12)</f>
        <v/>
      </c>
      <c r="AT48" s="6">
        <f>Z48*(V48-Pool!$D$13)</f>
        <v/>
      </c>
    </row>
    <row r="49">
      <c r="A49">
        <f>RANK(H49,$H$2:$H$266)</f>
        <v/>
      </c>
      <c r="B49" t="inlineStr">
        <is>
          <t>John Collins</t>
        </is>
      </c>
      <c r="C49">
        <f>INDEX('Player Data'!$C:$C,AL49)</f>
        <v/>
      </c>
      <c r="D49">
        <f>SUMPRODUCT(($AN$2:$AN$266=AN49)*($H$2:$H$266&gt;H49))+1</f>
        <v/>
      </c>
      <c r="E49">
        <f>INDEX('Player Data'!$B:$B,AL49)</f>
        <v/>
      </c>
      <c r="F49" s="2" t="n"/>
      <c r="G49" s="3">
        <f>Settings!$B$2*AB49+Settings!$B$3*AC49+Settings!$B$4*AD49+Settings!$B$5*AE49+Settings!$B$6*AF49+Settings!$B$7*AG49+Settings!$B$8*AH49+Settings!$B$9*AI49+Settings!$B$10*AJ49</f>
        <v/>
      </c>
      <c r="H49" s="3">
        <f>G49-LARGE($G$2:$G$266,Settings!$F$4)</f>
        <v/>
      </c>
      <c r="I49">
        <f>IF(INDEX('Player Data'!$R:$R,AL49)="","",INDEX('Player Data'!$R:$R,AL49))</f>
        <v/>
      </c>
      <c r="J49" s="4">
        <f>IF(I49="","",I49-A49)</f>
        <v/>
      </c>
      <c r="L49" s="5">
        <f>IF(Settings!$F$7="Yes",INDEX('Minutes &amp; Health'!$O:$O,AL49),Settings!$F$8)</f>
        <v/>
      </c>
      <c r="M49" s="6">
        <f>INDEX('Minutes &amp; Health'!$P:$P,AL49)</f>
        <v/>
      </c>
      <c r="N49" s="5">
        <f>INDEX('Player Data'!$F:$F,AL49)/INDEX('Player Data'!$E:$E,AL49)*M49*L49*AM49</f>
        <v/>
      </c>
      <c r="O49" s="5">
        <f>INDEX('Player Data'!$G:$G,AL49)/INDEX('Player Data'!$E:$E,AL49)*M49*L49*AM49</f>
        <v/>
      </c>
      <c r="P49" s="5">
        <f>INDEX('Player Data'!$H:$H,AL49)/INDEX('Player Data'!$E:$E,AL49)*M49*L49*AM49</f>
        <v/>
      </c>
      <c r="Q49" s="5">
        <f>INDEX('Player Data'!$I:$I,AL49)/INDEX('Player Data'!$E:$E,AL49)*M49*L49*AM49</f>
        <v/>
      </c>
      <c r="R49" s="5">
        <f>INDEX('Player Data'!$J:$J,AL49)/INDEX('Player Data'!$E:$E,AL49)*M49*L49*AM49</f>
        <v/>
      </c>
      <c r="S49" s="5">
        <f>INDEX('Player Data'!$K:$K,AL49)/INDEX('Player Data'!$E:$E,AL49)*M49*L49*AM49</f>
        <v/>
      </c>
      <c r="T49" s="5">
        <f>INDEX('Player Data'!$L:$L,AL49)/INDEX('Player Data'!$E:$E,AL49)*M49*L49*AM49</f>
        <v/>
      </c>
      <c r="U49" s="7">
        <f>INDEX('Player Data'!$M:$M,AL49)</f>
        <v/>
      </c>
      <c r="V49" s="7">
        <f>INDEX('Player Data'!$N:$N,AL49)</f>
        <v/>
      </c>
      <c r="W49" s="5">
        <f>X49*U49</f>
        <v/>
      </c>
      <c r="X49" s="5">
        <f>INDEX('Player Data'!$O:$O,AL49)/INDEX('Player Data'!$E:$E,AL49)*M49*L49*AM49</f>
        <v/>
      </c>
      <c r="Y49" s="5">
        <f>Z49*V49</f>
        <v/>
      </c>
      <c r="Z49" s="5">
        <f>INDEX('Player Data'!$P:$P,AL49)/INDEX('Player Data'!$E:$E,AL49)*M49*L49*AM49</f>
        <v/>
      </c>
      <c r="AB49" s="3">
        <f>(N49-Pool!$D$2)/Pool!$E$2</f>
        <v/>
      </c>
      <c r="AC49" s="3">
        <f>(O49-Pool!$D$3)/Pool!$E$3</f>
        <v/>
      </c>
      <c r="AD49" s="3">
        <f>(P49-Pool!$D$4)/Pool!$E$4</f>
        <v/>
      </c>
      <c r="AE49" s="3">
        <f>(Q49-Pool!$D$5)/Pool!$E$5</f>
        <v/>
      </c>
      <c r="AF49" s="3">
        <f>(R49-Pool!$D$6)/Pool!$E$6</f>
        <v/>
      </c>
      <c r="AG49" s="3">
        <f>(S49-Pool!$D$7)/Pool!$E$7</f>
        <v/>
      </c>
      <c r="AH49" s="3">
        <f>(AS49-Pool!$D$8)/Pool!$E$8</f>
        <v/>
      </c>
      <c r="AI49" s="3">
        <f>(AT49-Pool!$D$9)/Pool!$E$9</f>
        <v/>
      </c>
      <c r="AJ49" s="3">
        <f>-(T49-Pool!$D$10)/Pool!$E$10</f>
        <v/>
      </c>
      <c r="AL49">
        <f>MATCH(B49,'Player Data'!$A:$A,0)</f>
        <v/>
      </c>
      <c r="AM49" s="3">
        <f>1+IF(Settings!$F$10="ON",IFERROR(VLOOKUP(TRIM(F49),Settings!$D$12:$F$17,3,FALSE),0),0)</f>
        <v/>
      </c>
      <c r="AN49">
        <f>IFERROR(LEFT(C49,FIND(",",C49)-1),C49)</f>
        <v/>
      </c>
      <c r="AO49" s="6">
        <f>X49*(U49-Pool!$B$12)</f>
        <v/>
      </c>
      <c r="AP49" s="6">
        <f>Z49*(V49-Pool!$B$13)</f>
        <v/>
      </c>
      <c r="AQ49" s="3">
        <f>Settings!$B$2*(N49-Pool!$B$2)/Pool!$C$2+Settings!$B$3*(O49-Pool!$B$3)/Pool!$C$3+Settings!$B$4*(P49-Pool!$B$4)/Pool!$C$4+Settings!$B$5*(Q49-Pool!$B$5)/Pool!$C$5+Settings!$B$6*(R49-Pool!$B$6)/Pool!$C$6+Settings!$B$7*(S49-Pool!$B$7)/Pool!$C$7+Settings!$B$8*(AO49-Pool!$B$8)/Pool!$C$8+Settings!$B$9*(AP49-Pool!$B$9)/Pool!$C$9+Settings!$B$10*-(T49-Pool!$B$10)/Pool!$C$10</f>
        <v/>
      </c>
      <c r="AR49">
        <f>IF(RANK(AQ49,$AQ$2:$AQ$266)&lt;=Settings!$F$5,1,0)</f>
        <v/>
      </c>
      <c r="AS49" s="6">
        <f>X49*(U49-Pool!$D$12)</f>
        <v/>
      </c>
      <c r="AT49" s="6">
        <f>Z49*(V49-Pool!$D$13)</f>
        <v/>
      </c>
    </row>
    <row r="50">
      <c r="A50">
        <f>RANK(H50,$H$2:$H$266)</f>
        <v/>
      </c>
      <c r="B50" t="inlineStr">
        <is>
          <t>Fred VanVleet</t>
        </is>
      </c>
      <c r="C50">
        <f>INDEX('Player Data'!$C:$C,AL50)</f>
        <v/>
      </c>
      <c r="D50">
        <f>SUMPRODUCT(($AN$2:$AN$266=AN50)*($H$2:$H$266&gt;H50))+1</f>
        <v/>
      </c>
      <c r="E50">
        <f>INDEX('Player Data'!$B:$B,AL50)</f>
        <v/>
      </c>
      <c r="F50" s="2" t="inlineStr">
        <is>
          <t>+ +</t>
        </is>
      </c>
      <c r="G50" s="3">
        <f>Settings!$B$2*AB50+Settings!$B$3*AC50+Settings!$B$4*AD50+Settings!$B$5*AE50+Settings!$B$6*AF50+Settings!$B$7*AG50+Settings!$B$8*AH50+Settings!$B$9*AI50+Settings!$B$10*AJ50</f>
        <v/>
      </c>
      <c r="H50" s="3">
        <f>G50-LARGE($G$2:$G$266,Settings!$F$4)</f>
        <v/>
      </c>
      <c r="I50">
        <f>IF(INDEX('Player Data'!$R:$R,AL50)="","",INDEX('Player Data'!$R:$R,AL50))</f>
        <v/>
      </c>
      <c r="J50" s="4">
        <f>IF(I50="","",I50-A50)</f>
        <v/>
      </c>
      <c r="L50" s="5">
        <f>IF(Settings!$F$7="Yes",INDEX('Minutes &amp; Health'!$O:$O,AL50),Settings!$F$8)</f>
        <v/>
      </c>
      <c r="M50" s="6">
        <f>INDEX('Minutes &amp; Health'!$P:$P,AL50)</f>
        <v/>
      </c>
      <c r="N50" s="5">
        <f>INDEX('Player Data'!$F:$F,AL50)/INDEX('Player Data'!$E:$E,AL50)*M50*L50*AM50</f>
        <v/>
      </c>
      <c r="O50" s="5">
        <f>INDEX('Player Data'!$G:$G,AL50)/INDEX('Player Data'!$E:$E,AL50)*M50*L50*AM50</f>
        <v/>
      </c>
      <c r="P50" s="5">
        <f>INDEX('Player Data'!$H:$H,AL50)/INDEX('Player Data'!$E:$E,AL50)*M50*L50*AM50</f>
        <v/>
      </c>
      <c r="Q50" s="5">
        <f>INDEX('Player Data'!$I:$I,AL50)/INDEX('Player Data'!$E:$E,AL50)*M50*L50*AM50</f>
        <v/>
      </c>
      <c r="R50" s="5">
        <f>INDEX('Player Data'!$J:$J,AL50)/INDEX('Player Data'!$E:$E,AL50)*M50*L50*AM50</f>
        <v/>
      </c>
      <c r="S50" s="5">
        <f>INDEX('Player Data'!$K:$K,AL50)/INDEX('Player Data'!$E:$E,AL50)*M50*L50*AM50</f>
        <v/>
      </c>
      <c r="T50" s="5">
        <f>INDEX('Player Data'!$L:$L,AL50)/INDEX('Player Data'!$E:$E,AL50)*M50*L50*AM50</f>
        <v/>
      </c>
      <c r="U50" s="7">
        <f>INDEX('Player Data'!$M:$M,AL50)</f>
        <v/>
      </c>
      <c r="V50" s="7">
        <f>INDEX('Player Data'!$N:$N,AL50)</f>
        <v/>
      </c>
      <c r="W50" s="5">
        <f>X50*U50</f>
        <v/>
      </c>
      <c r="X50" s="5">
        <f>INDEX('Player Data'!$O:$O,AL50)/INDEX('Player Data'!$E:$E,AL50)*M50*L50*AM50</f>
        <v/>
      </c>
      <c r="Y50" s="5">
        <f>Z50*V50</f>
        <v/>
      </c>
      <c r="Z50" s="5">
        <f>INDEX('Player Data'!$P:$P,AL50)/INDEX('Player Data'!$E:$E,AL50)*M50*L50*AM50</f>
        <v/>
      </c>
      <c r="AB50" s="3">
        <f>(N50-Pool!$D$2)/Pool!$E$2</f>
        <v/>
      </c>
      <c r="AC50" s="3">
        <f>(O50-Pool!$D$3)/Pool!$E$3</f>
        <v/>
      </c>
      <c r="AD50" s="3">
        <f>(P50-Pool!$D$4)/Pool!$E$4</f>
        <v/>
      </c>
      <c r="AE50" s="3">
        <f>(Q50-Pool!$D$5)/Pool!$E$5</f>
        <v/>
      </c>
      <c r="AF50" s="3">
        <f>(R50-Pool!$D$6)/Pool!$E$6</f>
        <v/>
      </c>
      <c r="AG50" s="3">
        <f>(S50-Pool!$D$7)/Pool!$E$7</f>
        <v/>
      </c>
      <c r="AH50" s="3">
        <f>(AS50-Pool!$D$8)/Pool!$E$8</f>
        <v/>
      </c>
      <c r="AI50" s="3">
        <f>(AT50-Pool!$D$9)/Pool!$E$9</f>
        <v/>
      </c>
      <c r="AJ50" s="3">
        <f>-(T50-Pool!$D$10)/Pool!$E$10</f>
        <v/>
      </c>
      <c r="AL50">
        <f>MATCH(B50,'Player Data'!$A:$A,0)</f>
        <v/>
      </c>
      <c r="AM50" s="3">
        <f>1+IF(Settings!$F$10="ON",IFERROR(VLOOKUP(TRIM(F50),Settings!$D$12:$F$17,3,FALSE),0),0)</f>
        <v/>
      </c>
      <c r="AN50">
        <f>IFERROR(LEFT(C50,FIND(",",C50)-1),C50)</f>
        <v/>
      </c>
      <c r="AO50" s="6">
        <f>X50*(U50-Pool!$B$12)</f>
        <v/>
      </c>
      <c r="AP50" s="6">
        <f>Z50*(V50-Pool!$B$13)</f>
        <v/>
      </c>
      <c r="AQ50" s="3">
        <f>Settings!$B$2*(N50-Pool!$B$2)/Pool!$C$2+Settings!$B$3*(O50-Pool!$B$3)/Pool!$C$3+Settings!$B$4*(P50-Pool!$B$4)/Pool!$C$4+Settings!$B$5*(Q50-Pool!$B$5)/Pool!$C$5+Settings!$B$6*(R50-Pool!$B$6)/Pool!$C$6+Settings!$B$7*(S50-Pool!$B$7)/Pool!$C$7+Settings!$B$8*(AO50-Pool!$B$8)/Pool!$C$8+Settings!$B$9*(AP50-Pool!$B$9)/Pool!$C$9+Settings!$B$10*-(T50-Pool!$B$10)/Pool!$C$10</f>
        <v/>
      </c>
      <c r="AR50">
        <f>IF(RANK(AQ50,$AQ$2:$AQ$266)&lt;=Settings!$F$5,1,0)</f>
        <v/>
      </c>
      <c r="AS50" s="6">
        <f>X50*(U50-Pool!$D$12)</f>
        <v/>
      </c>
      <c r="AT50" s="6">
        <f>Z50*(V50-Pool!$D$13)</f>
        <v/>
      </c>
    </row>
    <row r="51">
      <c r="A51">
        <f>RANK(H51,$H$2:$H$266)</f>
        <v/>
      </c>
      <c r="B51" t="inlineStr">
        <is>
          <t>Ivica Zubac</t>
        </is>
      </c>
      <c r="C51">
        <f>INDEX('Player Data'!$C:$C,AL51)</f>
        <v/>
      </c>
      <c r="D51">
        <f>SUMPRODUCT(($AN$2:$AN$266=AN51)*($H$2:$H$266&gt;H51))+1</f>
        <v/>
      </c>
      <c r="E51">
        <f>INDEX('Player Data'!$B:$B,AL51)</f>
        <v/>
      </c>
      <c r="F51" s="2" t="n"/>
      <c r="G51" s="3">
        <f>Settings!$B$2*AB51+Settings!$B$3*AC51+Settings!$B$4*AD51+Settings!$B$5*AE51+Settings!$B$6*AF51+Settings!$B$7*AG51+Settings!$B$8*AH51+Settings!$B$9*AI51+Settings!$B$10*AJ51</f>
        <v/>
      </c>
      <c r="H51" s="3">
        <f>G51-LARGE($G$2:$G$266,Settings!$F$4)</f>
        <v/>
      </c>
      <c r="I51">
        <f>IF(INDEX('Player Data'!$R:$R,AL51)="","",INDEX('Player Data'!$R:$R,AL51))</f>
        <v/>
      </c>
      <c r="J51" s="4">
        <f>IF(I51="","",I51-A51)</f>
        <v/>
      </c>
      <c r="L51" s="5">
        <f>IF(Settings!$F$7="Yes",INDEX('Minutes &amp; Health'!$O:$O,AL51),Settings!$F$8)</f>
        <v/>
      </c>
      <c r="M51" s="6">
        <f>INDEX('Minutes &amp; Health'!$P:$P,AL51)</f>
        <v/>
      </c>
      <c r="N51" s="5">
        <f>INDEX('Player Data'!$F:$F,AL51)/INDEX('Player Data'!$E:$E,AL51)*M51*L51*AM51</f>
        <v/>
      </c>
      <c r="O51" s="5">
        <f>INDEX('Player Data'!$G:$G,AL51)/INDEX('Player Data'!$E:$E,AL51)*M51*L51*AM51</f>
        <v/>
      </c>
      <c r="P51" s="5">
        <f>INDEX('Player Data'!$H:$H,AL51)/INDEX('Player Data'!$E:$E,AL51)*M51*L51*AM51</f>
        <v/>
      </c>
      <c r="Q51" s="5">
        <f>INDEX('Player Data'!$I:$I,AL51)/INDEX('Player Data'!$E:$E,AL51)*M51*L51*AM51</f>
        <v/>
      </c>
      <c r="R51" s="5">
        <f>INDEX('Player Data'!$J:$J,AL51)/INDEX('Player Data'!$E:$E,AL51)*M51*L51*AM51</f>
        <v/>
      </c>
      <c r="S51" s="5">
        <f>INDEX('Player Data'!$K:$K,AL51)/INDEX('Player Data'!$E:$E,AL51)*M51*L51*AM51</f>
        <v/>
      </c>
      <c r="T51" s="5">
        <f>INDEX('Player Data'!$L:$L,AL51)/INDEX('Player Data'!$E:$E,AL51)*M51*L51*AM51</f>
        <v/>
      </c>
      <c r="U51" s="7">
        <f>INDEX('Player Data'!$M:$M,AL51)</f>
        <v/>
      </c>
      <c r="V51" s="7">
        <f>INDEX('Player Data'!$N:$N,AL51)</f>
        <v/>
      </c>
      <c r="W51" s="5">
        <f>X51*U51</f>
        <v/>
      </c>
      <c r="X51" s="5">
        <f>INDEX('Player Data'!$O:$O,AL51)/INDEX('Player Data'!$E:$E,AL51)*M51*L51*AM51</f>
        <v/>
      </c>
      <c r="Y51" s="5">
        <f>Z51*V51</f>
        <v/>
      </c>
      <c r="Z51" s="5">
        <f>INDEX('Player Data'!$P:$P,AL51)/INDEX('Player Data'!$E:$E,AL51)*M51*L51*AM51</f>
        <v/>
      </c>
      <c r="AB51" s="3">
        <f>(N51-Pool!$D$2)/Pool!$E$2</f>
        <v/>
      </c>
      <c r="AC51" s="3">
        <f>(O51-Pool!$D$3)/Pool!$E$3</f>
        <v/>
      </c>
      <c r="AD51" s="3">
        <f>(P51-Pool!$D$4)/Pool!$E$4</f>
        <v/>
      </c>
      <c r="AE51" s="3">
        <f>(Q51-Pool!$D$5)/Pool!$E$5</f>
        <v/>
      </c>
      <c r="AF51" s="3">
        <f>(R51-Pool!$D$6)/Pool!$E$6</f>
        <v/>
      </c>
      <c r="AG51" s="3">
        <f>(S51-Pool!$D$7)/Pool!$E$7</f>
        <v/>
      </c>
      <c r="AH51" s="3">
        <f>(AS51-Pool!$D$8)/Pool!$E$8</f>
        <v/>
      </c>
      <c r="AI51" s="3">
        <f>(AT51-Pool!$D$9)/Pool!$E$9</f>
        <v/>
      </c>
      <c r="AJ51" s="3">
        <f>-(T51-Pool!$D$10)/Pool!$E$10</f>
        <v/>
      </c>
      <c r="AL51">
        <f>MATCH(B51,'Player Data'!$A:$A,0)</f>
        <v/>
      </c>
      <c r="AM51" s="3">
        <f>1+IF(Settings!$F$10="ON",IFERROR(VLOOKUP(TRIM(F51),Settings!$D$12:$F$17,3,FALSE),0),0)</f>
        <v/>
      </c>
      <c r="AN51">
        <f>IFERROR(LEFT(C51,FIND(",",C51)-1),C51)</f>
        <v/>
      </c>
      <c r="AO51" s="6">
        <f>X51*(U51-Pool!$B$12)</f>
        <v/>
      </c>
      <c r="AP51" s="6">
        <f>Z51*(V51-Pool!$B$13)</f>
        <v/>
      </c>
      <c r="AQ51" s="3">
        <f>Settings!$B$2*(N51-Pool!$B$2)/Pool!$C$2+Settings!$B$3*(O51-Pool!$B$3)/Pool!$C$3+Settings!$B$4*(P51-Pool!$B$4)/Pool!$C$4+Settings!$B$5*(Q51-Pool!$B$5)/Pool!$C$5+Settings!$B$6*(R51-Pool!$B$6)/Pool!$C$6+Settings!$B$7*(S51-Pool!$B$7)/Pool!$C$7+Settings!$B$8*(AO51-Pool!$B$8)/Pool!$C$8+Settings!$B$9*(AP51-Pool!$B$9)/Pool!$C$9+Settings!$B$10*-(T51-Pool!$B$10)/Pool!$C$10</f>
        <v/>
      </c>
      <c r="AR51">
        <f>IF(RANK(AQ51,$AQ$2:$AQ$266)&lt;=Settings!$F$5,1,0)</f>
        <v/>
      </c>
      <c r="AS51" s="6">
        <f>X51*(U51-Pool!$D$12)</f>
        <v/>
      </c>
      <c r="AT51" s="6">
        <f>Z51*(V51-Pool!$D$13)</f>
        <v/>
      </c>
    </row>
    <row r="52">
      <c r="A52">
        <f>RANK(H52,$H$2:$H$266)</f>
        <v/>
      </c>
      <c r="B52" t="inlineStr">
        <is>
          <t>Jaden McDaniels</t>
        </is>
      </c>
      <c r="C52">
        <f>INDEX('Player Data'!$C:$C,AL52)</f>
        <v/>
      </c>
      <c r="D52">
        <f>SUMPRODUCT(($AN$2:$AN$266=AN52)*($H$2:$H$266&gt;H52))+1</f>
        <v/>
      </c>
      <c r="E52">
        <f>INDEX('Player Data'!$B:$B,AL52)</f>
        <v/>
      </c>
      <c r="F52" s="2" t="n"/>
      <c r="G52" s="3">
        <f>Settings!$B$2*AB52+Settings!$B$3*AC52+Settings!$B$4*AD52+Settings!$B$5*AE52+Settings!$B$6*AF52+Settings!$B$7*AG52+Settings!$B$8*AH52+Settings!$B$9*AI52+Settings!$B$10*AJ52</f>
        <v/>
      </c>
      <c r="H52" s="3">
        <f>G52-LARGE($G$2:$G$266,Settings!$F$4)</f>
        <v/>
      </c>
      <c r="I52">
        <f>IF(INDEX('Player Data'!$R:$R,AL52)="","",INDEX('Player Data'!$R:$R,AL52))</f>
        <v/>
      </c>
      <c r="J52" s="4">
        <f>IF(I52="","",I52-A52)</f>
        <v/>
      </c>
      <c r="L52" s="5">
        <f>IF(Settings!$F$7="Yes",INDEX('Minutes &amp; Health'!$O:$O,AL52),Settings!$F$8)</f>
        <v/>
      </c>
      <c r="M52" s="6">
        <f>INDEX('Minutes &amp; Health'!$P:$P,AL52)</f>
        <v/>
      </c>
      <c r="N52" s="5">
        <f>INDEX('Player Data'!$F:$F,AL52)/INDEX('Player Data'!$E:$E,AL52)*M52*L52*AM52</f>
        <v/>
      </c>
      <c r="O52" s="5">
        <f>INDEX('Player Data'!$G:$G,AL52)/INDEX('Player Data'!$E:$E,AL52)*M52*L52*AM52</f>
        <v/>
      </c>
      <c r="P52" s="5">
        <f>INDEX('Player Data'!$H:$H,AL52)/INDEX('Player Data'!$E:$E,AL52)*M52*L52*AM52</f>
        <v/>
      </c>
      <c r="Q52" s="5">
        <f>INDEX('Player Data'!$I:$I,AL52)/INDEX('Player Data'!$E:$E,AL52)*M52*L52*AM52</f>
        <v/>
      </c>
      <c r="R52" s="5">
        <f>INDEX('Player Data'!$J:$J,AL52)/INDEX('Player Data'!$E:$E,AL52)*M52*L52*AM52</f>
        <v/>
      </c>
      <c r="S52" s="5">
        <f>INDEX('Player Data'!$K:$K,AL52)/INDEX('Player Data'!$E:$E,AL52)*M52*L52*AM52</f>
        <v/>
      </c>
      <c r="T52" s="5">
        <f>INDEX('Player Data'!$L:$L,AL52)/INDEX('Player Data'!$E:$E,AL52)*M52*L52*AM52</f>
        <v/>
      </c>
      <c r="U52" s="7">
        <f>INDEX('Player Data'!$M:$M,AL52)</f>
        <v/>
      </c>
      <c r="V52" s="7">
        <f>INDEX('Player Data'!$N:$N,AL52)</f>
        <v/>
      </c>
      <c r="W52" s="5">
        <f>X52*U52</f>
        <v/>
      </c>
      <c r="X52" s="5">
        <f>INDEX('Player Data'!$O:$O,AL52)/INDEX('Player Data'!$E:$E,AL52)*M52*L52*AM52</f>
        <v/>
      </c>
      <c r="Y52" s="5">
        <f>Z52*V52</f>
        <v/>
      </c>
      <c r="Z52" s="5">
        <f>INDEX('Player Data'!$P:$P,AL52)/INDEX('Player Data'!$E:$E,AL52)*M52*L52*AM52</f>
        <v/>
      </c>
      <c r="AB52" s="3">
        <f>(N52-Pool!$D$2)/Pool!$E$2</f>
        <v/>
      </c>
      <c r="AC52" s="3">
        <f>(O52-Pool!$D$3)/Pool!$E$3</f>
        <v/>
      </c>
      <c r="AD52" s="3">
        <f>(P52-Pool!$D$4)/Pool!$E$4</f>
        <v/>
      </c>
      <c r="AE52" s="3">
        <f>(Q52-Pool!$D$5)/Pool!$E$5</f>
        <v/>
      </c>
      <c r="AF52" s="3">
        <f>(R52-Pool!$D$6)/Pool!$E$6</f>
        <v/>
      </c>
      <c r="AG52" s="3">
        <f>(S52-Pool!$D$7)/Pool!$E$7</f>
        <v/>
      </c>
      <c r="AH52" s="3">
        <f>(AS52-Pool!$D$8)/Pool!$E$8</f>
        <v/>
      </c>
      <c r="AI52" s="3">
        <f>(AT52-Pool!$D$9)/Pool!$E$9</f>
        <v/>
      </c>
      <c r="AJ52" s="3">
        <f>-(T52-Pool!$D$10)/Pool!$E$10</f>
        <v/>
      </c>
      <c r="AL52">
        <f>MATCH(B52,'Player Data'!$A:$A,0)</f>
        <v/>
      </c>
      <c r="AM52" s="3">
        <f>1+IF(Settings!$F$10="ON",IFERROR(VLOOKUP(TRIM(F52),Settings!$D$12:$F$17,3,FALSE),0),0)</f>
        <v/>
      </c>
      <c r="AN52">
        <f>IFERROR(LEFT(C52,FIND(",",C52)-1),C52)</f>
        <v/>
      </c>
      <c r="AO52" s="6">
        <f>X52*(U52-Pool!$B$12)</f>
        <v/>
      </c>
      <c r="AP52" s="6">
        <f>Z52*(V52-Pool!$B$13)</f>
        <v/>
      </c>
      <c r="AQ52" s="3">
        <f>Settings!$B$2*(N52-Pool!$B$2)/Pool!$C$2+Settings!$B$3*(O52-Pool!$B$3)/Pool!$C$3+Settings!$B$4*(P52-Pool!$B$4)/Pool!$C$4+Settings!$B$5*(Q52-Pool!$B$5)/Pool!$C$5+Settings!$B$6*(R52-Pool!$B$6)/Pool!$C$6+Settings!$B$7*(S52-Pool!$B$7)/Pool!$C$7+Settings!$B$8*(AO52-Pool!$B$8)/Pool!$C$8+Settings!$B$9*(AP52-Pool!$B$9)/Pool!$C$9+Settings!$B$10*-(T52-Pool!$B$10)/Pool!$C$10</f>
        <v/>
      </c>
      <c r="AR52">
        <f>IF(RANK(AQ52,$AQ$2:$AQ$266)&lt;=Settings!$F$5,1,0)</f>
        <v/>
      </c>
      <c r="AS52" s="6">
        <f>X52*(U52-Pool!$D$12)</f>
        <v/>
      </c>
      <c r="AT52" s="6">
        <f>Z52*(V52-Pool!$D$13)</f>
        <v/>
      </c>
    </row>
    <row r="53">
      <c r="A53">
        <f>RANK(H53,$H$2:$H$266)</f>
        <v/>
      </c>
      <c r="B53" t="inlineStr">
        <is>
          <t>Brandon Miller</t>
        </is>
      </c>
      <c r="C53">
        <f>INDEX('Player Data'!$C:$C,AL53)</f>
        <v/>
      </c>
      <c r="D53">
        <f>SUMPRODUCT(($AN$2:$AN$266=AN53)*($H$2:$H$266&gt;H53))+1</f>
        <v/>
      </c>
      <c r="E53">
        <f>INDEX('Player Data'!$B:$B,AL53)</f>
        <v/>
      </c>
      <c r="F53" s="2" t="n"/>
      <c r="G53" s="3">
        <f>Settings!$B$2*AB53+Settings!$B$3*AC53+Settings!$B$4*AD53+Settings!$B$5*AE53+Settings!$B$6*AF53+Settings!$B$7*AG53+Settings!$B$8*AH53+Settings!$B$9*AI53+Settings!$B$10*AJ53</f>
        <v/>
      </c>
      <c r="H53" s="3">
        <f>G53-LARGE($G$2:$G$266,Settings!$F$4)</f>
        <v/>
      </c>
      <c r="I53">
        <f>IF(INDEX('Player Data'!$R:$R,AL53)="","",INDEX('Player Data'!$R:$R,AL53))</f>
        <v/>
      </c>
      <c r="J53" s="4">
        <f>IF(I53="","",I53-A53)</f>
        <v/>
      </c>
      <c r="L53" s="5">
        <f>IF(Settings!$F$7="Yes",INDEX('Minutes &amp; Health'!$O:$O,AL53),Settings!$F$8)</f>
        <v/>
      </c>
      <c r="M53" s="6">
        <f>INDEX('Minutes &amp; Health'!$P:$P,AL53)</f>
        <v/>
      </c>
      <c r="N53" s="5">
        <f>INDEX('Player Data'!$F:$F,AL53)/INDEX('Player Data'!$E:$E,AL53)*M53*L53*AM53</f>
        <v/>
      </c>
      <c r="O53" s="5">
        <f>INDEX('Player Data'!$G:$G,AL53)/INDEX('Player Data'!$E:$E,AL53)*M53*L53*AM53</f>
        <v/>
      </c>
      <c r="P53" s="5">
        <f>INDEX('Player Data'!$H:$H,AL53)/INDEX('Player Data'!$E:$E,AL53)*M53*L53*AM53</f>
        <v/>
      </c>
      <c r="Q53" s="5">
        <f>INDEX('Player Data'!$I:$I,AL53)/INDEX('Player Data'!$E:$E,AL53)*M53*L53*AM53</f>
        <v/>
      </c>
      <c r="R53" s="5">
        <f>INDEX('Player Data'!$J:$J,AL53)/INDEX('Player Data'!$E:$E,AL53)*M53*L53*AM53</f>
        <v/>
      </c>
      <c r="S53" s="5">
        <f>INDEX('Player Data'!$K:$K,AL53)/INDEX('Player Data'!$E:$E,AL53)*M53*L53*AM53</f>
        <v/>
      </c>
      <c r="T53" s="5">
        <f>INDEX('Player Data'!$L:$L,AL53)/INDEX('Player Data'!$E:$E,AL53)*M53*L53*AM53</f>
        <v/>
      </c>
      <c r="U53" s="7">
        <f>INDEX('Player Data'!$M:$M,AL53)</f>
        <v/>
      </c>
      <c r="V53" s="7">
        <f>INDEX('Player Data'!$N:$N,AL53)</f>
        <v/>
      </c>
      <c r="W53" s="5">
        <f>X53*U53</f>
        <v/>
      </c>
      <c r="X53" s="5">
        <f>INDEX('Player Data'!$O:$O,AL53)/INDEX('Player Data'!$E:$E,AL53)*M53*L53*AM53</f>
        <v/>
      </c>
      <c r="Y53" s="5">
        <f>Z53*V53</f>
        <v/>
      </c>
      <c r="Z53" s="5">
        <f>INDEX('Player Data'!$P:$P,AL53)/INDEX('Player Data'!$E:$E,AL53)*M53*L53*AM53</f>
        <v/>
      </c>
      <c r="AB53" s="3">
        <f>(N53-Pool!$D$2)/Pool!$E$2</f>
        <v/>
      </c>
      <c r="AC53" s="3">
        <f>(O53-Pool!$D$3)/Pool!$E$3</f>
        <v/>
      </c>
      <c r="AD53" s="3">
        <f>(P53-Pool!$D$4)/Pool!$E$4</f>
        <v/>
      </c>
      <c r="AE53" s="3">
        <f>(Q53-Pool!$D$5)/Pool!$E$5</f>
        <v/>
      </c>
      <c r="AF53" s="3">
        <f>(R53-Pool!$D$6)/Pool!$E$6</f>
        <v/>
      </c>
      <c r="AG53" s="3">
        <f>(S53-Pool!$D$7)/Pool!$E$7</f>
        <v/>
      </c>
      <c r="AH53" s="3">
        <f>(AS53-Pool!$D$8)/Pool!$E$8</f>
        <v/>
      </c>
      <c r="AI53" s="3">
        <f>(AT53-Pool!$D$9)/Pool!$E$9</f>
        <v/>
      </c>
      <c r="AJ53" s="3">
        <f>-(T53-Pool!$D$10)/Pool!$E$10</f>
        <v/>
      </c>
      <c r="AL53">
        <f>MATCH(B53,'Player Data'!$A:$A,0)</f>
        <v/>
      </c>
      <c r="AM53" s="3">
        <f>1+IF(Settings!$F$10="ON",IFERROR(VLOOKUP(TRIM(F53),Settings!$D$12:$F$17,3,FALSE),0),0)</f>
        <v/>
      </c>
      <c r="AN53">
        <f>IFERROR(LEFT(C53,FIND(",",C53)-1),C53)</f>
        <v/>
      </c>
      <c r="AO53" s="6">
        <f>X53*(U53-Pool!$B$12)</f>
        <v/>
      </c>
      <c r="AP53" s="6">
        <f>Z53*(V53-Pool!$B$13)</f>
        <v/>
      </c>
      <c r="AQ53" s="3">
        <f>Settings!$B$2*(N53-Pool!$B$2)/Pool!$C$2+Settings!$B$3*(O53-Pool!$B$3)/Pool!$C$3+Settings!$B$4*(P53-Pool!$B$4)/Pool!$C$4+Settings!$B$5*(Q53-Pool!$B$5)/Pool!$C$5+Settings!$B$6*(R53-Pool!$B$6)/Pool!$C$6+Settings!$B$7*(S53-Pool!$B$7)/Pool!$C$7+Settings!$B$8*(AO53-Pool!$B$8)/Pool!$C$8+Settings!$B$9*(AP53-Pool!$B$9)/Pool!$C$9+Settings!$B$10*-(T53-Pool!$B$10)/Pool!$C$10</f>
        <v/>
      </c>
      <c r="AR53">
        <f>IF(RANK(AQ53,$AQ$2:$AQ$266)&lt;=Settings!$F$5,1,0)</f>
        <v/>
      </c>
      <c r="AS53" s="6">
        <f>X53*(U53-Pool!$D$12)</f>
        <v/>
      </c>
      <c r="AT53" s="6">
        <f>Z53*(V53-Pool!$D$13)</f>
        <v/>
      </c>
    </row>
    <row r="54">
      <c r="A54">
        <f>RANK(H54,$H$2:$H$266)</f>
        <v/>
      </c>
      <c r="B54" t="inlineStr">
        <is>
          <t>Tyler Herro</t>
        </is>
      </c>
      <c r="C54">
        <f>INDEX('Player Data'!$C:$C,AL54)</f>
        <v/>
      </c>
      <c r="D54">
        <f>SUMPRODUCT(($AN$2:$AN$266=AN54)*($H$2:$H$266&gt;H54))+1</f>
        <v/>
      </c>
      <c r="E54">
        <f>INDEX('Player Data'!$B:$B,AL54)</f>
        <v/>
      </c>
      <c r="F54" s="2" t="n"/>
      <c r="G54" s="3">
        <f>Settings!$B$2*AB54+Settings!$B$3*AC54+Settings!$B$4*AD54+Settings!$B$5*AE54+Settings!$B$6*AF54+Settings!$B$7*AG54+Settings!$B$8*AH54+Settings!$B$9*AI54+Settings!$B$10*AJ54</f>
        <v/>
      </c>
      <c r="H54" s="3">
        <f>G54-LARGE($G$2:$G$266,Settings!$F$4)</f>
        <v/>
      </c>
      <c r="I54">
        <f>IF(INDEX('Player Data'!$R:$R,AL54)="","",INDEX('Player Data'!$R:$R,AL54))</f>
        <v/>
      </c>
      <c r="J54" s="4">
        <f>IF(I54="","",I54-A54)</f>
        <v/>
      </c>
      <c r="L54" s="5">
        <f>IF(Settings!$F$7="Yes",INDEX('Minutes &amp; Health'!$O:$O,AL54),Settings!$F$8)</f>
        <v/>
      </c>
      <c r="M54" s="6">
        <f>INDEX('Minutes &amp; Health'!$P:$P,AL54)</f>
        <v/>
      </c>
      <c r="N54" s="5">
        <f>INDEX('Player Data'!$F:$F,AL54)/INDEX('Player Data'!$E:$E,AL54)*M54*L54*AM54</f>
        <v/>
      </c>
      <c r="O54" s="5">
        <f>INDEX('Player Data'!$G:$G,AL54)/INDEX('Player Data'!$E:$E,AL54)*M54*L54*AM54</f>
        <v/>
      </c>
      <c r="P54" s="5">
        <f>INDEX('Player Data'!$H:$H,AL54)/INDEX('Player Data'!$E:$E,AL54)*M54*L54*AM54</f>
        <v/>
      </c>
      <c r="Q54" s="5">
        <f>INDEX('Player Data'!$I:$I,AL54)/INDEX('Player Data'!$E:$E,AL54)*M54*L54*AM54</f>
        <v/>
      </c>
      <c r="R54" s="5">
        <f>INDEX('Player Data'!$J:$J,AL54)/INDEX('Player Data'!$E:$E,AL54)*M54*L54*AM54</f>
        <v/>
      </c>
      <c r="S54" s="5">
        <f>INDEX('Player Data'!$K:$K,AL54)/INDEX('Player Data'!$E:$E,AL54)*M54*L54*AM54</f>
        <v/>
      </c>
      <c r="T54" s="5">
        <f>INDEX('Player Data'!$L:$L,AL54)/INDEX('Player Data'!$E:$E,AL54)*M54*L54*AM54</f>
        <v/>
      </c>
      <c r="U54" s="7">
        <f>INDEX('Player Data'!$M:$M,AL54)</f>
        <v/>
      </c>
      <c r="V54" s="7">
        <f>INDEX('Player Data'!$N:$N,AL54)</f>
        <v/>
      </c>
      <c r="W54" s="5">
        <f>X54*U54</f>
        <v/>
      </c>
      <c r="X54" s="5">
        <f>INDEX('Player Data'!$O:$O,AL54)/INDEX('Player Data'!$E:$E,AL54)*M54*L54*AM54</f>
        <v/>
      </c>
      <c r="Y54" s="5">
        <f>Z54*V54</f>
        <v/>
      </c>
      <c r="Z54" s="5">
        <f>INDEX('Player Data'!$P:$P,AL54)/INDEX('Player Data'!$E:$E,AL54)*M54*L54*AM54</f>
        <v/>
      </c>
      <c r="AB54" s="3">
        <f>(N54-Pool!$D$2)/Pool!$E$2</f>
        <v/>
      </c>
      <c r="AC54" s="3">
        <f>(O54-Pool!$D$3)/Pool!$E$3</f>
        <v/>
      </c>
      <c r="AD54" s="3">
        <f>(P54-Pool!$D$4)/Pool!$E$4</f>
        <v/>
      </c>
      <c r="AE54" s="3">
        <f>(Q54-Pool!$D$5)/Pool!$E$5</f>
        <v/>
      </c>
      <c r="AF54" s="3">
        <f>(R54-Pool!$D$6)/Pool!$E$6</f>
        <v/>
      </c>
      <c r="AG54" s="3">
        <f>(S54-Pool!$D$7)/Pool!$E$7</f>
        <v/>
      </c>
      <c r="AH54" s="3">
        <f>(AS54-Pool!$D$8)/Pool!$E$8</f>
        <v/>
      </c>
      <c r="AI54" s="3">
        <f>(AT54-Pool!$D$9)/Pool!$E$9</f>
        <v/>
      </c>
      <c r="AJ54" s="3">
        <f>-(T54-Pool!$D$10)/Pool!$E$10</f>
        <v/>
      </c>
      <c r="AL54">
        <f>MATCH(B54,'Player Data'!$A:$A,0)</f>
        <v/>
      </c>
      <c r="AM54" s="3">
        <f>1+IF(Settings!$F$10="ON",IFERROR(VLOOKUP(TRIM(F54),Settings!$D$12:$F$17,3,FALSE),0),0)</f>
        <v/>
      </c>
      <c r="AN54">
        <f>IFERROR(LEFT(C54,FIND(",",C54)-1),C54)</f>
        <v/>
      </c>
      <c r="AO54" s="6">
        <f>X54*(U54-Pool!$B$12)</f>
        <v/>
      </c>
      <c r="AP54" s="6">
        <f>Z54*(V54-Pool!$B$13)</f>
        <v/>
      </c>
      <c r="AQ54" s="3">
        <f>Settings!$B$2*(N54-Pool!$B$2)/Pool!$C$2+Settings!$B$3*(O54-Pool!$B$3)/Pool!$C$3+Settings!$B$4*(P54-Pool!$B$4)/Pool!$C$4+Settings!$B$5*(Q54-Pool!$B$5)/Pool!$C$5+Settings!$B$6*(R54-Pool!$B$6)/Pool!$C$6+Settings!$B$7*(S54-Pool!$B$7)/Pool!$C$7+Settings!$B$8*(AO54-Pool!$B$8)/Pool!$C$8+Settings!$B$9*(AP54-Pool!$B$9)/Pool!$C$9+Settings!$B$10*-(T54-Pool!$B$10)/Pool!$C$10</f>
        <v/>
      </c>
      <c r="AR54">
        <f>IF(RANK(AQ54,$AQ$2:$AQ$266)&lt;=Settings!$F$5,1,0)</f>
        <v/>
      </c>
      <c r="AS54" s="6">
        <f>X54*(U54-Pool!$D$12)</f>
        <v/>
      </c>
      <c r="AT54" s="6">
        <f>Z54*(V54-Pool!$D$13)</f>
        <v/>
      </c>
    </row>
    <row r="55">
      <c r="A55">
        <f>RANK(H55,$H$2:$H$266)</f>
        <v/>
      </c>
      <c r="B55" t="inlineStr">
        <is>
          <t>Kel'el Ware</t>
        </is>
      </c>
      <c r="C55">
        <f>INDEX('Player Data'!$C:$C,AL55)</f>
        <v/>
      </c>
      <c r="D55">
        <f>SUMPRODUCT(($AN$2:$AN$266=AN55)*($H$2:$H$266&gt;H55))+1</f>
        <v/>
      </c>
      <c r="E55">
        <f>INDEX('Player Data'!$B:$B,AL55)</f>
        <v/>
      </c>
      <c r="F55" s="2" t="inlineStr">
        <is>
          <t>+ +</t>
        </is>
      </c>
      <c r="G55" s="3">
        <f>Settings!$B$2*AB55+Settings!$B$3*AC55+Settings!$B$4*AD55+Settings!$B$5*AE55+Settings!$B$6*AF55+Settings!$B$7*AG55+Settings!$B$8*AH55+Settings!$B$9*AI55+Settings!$B$10*AJ55</f>
        <v/>
      </c>
      <c r="H55" s="3">
        <f>G55-LARGE($G$2:$G$266,Settings!$F$4)</f>
        <v/>
      </c>
      <c r="I55">
        <f>IF(INDEX('Player Data'!$R:$R,AL55)="","",INDEX('Player Data'!$R:$R,AL55))</f>
        <v/>
      </c>
      <c r="J55" s="4">
        <f>IF(I55="","",I55-A55)</f>
        <v/>
      </c>
      <c r="L55" s="5">
        <f>IF(Settings!$F$7="Yes",INDEX('Minutes &amp; Health'!$O:$O,AL55),Settings!$F$8)</f>
        <v/>
      </c>
      <c r="M55" s="6">
        <f>INDEX('Minutes &amp; Health'!$P:$P,AL55)</f>
        <v/>
      </c>
      <c r="N55" s="5">
        <f>INDEX('Player Data'!$F:$F,AL55)/INDEX('Player Data'!$E:$E,AL55)*M55*L55*AM55</f>
        <v/>
      </c>
      <c r="O55" s="5">
        <f>INDEX('Player Data'!$G:$G,AL55)/INDEX('Player Data'!$E:$E,AL55)*M55*L55*AM55</f>
        <v/>
      </c>
      <c r="P55" s="5">
        <f>INDEX('Player Data'!$H:$H,AL55)/INDEX('Player Data'!$E:$E,AL55)*M55*L55*AM55</f>
        <v/>
      </c>
      <c r="Q55" s="5">
        <f>INDEX('Player Data'!$I:$I,AL55)/INDEX('Player Data'!$E:$E,AL55)*M55*L55*AM55</f>
        <v/>
      </c>
      <c r="R55" s="5">
        <f>INDEX('Player Data'!$J:$J,AL55)/INDEX('Player Data'!$E:$E,AL55)*M55*L55*AM55</f>
        <v/>
      </c>
      <c r="S55" s="5">
        <f>INDEX('Player Data'!$K:$K,AL55)/INDEX('Player Data'!$E:$E,AL55)*M55*L55*AM55</f>
        <v/>
      </c>
      <c r="T55" s="5">
        <f>INDEX('Player Data'!$L:$L,AL55)/INDEX('Player Data'!$E:$E,AL55)*M55*L55*AM55</f>
        <v/>
      </c>
      <c r="U55" s="7">
        <f>INDEX('Player Data'!$M:$M,AL55)</f>
        <v/>
      </c>
      <c r="V55" s="7">
        <f>INDEX('Player Data'!$N:$N,AL55)</f>
        <v/>
      </c>
      <c r="W55" s="5">
        <f>X55*U55</f>
        <v/>
      </c>
      <c r="X55" s="5">
        <f>INDEX('Player Data'!$O:$O,AL55)/INDEX('Player Data'!$E:$E,AL55)*M55*L55*AM55</f>
        <v/>
      </c>
      <c r="Y55" s="5">
        <f>Z55*V55</f>
        <v/>
      </c>
      <c r="Z55" s="5">
        <f>INDEX('Player Data'!$P:$P,AL55)/INDEX('Player Data'!$E:$E,AL55)*M55*L55*AM55</f>
        <v/>
      </c>
      <c r="AB55" s="3">
        <f>(N55-Pool!$D$2)/Pool!$E$2</f>
        <v/>
      </c>
      <c r="AC55" s="3">
        <f>(O55-Pool!$D$3)/Pool!$E$3</f>
        <v/>
      </c>
      <c r="AD55" s="3">
        <f>(P55-Pool!$D$4)/Pool!$E$4</f>
        <v/>
      </c>
      <c r="AE55" s="3">
        <f>(Q55-Pool!$D$5)/Pool!$E$5</f>
        <v/>
      </c>
      <c r="AF55" s="3">
        <f>(R55-Pool!$D$6)/Pool!$E$6</f>
        <v/>
      </c>
      <c r="AG55" s="3">
        <f>(S55-Pool!$D$7)/Pool!$E$7</f>
        <v/>
      </c>
      <c r="AH55" s="3">
        <f>(AS55-Pool!$D$8)/Pool!$E$8</f>
        <v/>
      </c>
      <c r="AI55" s="3">
        <f>(AT55-Pool!$D$9)/Pool!$E$9</f>
        <v/>
      </c>
      <c r="AJ55" s="3">
        <f>-(T55-Pool!$D$10)/Pool!$E$10</f>
        <v/>
      </c>
      <c r="AL55">
        <f>MATCH(B55,'Player Data'!$A:$A,0)</f>
        <v/>
      </c>
      <c r="AM55" s="3">
        <f>1+IF(Settings!$F$10="ON",IFERROR(VLOOKUP(TRIM(F55),Settings!$D$12:$F$17,3,FALSE),0),0)</f>
        <v/>
      </c>
      <c r="AN55">
        <f>IFERROR(LEFT(C55,FIND(",",C55)-1),C55)</f>
        <v/>
      </c>
      <c r="AO55" s="6">
        <f>X55*(U55-Pool!$B$12)</f>
        <v/>
      </c>
      <c r="AP55" s="6">
        <f>Z55*(V55-Pool!$B$13)</f>
        <v/>
      </c>
      <c r="AQ55" s="3">
        <f>Settings!$B$2*(N55-Pool!$B$2)/Pool!$C$2+Settings!$B$3*(O55-Pool!$B$3)/Pool!$C$3+Settings!$B$4*(P55-Pool!$B$4)/Pool!$C$4+Settings!$B$5*(Q55-Pool!$B$5)/Pool!$C$5+Settings!$B$6*(R55-Pool!$B$6)/Pool!$C$6+Settings!$B$7*(S55-Pool!$B$7)/Pool!$C$7+Settings!$B$8*(AO55-Pool!$B$8)/Pool!$C$8+Settings!$B$9*(AP55-Pool!$B$9)/Pool!$C$9+Settings!$B$10*-(T55-Pool!$B$10)/Pool!$C$10</f>
        <v/>
      </c>
      <c r="AR55">
        <f>IF(RANK(AQ55,$AQ$2:$AQ$266)&lt;=Settings!$F$5,1,0)</f>
        <v/>
      </c>
      <c r="AS55" s="6">
        <f>X55*(U55-Pool!$D$12)</f>
        <v/>
      </c>
      <c r="AT55" s="6">
        <f>Z55*(V55-Pool!$D$13)</f>
        <v/>
      </c>
    </row>
    <row r="56">
      <c r="A56">
        <f>RANK(H56,$H$2:$H$266)</f>
        <v/>
      </c>
      <c r="B56" t="inlineStr">
        <is>
          <t>Pascal Siakam</t>
        </is>
      </c>
      <c r="C56">
        <f>INDEX('Player Data'!$C:$C,AL56)</f>
        <v/>
      </c>
      <c r="D56">
        <f>SUMPRODUCT(($AN$2:$AN$266=AN56)*($H$2:$H$266&gt;H56))+1</f>
        <v/>
      </c>
      <c r="E56">
        <f>INDEX('Player Data'!$B:$B,AL56)</f>
        <v/>
      </c>
      <c r="F56" s="2" t="n"/>
      <c r="G56" s="3">
        <f>Settings!$B$2*AB56+Settings!$B$3*AC56+Settings!$B$4*AD56+Settings!$B$5*AE56+Settings!$B$6*AF56+Settings!$B$7*AG56+Settings!$B$8*AH56+Settings!$B$9*AI56+Settings!$B$10*AJ56</f>
        <v/>
      </c>
      <c r="H56" s="3">
        <f>G56-LARGE($G$2:$G$266,Settings!$F$4)</f>
        <v/>
      </c>
      <c r="I56">
        <f>IF(INDEX('Player Data'!$R:$R,AL56)="","",INDEX('Player Data'!$R:$R,AL56))</f>
        <v/>
      </c>
      <c r="J56" s="4">
        <f>IF(I56="","",I56-A56)</f>
        <v/>
      </c>
      <c r="L56" s="5">
        <f>IF(Settings!$F$7="Yes",INDEX('Minutes &amp; Health'!$O:$O,AL56),Settings!$F$8)</f>
        <v/>
      </c>
      <c r="M56" s="6">
        <f>INDEX('Minutes &amp; Health'!$P:$P,AL56)</f>
        <v/>
      </c>
      <c r="N56" s="5">
        <f>INDEX('Player Data'!$F:$F,AL56)/INDEX('Player Data'!$E:$E,AL56)*M56*L56*AM56</f>
        <v/>
      </c>
      <c r="O56" s="5">
        <f>INDEX('Player Data'!$G:$G,AL56)/INDEX('Player Data'!$E:$E,AL56)*M56*L56*AM56</f>
        <v/>
      </c>
      <c r="P56" s="5">
        <f>INDEX('Player Data'!$H:$H,AL56)/INDEX('Player Data'!$E:$E,AL56)*M56*L56*AM56</f>
        <v/>
      </c>
      <c r="Q56" s="5">
        <f>INDEX('Player Data'!$I:$I,AL56)/INDEX('Player Data'!$E:$E,AL56)*M56*L56*AM56</f>
        <v/>
      </c>
      <c r="R56" s="5">
        <f>INDEX('Player Data'!$J:$J,AL56)/INDEX('Player Data'!$E:$E,AL56)*M56*L56*AM56</f>
        <v/>
      </c>
      <c r="S56" s="5">
        <f>INDEX('Player Data'!$K:$K,AL56)/INDEX('Player Data'!$E:$E,AL56)*M56*L56*AM56</f>
        <v/>
      </c>
      <c r="T56" s="5">
        <f>INDEX('Player Data'!$L:$L,AL56)/INDEX('Player Data'!$E:$E,AL56)*M56*L56*AM56</f>
        <v/>
      </c>
      <c r="U56" s="7">
        <f>INDEX('Player Data'!$M:$M,AL56)</f>
        <v/>
      </c>
      <c r="V56" s="7">
        <f>INDEX('Player Data'!$N:$N,AL56)</f>
        <v/>
      </c>
      <c r="W56" s="5">
        <f>X56*U56</f>
        <v/>
      </c>
      <c r="X56" s="5">
        <f>INDEX('Player Data'!$O:$O,AL56)/INDEX('Player Data'!$E:$E,AL56)*M56*L56*AM56</f>
        <v/>
      </c>
      <c r="Y56" s="5">
        <f>Z56*V56</f>
        <v/>
      </c>
      <c r="Z56" s="5">
        <f>INDEX('Player Data'!$P:$P,AL56)/INDEX('Player Data'!$E:$E,AL56)*M56*L56*AM56</f>
        <v/>
      </c>
      <c r="AB56" s="3">
        <f>(N56-Pool!$D$2)/Pool!$E$2</f>
        <v/>
      </c>
      <c r="AC56" s="3">
        <f>(O56-Pool!$D$3)/Pool!$E$3</f>
        <v/>
      </c>
      <c r="AD56" s="3">
        <f>(P56-Pool!$D$4)/Pool!$E$4</f>
        <v/>
      </c>
      <c r="AE56" s="3">
        <f>(Q56-Pool!$D$5)/Pool!$E$5</f>
        <v/>
      </c>
      <c r="AF56" s="3">
        <f>(R56-Pool!$D$6)/Pool!$E$6</f>
        <v/>
      </c>
      <c r="AG56" s="3">
        <f>(S56-Pool!$D$7)/Pool!$E$7</f>
        <v/>
      </c>
      <c r="AH56" s="3">
        <f>(AS56-Pool!$D$8)/Pool!$E$8</f>
        <v/>
      </c>
      <c r="AI56" s="3">
        <f>(AT56-Pool!$D$9)/Pool!$E$9</f>
        <v/>
      </c>
      <c r="AJ56" s="3">
        <f>-(T56-Pool!$D$10)/Pool!$E$10</f>
        <v/>
      </c>
      <c r="AL56">
        <f>MATCH(B56,'Player Data'!$A:$A,0)</f>
        <v/>
      </c>
      <c r="AM56" s="3">
        <f>1+IF(Settings!$F$10="ON",IFERROR(VLOOKUP(TRIM(F56),Settings!$D$12:$F$17,3,FALSE),0),0)</f>
        <v/>
      </c>
      <c r="AN56">
        <f>IFERROR(LEFT(C56,FIND(",",C56)-1),C56)</f>
        <v/>
      </c>
      <c r="AO56" s="6">
        <f>X56*(U56-Pool!$B$12)</f>
        <v/>
      </c>
      <c r="AP56" s="6">
        <f>Z56*(V56-Pool!$B$13)</f>
        <v/>
      </c>
      <c r="AQ56" s="3">
        <f>Settings!$B$2*(N56-Pool!$B$2)/Pool!$C$2+Settings!$B$3*(O56-Pool!$B$3)/Pool!$C$3+Settings!$B$4*(P56-Pool!$B$4)/Pool!$C$4+Settings!$B$5*(Q56-Pool!$B$5)/Pool!$C$5+Settings!$B$6*(R56-Pool!$B$6)/Pool!$C$6+Settings!$B$7*(S56-Pool!$B$7)/Pool!$C$7+Settings!$B$8*(AO56-Pool!$B$8)/Pool!$C$8+Settings!$B$9*(AP56-Pool!$B$9)/Pool!$C$9+Settings!$B$10*-(T56-Pool!$B$10)/Pool!$C$10</f>
        <v/>
      </c>
      <c r="AR56">
        <f>IF(RANK(AQ56,$AQ$2:$AQ$266)&lt;=Settings!$F$5,1,0)</f>
        <v/>
      </c>
      <c r="AS56" s="6">
        <f>X56*(U56-Pool!$D$12)</f>
        <v/>
      </c>
      <c r="AT56" s="6">
        <f>Z56*(V56-Pool!$D$13)</f>
        <v/>
      </c>
    </row>
    <row r="57">
      <c r="A57">
        <f>RANK(H57,$H$2:$H$266)</f>
        <v/>
      </c>
      <c r="B57" t="inlineStr">
        <is>
          <t>Ausar Thompson</t>
        </is>
      </c>
      <c r="C57">
        <f>INDEX('Player Data'!$C:$C,AL57)</f>
        <v/>
      </c>
      <c r="D57">
        <f>SUMPRODUCT(($AN$2:$AN$266=AN57)*($H$2:$H$266&gt;H57))+1</f>
        <v/>
      </c>
      <c r="E57">
        <f>INDEX('Player Data'!$B:$B,AL57)</f>
        <v/>
      </c>
      <c r="F57" s="2" t="inlineStr">
        <is>
          <t>+ +</t>
        </is>
      </c>
      <c r="G57" s="3">
        <f>Settings!$B$2*AB57+Settings!$B$3*AC57+Settings!$B$4*AD57+Settings!$B$5*AE57+Settings!$B$6*AF57+Settings!$B$7*AG57+Settings!$B$8*AH57+Settings!$B$9*AI57+Settings!$B$10*AJ57</f>
        <v/>
      </c>
      <c r="H57" s="3">
        <f>G57-LARGE($G$2:$G$266,Settings!$F$4)</f>
        <v/>
      </c>
      <c r="I57">
        <f>IF(INDEX('Player Data'!$R:$R,AL57)="","",INDEX('Player Data'!$R:$R,AL57))</f>
        <v/>
      </c>
      <c r="J57" s="4">
        <f>IF(I57="","",I57-A57)</f>
        <v/>
      </c>
      <c r="L57" s="5">
        <f>IF(Settings!$F$7="Yes",INDEX('Minutes &amp; Health'!$O:$O,AL57),Settings!$F$8)</f>
        <v/>
      </c>
      <c r="M57" s="6">
        <f>INDEX('Minutes &amp; Health'!$P:$P,AL57)</f>
        <v/>
      </c>
      <c r="N57" s="5">
        <f>INDEX('Player Data'!$F:$F,AL57)/INDEX('Player Data'!$E:$E,AL57)*M57*L57*AM57</f>
        <v/>
      </c>
      <c r="O57" s="5">
        <f>INDEX('Player Data'!$G:$G,AL57)/INDEX('Player Data'!$E:$E,AL57)*M57*L57*AM57</f>
        <v/>
      </c>
      <c r="P57" s="5">
        <f>INDEX('Player Data'!$H:$H,AL57)/INDEX('Player Data'!$E:$E,AL57)*M57*L57*AM57</f>
        <v/>
      </c>
      <c r="Q57" s="5">
        <f>INDEX('Player Data'!$I:$I,AL57)/INDEX('Player Data'!$E:$E,AL57)*M57*L57*AM57</f>
        <v/>
      </c>
      <c r="R57" s="5">
        <f>INDEX('Player Data'!$J:$J,AL57)/INDEX('Player Data'!$E:$E,AL57)*M57*L57*AM57</f>
        <v/>
      </c>
      <c r="S57" s="5">
        <f>INDEX('Player Data'!$K:$K,AL57)/INDEX('Player Data'!$E:$E,AL57)*M57*L57*AM57</f>
        <v/>
      </c>
      <c r="T57" s="5">
        <f>INDEX('Player Data'!$L:$L,AL57)/INDEX('Player Data'!$E:$E,AL57)*M57*L57*AM57</f>
        <v/>
      </c>
      <c r="U57" s="7">
        <f>INDEX('Player Data'!$M:$M,AL57)</f>
        <v/>
      </c>
      <c r="V57" s="7">
        <f>INDEX('Player Data'!$N:$N,AL57)</f>
        <v/>
      </c>
      <c r="W57" s="5">
        <f>X57*U57</f>
        <v/>
      </c>
      <c r="X57" s="5">
        <f>INDEX('Player Data'!$O:$O,AL57)/INDEX('Player Data'!$E:$E,AL57)*M57*L57*AM57</f>
        <v/>
      </c>
      <c r="Y57" s="5">
        <f>Z57*V57</f>
        <v/>
      </c>
      <c r="Z57" s="5">
        <f>INDEX('Player Data'!$P:$P,AL57)/INDEX('Player Data'!$E:$E,AL57)*M57*L57*AM57</f>
        <v/>
      </c>
      <c r="AB57" s="3">
        <f>(N57-Pool!$D$2)/Pool!$E$2</f>
        <v/>
      </c>
      <c r="AC57" s="3">
        <f>(O57-Pool!$D$3)/Pool!$E$3</f>
        <v/>
      </c>
      <c r="AD57" s="3">
        <f>(P57-Pool!$D$4)/Pool!$E$4</f>
        <v/>
      </c>
      <c r="AE57" s="3">
        <f>(Q57-Pool!$D$5)/Pool!$E$5</f>
        <v/>
      </c>
      <c r="AF57" s="3">
        <f>(R57-Pool!$D$6)/Pool!$E$6</f>
        <v/>
      </c>
      <c r="AG57" s="3">
        <f>(S57-Pool!$D$7)/Pool!$E$7</f>
        <v/>
      </c>
      <c r="AH57" s="3">
        <f>(AS57-Pool!$D$8)/Pool!$E$8</f>
        <v/>
      </c>
      <c r="AI57" s="3">
        <f>(AT57-Pool!$D$9)/Pool!$E$9</f>
        <v/>
      </c>
      <c r="AJ57" s="3">
        <f>-(T57-Pool!$D$10)/Pool!$E$10</f>
        <v/>
      </c>
      <c r="AL57">
        <f>MATCH(B57,'Player Data'!$A:$A,0)</f>
        <v/>
      </c>
      <c r="AM57" s="3">
        <f>1+IF(Settings!$F$10="ON",IFERROR(VLOOKUP(TRIM(F57),Settings!$D$12:$F$17,3,FALSE),0),0)</f>
        <v/>
      </c>
      <c r="AN57">
        <f>IFERROR(LEFT(C57,FIND(",",C57)-1),C57)</f>
        <v/>
      </c>
      <c r="AO57" s="6">
        <f>X57*(U57-Pool!$B$12)</f>
        <v/>
      </c>
      <c r="AP57" s="6">
        <f>Z57*(V57-Pool!$B$13)</f>
        <v/>
      </c>
      <c r="AQ57" s="3">
        <f>Settings!$B$2*(N57-Pool!$B$2)/Pool!$C$2+Settings!$B$3*(O57-Pool!$B$3)/Pool!$C$3+Settings!$B$4*(P57-Pool!$B$4)/Pool!$C$4+Settings!$B$5*(Q57-Pool!$B$5)/Pool!$C$5+Settings!$B$6*(R57-Pool!$B$6)/Pool!$C$6+Settings!$B$7*(S57-Pool!$B$7)/Pool!$C$7+Settings!$B$8*(AO57-Pool!$B$8)/Pool!$C$8+Settings!$B$9*(AP57-Pool!$B$9)/Pool!$C$9+Settings!$B$10*-(T57-Pool!$B$10)/Pool!$C$10</f>
        <v/>
      </c>
      <c r="AR57">
        <f>IF(RANK(AQ57,$AQ$2:$AQ$266)&lt;=Settings!$F$5,1,0)</f>
        <v/>
      </c>
      <c r="AS57" s="6">
        <f>X57*(U57-Pool!$D$12)</f>
        <v/>
      </c>
      <c r="AT57" s="6">
        <f>Z57*(V57-Pool!$D$13)</f>
        <v/>
      </c>
    </row>
    <row r="58">
      <c r="A58">
        <f>RANK(H58,$H$2:$H$266)</f>
        <v/>
      </c>
      <c r="B58" t="inlineStr">
        <is>
          <t>Alperen Sengun</t>
        </is>
      </c>
      <c r="C58">
        <f>INDEX('Player Data'!$C:$C,AL58)</f>
        <v/>
      </c>
      <c r="D58">
        <f>SUMPRODUCT(($AN$2:$AN$266=AN58)*($H$2:$H$266&gt;H58))+1</f>
        <v/>
      </c>
      <c r="E58">
        <f>INDEX('Player Data'!$B:$B,AL58)</f>
        <v/>
      </c>
      <c r="F58" s="2" t="n"/>
      <c r="G58" s="3">
        <f>Settings!$B$2*AB58+Settings!$B$3*AC58+Settings!$B$4*AD58+Settings!$B$5*AE58+Settings!$B$6*AF58+Settings!$B$7*AG58+Settings!$B$8*AH58+Settings!$B$9*AI58+Settings!$B$10*AJ58</f>
        <v/>
      </c>
      <c r="H58" s="3">
        <f>G58-LARGE($G$2:$G$266,Settings!$F$4)</f>
        <v/>
      </c>
      <c r="I58">
        <f>IF(INDEX('Player Data'!$R:$R,AL58)="","",INDEX('Player Data'!$R:$R,AL58))</f>
        <v/>
      </c>
      <c r="J58" s="4">
        <f>IF(I58="","",I58-A58)</f>
        <v/>
      </c>
      <c r="L58" s="5">
        <f>IF(Settings!$F$7="Yes",INDEX('Minutes &amp; Health'!$O:$O,AL58),Settings!$F$8)</f>
        <v/>
      </c>
      <c r="M58" s="6">
        <f>INDEX('Minutes &amp; Health'!$P:$P,AL58)</f>
        <v/>
      </c>
      <c r="N58" s="5">
        <f>INDEX('Player Data'!$F:$F,AL58)/INDEX('Player Data'!$E:$E,AL58)*M58*L58*AM58</f>
        <v/>
      </c>
      <c r="O58" s="5">
        <f>INDEX('Player Data'!$G:$G,AL58)/INDEX('Player Data'!$E:$E,AL58)*M58*L58*AM58</f>
        <v/>
      </c>
      <c r="P58" s="5">
        <f>INDEX('Player Data'!$H:$H,AL58)/INDEX('Player Data'!$E:$E,AL58)*M58*L58*AM58</f>
        <v/>
      </c>
      <c r="Q58" s="5">
        <f>INDEX('Player Data'!$I:$I,AL58)/INDEX('Player Data'!$E:$E,AL58)*M58*L58*AM58</f>
        <v/>
      </c>
      <c r="R58" s="5">
        <f>INDEX('Player Data'!$J:$J,AL58)/INDEX('Player Data'!$E:$E,AL58)*M58*L58*AM58</f>
        <v/>
      </c>
      <c r="S58" s="5">
        <f>INDEX('Player Data'!$K:$K,AL58)/INDEX('Player Data'!$E:$E,AL58)*M58*L58*AM58</f>
        <v/>
      </c>
      <c r="T58" s="5">
        <f>INDEX('Player Data'!$L:$L,AL58)/INDEX('Player Data'!$E:$E,AL58)*M58*L58*AM58</f>
        <v/>
      </c>
      <c r="U58" s="7">
        <f>INDEX('Player Data'!$M:$M,AL58)</f>
        <v/>
      </c>
      <c r="V58" s="7">
        <f>INDEX('Player Data'!$N:$N,AL58)</f>
        <v/>
      </c>
      <c r="W58" s="5">
        <f>X58*U58</f>
        <v/>
      </c>
      <c r="X58" s="5">
        <f>INDEX('Player Data'!$O:$O,AL58)/INDEX('Player Data'!$E:$E,AL58)*M58*L58*AM58</f>
        <v/>
      </c>
      <c r="Y58" s="5">
        <f>Z58*V58</f>
        <v/>
      </c>
      <c r="Z58" s="5">
        <f>INDEX('Player Data'!$P:$P,AL58)/INDEX('Player Data'!$E:$E,AL58)*M58*L58*AM58</f>
        <v/>
      </c>
      <c r="AB58" s="3">
        <f>(N58-Pool!$D$2)/Pool!$E$2</f>
        <v/>
      </c>
      <c r="AC58" s="3">
        <f>(O58-Pool!$D$3)/Pool!$E$3</f>
        <v/>
      </c>
      <c r="AD58" s="3">
        <f>(P58-Pool!$D$4)/Pool!$E$4</f>
        <v/>
      </c>
      <c r="AE58" s="3">
        <f>(Q58-Pool!$D$5)/Pool!$E$5</f>
        <v/>
      </c>
      <c r="AF58" s="3">
        <f>(R58-Pool!$D$6)/Pool!$E$6</f>
        <v/>
      </c>
      <c r="AG58" s="3">
        <f>(S58-Pool!$D$7)/Pool!$E$7</f>
        <v/>
      </c>
      <c r="AH58" s="3">
        <f>(AS58-Pool!$D$8)/Pool!$E$8</f>
        <v/>
      </c>
      <c r="AI58" s="3">
        <f>(AT58-Pool!$D$9)/Pool!$E$9</f>
        <v/>
      </c>
      <c r="AJ58" s="3">
        <f>-(T58-Pool!$D$10)/Pool!$E$10</f>
        <v/>
      </c>
      <c r="AL58">
        <f>MATCH(B58,'Player Data'!$A:$A,0)</f>
        <v/>
      </c>
      <c r="AM58" s="3">
        <f>1+IF(Settings!$F$10="ON",IFERROR(VLOOKUP(TRIM(F58),Settings!$D$12:$F$17,3,FALSE),0),0)</f>
        <v/>
      </c>
      <c r="AN58">
        <f>IFERROR(LEFT(C58,FIND(",",C58)-1),C58)</f>
        <v/>
      </c>
      <c r="AO58" s="6">
        <f>X58*(U58-Pool!$B$12)</f>
        <v/>
      </c>
      <c r="AP58" s="6">
        <f>Z58*(V58-Pool!$B$13)</f>
        <v/>
      </c>
      <c r="AQ58" s="3">
        <f>Settings!$B$2*(N58-Pool!$B$2)/Pool!$C$2+Settings!$B$3*(O58-Pool!$B$3)/Pool!$C$3+Settings!$B$4*(P58-Pool!$B$4)/Pool!$C$4+Settings!$B$5*(Q58-Pool!$B$5)/Pool!$C$5+Settings!$B$6*(R58-Pool!$B$6)/Pool!$C$6+Settings!$B$7*(S58-Pool!$B$7)/Pool!$C$7+Settings!$B$8*(AO58-Pool!$B$8)/Pool!$C$8+Settings!$B$9*(AP58-Pool!$B$9)/Pool!$C$9+Settings!$B$10*-(T58-Pool!$B$10)/Pool!$C$10</f>
        <v/>
      </c>
      <c r="AR58">
        <f>IF(RANK(AQ58,$AQ$2:$AQ$266)&lt;=Settings!$F$5,1,0)</f>
        <v/>
      </c>
      <c r="AS58" s="6">
        <f>X58*(U58-Pool!$D$12)</f>
        <v/>
      </c>
      <c r="AT58" s="6">
        <f>Z58*(V58-Pool!$D$13)</f>
        <v/>
      </c>
    </row>
    <row r="59">
      <c r="A59">
        <f>RANK(H59,$H$2:$H$266)</f>
        <v/>
      </c>
      <c r="B59" t="inlineStr">
        <is>
          <t>Darius Garland</t>
        </is>
      </c>
      <c r="C59">
        <f>INDEX('Player Data'!$C:$C,AL59)</f>
        <v/>
      </c>
      <c r="D59">
        <f>SUMPRODUCT(($AN$2:$AN$266=AN59)*($H$2:$H$266&gt;H59))+1</f>
        <v/>
      </c>
      <c r="E59">
        <f>INDEX('Player Data'!$B:$B,AL59)</f>
        <v/>
      </c>
      <c r="F59" s="2" t="n"/>
      <c r="G59" s="3">
        <f>Settings!$B$2*AB59+Settings!$B$3*AC59+Settings!$B$4*AD59+Settings!$B$5*AE59+Settings!$B$6*AF59+Settings!$B$7*AG59+Settings!$B$8*AH59+Settings!$B$9*AI59+Settings!$B$10*AJ59</f>
        <v/>
      </c>
      <c r="H59" s="3">
        <f>G59-LARGE($G$2:$G$266,Settings!$F$4)</f>
        <v/>
      </c>
      <c r="I59">
        <f>IF(INDEX('Player Data'!$R:$R,AL59)="","",INDEX('Player Data'!$R:$R,AL59))</f>
        <v/>
      </c>
      <c r="J59" s="4">
        <f>IF(I59="","",I59-A59)</f>
        <v/>
      </c>
      <c r="L59" s="5">
        <f>IF(Settings!$F$7="Yes",INDEX('Minutes &amp; Health'!$O:$O,AL59),Settings!$F$8)</f>
        <v/>
      </c>
      <c r="M59" s="6">
        <f>INDEX('Minutes &amp; Health'!$P:$P,AL59)</f>
        <v/>
      </c>
      <c r="N59" s="5">
        <f>INDEX('Player Data'!$F:$F,AL59)/INDEX('Player Data'!$E:$E,AL59)*M59*L59*AM59</f>
        <v/>
      </c>
      <c r="O59" s="5">
        <f>INDEX('Player Data'!$G:$G,AL59)/INDEX('Player Data'!$E:$E,AL59)*M59*L59*AM59</f>
        <v/>
      </c>
      <c r="P59" s="5">
        <f>INDEX('Player Data'!$H:$H,AL59)/INDEX('Player Data'!$E:$E,AL59)*M59*L59*AM59</f>
        <v/>
      </c>
      <c r="Q59" s="5">
        <f>INDEX('Player Data'!$I:$I,AL59)/INDEX('Player Data'!$E:$E,AL59)*M59*L59*AM59</f>
        <v/>
      </c>
      <c r="R59" s="5">
        <f>INDEX('Player Data'!$J:$J,AL59)/INDEX('Player Data'!$E:$E,AL59)*M59*L59*AM59</f>
        <v/>
      </c>
      <c r="S59" s="5">
        <f>INDEX('Player Data'!$K:$K,AL59)/INDEX('Player Data'!$E:$E,AL59)*M59*L59*AM59</f>
        <v/>
      </c>
      <c r="T59" s="5">
        <f>INDEX('Player Data'!$L:$L,AL59)/INDEX('Player Data'!$E:$E,AL59)*M59*L59*AM59</f>
        <v/>
      </c>
      <c r="U59" s="7">
        <f>INDEX('Player Data'!$M:$M,AL59)</f>
        <v/>
      </c>
      <c r="V59" s="7">
        <f>INDEX('Player Data'!$N:$N,AL59)</f>
        <v/>
      </c>
      <c r="W59" s="5">
        <f>X59*U59</f>
        <v/>
      </c>
      <c r="X59" s="5">
        <f>INDEX('Player Data'!$O:$O,AL59)/INDEX('Player Data'!$E:$E,AL59)*M59*L59*AM59</f>
        <v/>
      </c>
      <c r="Y59" s="5">
        <f>Z59*V59</f>
        <v/>
      </c>
      <c r="Z59" s="5">
        <f>INDEX('Player Data'!$P:$P,AL59)/INDEX('Player Data'!$E:$E,AL59)*M59*L59*AM59</f>
        <v/>
      </c>
      <c r="AB59" s="3">
        <f>(N59-Pool!$D$2)/Pool!$E$2</f>
        <v/>
      </c>
      <c r="AC59" s="3">
        <f>(O59-Pool!$D$3)/Pool!$E$3</f>
        <v/>
      </c>
      <c r="AD59" s="3">
        <f>(P59-Pool!$D$4)/Pool!$E$4</f>
        <v/>
      </c>
      <c r="AE59" s="3">
        <f>(Q59-Pool!$D$5)/Pool!$E$5</f>
        <v/>
      </c>
      <c r="AF59" s="3">
        <f>(R59-Pool!$D$6)/Pool!$E$6</f>
        <v/>
      </c>
      <c r="AG59" s="3">
        <f>(S59-Pool!$D$7)/Pool!$E$7</f>
        <v/>
      </c>
      <c r="AH59" s="3">
        <f>(AS59-Pool!$D$8)/Pool!$E$8</f>
        <v/>
      </c>
      <c r="AI59" s="3">
        <f>(AT59-Pool!$D$9)/Pool!$E$9</f>
        <v/>
      </c>
      <c r="AJ59" s="3">
        <f>-(T59-Pool!$D$10)/Pool!$E$10</f>
        <v/>
      </c>
      <c r="AL59">
        <f>MATCH(B59,'Player Data'!$A:$A,0)</f>
        <v/>
      </c>
      <c r="AM59" s="3">
        <f>1+IF(Settings!$F$10="ON",IFERROR(VLOOKUP(TRIM(F59),Settings!$D$12:$F$17,3,FALSE),0),0)</f>
        <v/>
      </c>
      <c r="AN59">
        <f>IFERROR(LEFT(C59,FIND(",",C59)-1),C59)</f>
        <v/>
      </c>
      <c r="AO59" s="6">
        <f>X59*(U59-Pool!$B$12)</f>
        <v/>
      </c>
      <c r="AP59" s="6">
        <f>Z59*(V59-Pool!$B$13)</f>
        <v/>
      </c>
      <c r="AQ59" s="3">
        <f>Settings!$B$2*(N59-Pool!$B$2)/Pool!$C$2+Settings!$B$3*(O59-Pool!$B$3)/Pool!$C$3+Settings!$B$4*(P59-Pool!$B$4)/Pool!$C$4+Settings!$B$5*(Q59-Pool!$B$5)/Pool!$C$5+Settings!$B$6*(R59-Pool!$B$6)/Pool!$C$6+Settings!$B$7*(S59-Pool!$B$7)/Pool!$C$7+Settings!$B$8*(AO59-Pool!$B$8)/Pool!$C$8+Settings!$B$9*(AP59-Pool!$B$9)/Pool!$C$9+Settings!$B$10*-(T59-Pool!$B$10)/Pool!$C$10</f>
        <v/>
      </c>
      <c r="AR59">
        <f>IF(RANK(AQ59,$AQ$2:$AQ$266)&lt;=Settings!$F$5,1,0)</f>
        <v/>
      </c>
      <c r="AS59" s="6">
        <f>X59*(U59-Pool!$D$12)</f>
        <v/>
      </c>
      <c r="AT59" s="6">
        <f>Z59*(V59-Pool!$D$13)</f>
        <v/>
      </c>
    </row>
    <row r="60">
      <c r="A60">
        <f>RANK(H60,$H$2:$H$266)</f>
        <v/>
      </c>
      <c r="B60" t="inlineStr">
        <is>
          <t>Josh Hart</t>
        </is>
      </c>
      <c r="C60">
        <f>INDEX('Player Data'!$C:$C,AL60)</f>
        <v/>
      </c>
      <c r="D60">
        <f>SUMPRODUCT(($AN$2:$AN$266=AN60)*($H$2:$H$266&gt;H60))+1</f>
        <v/>
      </c>
      <c r="E60">
        <f>INDEX('Player Data'!$B:$B,AL60)</f>
        <v/>
      </c>
      <c r="F60" s="2" t="n"/>
      <c r="G60" s="3">
        <f>Settings!$B$2*AB60+Settings!$B$3*AC60+Settings!$B$4*AD60+Settings!$B$5*AE60+Settings!$B$6*AF60+Settings!$B$7*AG60+Settings!$B$8*AH60+Settings!$B$9*AI60+Settings!$B$10*AJ60</f>
        <v/>
      </c>
      <c r="H60" s="3">
        <f>G60-LARGE($G$2:$G$266,Settings!$F$4)</f>
        <v/>
      </c>
      <c r="I60">
        <f>IF(INDEX('Player Data'!$R:$R,AL60)="","",INDEX('Player Data'!$R:$R,AL60))</f>
        <v/>
      </c>
      <c r="J60" s="4">
        <f>IF(I60="","",I60-A60)</f>
        <v/>
      </c>
      <c r="L60" s="5">
        <f>IF(Settings!$F$7="Yes",INDEX('Minutes &amp; Health'!$O:$O,AL60),Settings!$F$8)</f>
        <v/>
      </c>
      <c r="M60" s="6">
        <f>INDEX('Minutes &amp; Health'!$P:$P,AL60)</f>
        <v/>
      </c>
      <c r="N60" s="5">
        <f>INDEX('Player Data'!$F:$F,AL60)/INDEX('Player Data'!$E:$E,AL60)*M60*L60*AM60</f>
        <v/>
      </c>
      <c r="O60" s="5">
        <f>INDEX('Player Data'!$G:$G,AL60)/INDEX('Player Data'!$E:$E,AL60)*M60*L60*AM60</f>
        <v/>
      </c>
      <c r="P60" s="5">
        <f>INDEX('Player Data'!$H:$H,AL60)/INDEX('Player Data'!$E:$E,AL60)*M60*L60*AM60</f>
        <v/>
      </c>
      <c r="Q60" s="5">
        <f>INDEX('Player Data'!$I:$I,AL60)/INDEX('Player Data'!$E:$E,AL60)*M60*L60*AM60</f>
        <v/>
      </c>
      <c r="R60" s="5">
        <f>INDEX('Player Data'!$J:$J,AL60)/INDEX('Player Data'!$E:$E,AL60)*M60*L60*AM60</f>
        <v/>
      </c>
      <c r="S60" s="5">
        <f>INDEX('Player Data'!$K:$K,AL60)/INDEX('Player Data'!$E:$E,AL60)*M60*L60*AM60</f>
        <v/>
      </c>
      <c r="T60" s="5">
        <f>INDEX('Player Data'!$L:$L,AL60)/INDEX('Player Data'!$E:$E,AL60)*M60*L60*AM60</f>
        <v/>
      </c>
      <c r="U60" s="7">
        <f>INDEX('Player Data'!$M:$M,AL60)</f>
        <v/>
      </c>
      <c r="V60" s="7">
        <f>INDEX('Player Data'!$N:$N,AL60)</f>
        <v/>
      </c>
      <c r="W60" s="5">
        <f>X60*U60</f>
        <v/>
      </c>
      <c r="X60" s="5">
        <f>INDEX('Player Data'!$O:$O,AL60)/INDEX('Player Data'!$E:$E,AL60)*M60*L60*AM60</f>
        <v/>
      </c>
      <c r="Y60" s="5">
        <f>Z60*V60</f>
        <v/>
      </c>
      <c r="Z60" s="5">
        <f>INDEX('Player Data'!$P:$P,AL60)/INDEX('Player Data'!$E:$E,AL60)*M60*L60*AM60</f>
        <v/>
      </c>
      <c r="AB60" s="3">
        <f>(N60-Pool!$D$2)/Pool!$E$2</f>
        <v/>
      </c>
      <c r="AC60" s="3">
        <f>(O60-Pool!$D$3)/Pool!$E$3</f>
        <v/>
      </c>
      <c r="AD60" s="3">
        <f>(P60-Pool!$D$4)/Pool!$E$4</f>
        <v/>
      </c>
      <c r="AE60" s="3">
        <f>(Q60-Pool!$D$5)/Pool!$E$5</f>
        <v/>
      </c>
      <c r="AF60" s="3">
        <f>(R60-Pool!$D$6)/Pool!$E$6</f>
        <v/>
      </c>
      <c r="AG60" s="3">
        <f>(S60-Pool!$D$7)/Pool!$E$7</f>
        <v/>
      </c>
      <c r="AH60" s="3">
        <f>(AS60-Pool!$D$8)/Pool!$E$8</f>
        <v/>
      </c>
      <c r="AI60" s="3">
        <f>(AT60-Pool!$D$9)/Pool!$E$9</f>
        <v/>
      </c>
      <c r="AJ60" s="3">
        <f>-(T60-Pool!$D$10)/Pool!$E$10</f>
        <v/>
      </c>
      <c r="AL60">
        <f>MATCH(B60,'Player Data'!$A:$A,0)</f>
        <v/>
      </c>
      <c r="AM60" s="3">
        <f>1+IF(Settings!$F$10="ON",IFERROR(VLOOKUP(TRIM(F60),Settings!$D$12:$F$17,3,FALSE),0),0)</f>
        <v/>
      </c>
      <c r="AN60">
        <f>IFERROR(LEFT(C60,FIND(",",C60)-1),C60)</f>
        <v/>
      </c>
      <c r="AO60" s="6">
        <f>X60*(U60-Pool!$B$12)</f>
        <v/>
      </c>
      <c r="AP60" s="6">
        <f>Z60*(V60-Pool!$B$13)</f>
        <v/>
      </c>
      <c r="AQ60" s="3">
        <f>Settings!$B$2*(N60-Pool!$B$2)/Pool!$C$2+Settings!$B$3*(O60-Pool!$B$3)/Pool!$C$3+Settings!$B$4*(P60-Pool!$B$4)/Pool!$C$4+Settings!$B$5*(Q60-Pool!$B$5)/Pool!$C$5+Settings!$B$6*(R60-Pool!$B$6)/Pool!$C$6+Settings!$B$7*(S60-Pool!$B$7)/Pool!$C$7+Settings!$B$8*(AO60-Pool!$B$8)/Pool!$C$8+Settings!$B$9*(AP60-Pool!$B$9)/Pool!$C$9+Settings!$B$10*-(T60-Pool!$B$10)/Pool!$C$10</f>
        <v/>
      </c>
      <c r="AR60">
        <f>IF(RANK(AQ60,$AQ$2:$AQ$266)&lt;=Settings!$F$5,1,0)</f>
        <v/>
      </c>
      <c r="AS60" s="6">
        <f>X60*(U60-Pool!$D$12)</f>
        <v/>
      </c>
      <c r="AT60" s="6">
        <f>Z60*(V60-Pool!$D$13)</f>
        <v/>
      </c>
    </row>
    <row r="61">
      <c r="A61">
        <f>RANK(H61,$H$2:$H$266)</f>
        <v/>
      </c>
      <c r="B61" t="inlineStr">
        <is>
          <t>Ty Jerome</t>
        </is>
      </c>
      <c r="C61">
        <f>INDEX('Player Data'!$C:$C,AL61)</f>
        <v/>
      </c>
      <c r="D61">
        <f>SUMPRODUCT(($AN$2:$AN$266=AN61)*($H$2:$H$266&gt;H61))+1</f>
        <v/>
      </c>
      <c r="E61">
        <f>INDEX('Player Data'!$B:$B,AL61)</f>
        <v/>
      </c>
      <c r="F61" s="2" t="n"/>
      <c r="G61" s="3">
        <f>Settings!$B$2*AB61+Settings!$B$3*AC61+Settings!$B$4*AD61+Settings!$B$5*AE61+Settings!$B$6*AF61+Settings!$B$7*AG61+Settings!$B$8*AH61+Settings!$B$9*AI61+Settings!$B$10*AJ61</f>
        <v/>
      </c>
      <c r="H61" s="3">
        <f>G61-LARGE($G$2:$G$266,Settings!$F$4)</f>
        <v/>
      </c>
      <c r="I61">
        <f>IF(INDEX('Player Data'!$R:$R,AL61)="","",INDEX('Player Data'!$R:$R,AL61))</f>
        <v/>
      </c>
      <c r="J61" s="4">
        <f>IF(I61="","",I61-A61)</f>
        <v/>
      </c>
      <c r="L61" s="5">
        <f>IF(Settings!$F$7="Yes",INDEX('Minutes &amp; Health'!$O:$O,AL61),Settings!$F$8)</f>
        <v/>
      </c>
      <c r="M61" s="6">
        <f>INDEX('Minutes &amp; Health'!$P:$P,AL61)</f>
        <v/>
      </c>
      <c r="N61" s="5">
        <f>INDEX('Player Data'!$F:$F,AL61)/INDEX('Player Data'!$E:$E,AL61)*M61*L61*AM61</f>
        <v/>
      </c>
      <c r="O61" s="5">
        <f>INDEX('Player Data'!$G:$G,AL61)/INDEX('Player Data'!$E:$E,AL61)*M61*L61*AM61</f>
        <v/>
      </c>
      <c r="P61" s="5">
        <f>INDEX('Player Data'!$H:$H,AL61)/INDEX('Player Data'!$E:$E,AL61)*M61*L61*AM61</f>
        <v/>
      </c>
      <c r="Q61" s="5">
        <f>INDEX('Player Data'!$I:$I,AL61)/INDEX('Player Data'!$E:$E,AL61)*M61*L61*AM61</f>
        <v/>
      </c>
      <c r="R61" s="5">
        <f>INDEX('Player Data'!$J:$J,AL61)/INDEX('Player Data'!$E:$E,AL61)*M61*L61*AM61</f>
        <v/>
      </c>
      <c r="S61" s="5">
        <f>INDEX('Player Data'!$K:$K,AL61)/INDEX('Player Data'!$E:$E,AL61)*M61*L61*AM61</f>
        <v/>
      </c>
      <c r="T61" s="5">
        <f>INDEX('Player Data'!$L:$L,AL61)/INDEX('Player Data'!$E:$E,AL61)*M61*L61*AM61</f>
        <v/>
      </c>
      <c r="U61" s="7">
        <f>INDEX('Player Data'!$M:$M,AL61)</f>
        <v/>
      </c>
      <c r="V61" s="7">
        <f>INDEX('Player Data'!$N:$N,AL61)</f>
        <v/>
      </c>
      <c r="W61" s="5">
        <f>X61*U61</f>
        <v/>
      </c>
      <c r="X61" s="5">
        <f>INDEX('Player Data'!$O:$O,AL61)/INDEX('Player Data'!$E:$E,AL61)*M61*L61*AM61</f>
        <v/>
      </c>
      <c r="Y61" s="5">
        <f>Z61*V61</f>
        <v/>
      </c>
      <c r="Z61" s="5">
        <f>INDEX('Player Data'!$P:$P,AL61)/INDEX('Player Data'!$E:$E,AL61)*M61*L61*AM61</f>
        <v/>
      </c>
      <c r="AB61" s="3">
        <f>(N61-Pool!$D$2)/Pool!$E$2</f>
        <v/>
      </c>
      <c r="AC61" s="3">
        <f>(O61-Pool!$D$3)/Pool!$E$3</f>
        <v/>
      </c>
      <c r="AD61" s="3">
        <f>(P61-Pool!$D$4)/Pool!$E$4</f>
        <v/>
      </c>
      <c r="AE61" s="3">
        <f>(Q61-Pool!$D$5)/Pool!$E$5</f>
        <v/>
      </c>
      <c r="AF61" s="3">
        <f>(R61-Pool!$D$6)/Pool!$E$6</f>
        <v/>
      </c>
      <c r="AG61" s="3">
        <f>(S61-Pool!$D$7)/Pool!$E$7</f>
        <v/>
      </c>
      <c r="AH61" s="3">
        <f>(AS61-Pool!$D$8)/Pool!$E$8</f>
        <v/>
      </c>
      <c r="AI61" s="3">
        <f>(AT61-Pool!$D$9)/Pool!$E$9</f>
        <v/>
      </c>
      <c r="AJ61" s="3">
        <f>-(T61-Pool!$D$10)/Pool!$E$10</f>
        <v/>
      </c>
      <c r="AL61">
        <f>MATCH(B61,'Player Data'!$A:$A,0)</f>
        <v/>
      </c>
      <c r="AM61" s="3">
        <f>1+IF(Settings!$F$10="ON",IFERROR(VLOOKUP(TRIM(F61),Settings!$D$12:$F$17,3,FALSE),0),0)</f>
        <v/>
      </c>
      <c r="AN61">
        <f>IFERROR(LEFT(C61,FIND(",",C61)-1),C61)</f>
        <v/>
      </c>
      <c r="AO61" s="6">
        <f>X61*(U61-Pool!$B$12)</f>
        <v/>
      </c>
      <c r="AP61" s="6">
        <f>Z61*(V61-Pool!$B$13)</f>
        <v/>
      </c>
      <c r="AQ61" s="3">
        <f>Settings!$B$2*(N61-Pool!$B$2)/Pool!$C$2+Settings!$B$3*(O61-Pool!$B$3)/Pool!$C$3+Settings!$B$4*(P61-Pool!$B$4)/Pool!$C$4+Settings!$B$5*(Q61-Pool!$B$5)/Pool!$C$5+Settings!$B$6*(R61-Pool!$B$6)/Pool!$C$6+Settings!$B$7*(S61-Pool!$B$7)/Pool!$C$7+Settings!$B$8*(AO61-Pool!$B$8)/Pool!$C$8+Settings!$B$9*(AP61-Pool!$B$9)/Pool!$C$9+Settings!$B$10*-(T61-Pool!$B$10)/Pool!$C$10</f>
        <v/>
      </c>
      <c r="AR61">
        <f>IF(RANK(AQ61,$AQ$2:$AQ$266)&lt;=Settings!$F$5,1,0)</f>
        <v/>
      </c>
      <c r="AS61" s="6">
        <f>X61*(U61-Pool!$D$12)</f>
        <v/>
      </c>
      <c r="AT61" s="6">
        <f>Z61*(V61-Pool!$D$13)</f>
        <v/>
      </c>
    </row>
    <row r="62">
      <c r="A62">
        <f>RANK(H62,$H$2:$H$266)</f>
        <v/>
      </c>
      <c r="B62" t="inlineStr">
        <is>
          <t>Michael Porter Jr.</t>
        </is>
      </c>
      <c r="C62">
        <f>INDEX('Player Data'!$C:$C,AL62)</f>
        <v/>
      </c>
      <c r="D62">
        <f>SUMPRODUCT(($AN$2:$AN$266=AN62)*($H$2:$H$266&gt;H62))+1</f>
        <v/>
      </c>
      <c r="E62">
        <f>INDEX('Player Data'!$B:$B,AL62)</f>
        <v/>
      </c>
      <c r="F62" s="2" t="n"/>
      <c r="G62" s="3">
        <f>Settings!$B$2*AB62+Settings!$B$3*AC62+Settings!$B$4*AD62+Settings!$B$5*AE62+Settings!$B$6*AF62+Settings!$B$7*AG62+Settings!$B$8*AH62+Settings!$B$9*AI62+Settings!$B$10*AJ62</f>
        <v/>
      </c>
      <c r="H62" s="3">
        <f>G62-LARGE($G$2:$G$266,Settings!$F$4)</f>
        <v/>
      </c>
      <c r="I62">
        <f>IF(INDEX('Player Data'!$R:$R,AL62)="","",INDEX('Player Data'!$R:$R,AL62))</f>
        <v/>
      </c>
      <c r="J62" s="4">
        <f>IF(I62="","",I62-A62)</f>
        <v/>
      </c>
      <c r="L62" s="5">
        <f>IF(Settings!$F$7="Yes",INDEX('Minutes &amp; Health'!$O:$O,AL62),Settings!$F$8)</f>
        <v/>
      </c>
      <c r="M62" s="6">
        <f>INDEX('Minutes &amp; Health'!$P:$P,AL62)</f>
        <v/>
      </c>
      <c r="N62" s="5">
        <f>INDEX('Player Data'!$F:$F,AL62)/INDEX('Player Data'!$E:$E,AL62)*M62*L62*AM62</f>
        <v/>
      </c>
      <c r="O62" s="5">
        <f>INDEX('Player Data'!$G:$G,AL62)/INDEX('Player Data'!$E:$E,AL62)*M62*L62*AM62</f>
        <v/>
      </c>
      <c r="P62" s="5">
        <f>INDEX('Player Data'!$H:$H,AL62)/INDEX('Player Data'!$E:$E,AL62)*M62*L62*AM62</f>
        <v/>
      </c>
      <c r="Q62" s="5">
        <f>INDEX('Player Data'!$I:$I,AL62)/INDEX('Player Data'!$E:$E,AL62)*M62*L62*AM62</f>
        <v/>
      </c>
      <c r="R62" s="5">
        <f>INDEX('Player Data'!$J:$J,AL62)/INDEX('Player Data'!$E:$E,AL62)*M62*L62*AM62</f>
        <v/>
      </c>
      <c r="S62" s="5">
        <f>INDEX('Player Data'!$K:$K,AL62)/INDEX('Player Data'!$E:$E,AL62)*M62*L62*AM62</f>
        <v/>
      </c>
      <c r="T62" s="5">
        <f>INDEX('Player Data'!$L:$L,AL62)/INDEX('Player Data'!$E:$E,AL62)*M62*L62*AM62</f>
        <v/>
      </c>
      <c r="U62" s="7">
        <f>INDEX('Player Data'!$M:$M,AL62)</f>
        <v/>
      </c>
      <c r="V62" s="7">
        <f>INDEX('Player Data'!$N:$N,AL62)</f>
        <v/>
      </c>
      <c r="W62" s="5">
        <f>X62*U62</f>
        <v/>
      </c>
      <c r="X62" s="5">
        <f>INDEX('Player Data'!$O:$O,AL62)/INDEX('Player Data'!$E:$E,AL62)*M62*L62*AM62</f>
        <v/>
      </c>
      <c r="Y62" s="5">
        <f>Z62*V62</f>
        <v/>
      </c>
      <c r="Z62" s="5">
        <f>INDEX('Player Data'!$P:$P,AL62)/INDEX('Player Data'!$E:$E,AL62)*M62*L62*AM62</f>
        <v/>
      </c>
      <c r="AB62" s="3">
        <f>(N62-Pool!$D$2)/Pool!$E$2</f>
        <v/>
      </c>
      <c r="AC62" s="3">
        <f>(O62-Pool!$D$3)/Pool!$E$3</f>
        <v/>
      </c>
      <c r="AD62" s="3">
        <f>(P62-Pool!$D$4)/Pool!$E$4</f>
        <v/>
      </c>
      <c r="AE62" s="3">
        <f>(Q62-Pool!$D$5)/Pool!$E$5</f>
        <v/>
      </c>
      <c r="AF62" s="3">
        <f>(R62-Pool!$D$6)/Pool!$E$6</f>
        <v/>
      </c>
      <c r="AG62" s="3">
        <f>(S62-Pool!$D$7)/Pool!$E$7</f>
        <v/>
      </c>
      <c r="AH62" s="3">
        <f>(AS62-Pool!$D$8)/Pool!$E$8</f>
        <v/>
      </c>
      <c r="AI62" s="3">
        <f>(AT62-Pool!$D$9)/Pool!$E$9</f>
        <v/>
      </c>
      <c r="AJ62" s="3">
        <f>-(T62-Pool!$D$10)/Pool!$E$10</f>
        <v/>
      </c>
      <c r="AL62">
        <f>MATCH(B62,'Player Data'!$A:$A,0)</f>
        <v/>
      </c>
      <c r="AM62" s="3">
        <f>1+IF(Settings!$F$10="ON",IFERROR(VLOOKUP(TRIM(F62),Settings!$D$12:$F$17,3,FALSE),0),0)</f>
        <v/>
      </c>
      <c r="AN62">
        <f>IFERROR(LEFT(C62,FIND(",",C62)-1),C62)</f>
        <v/>
      </c>
      <c r="AO62" s="6">
        <f>X62*(U62-Pool!$B$12)</f>
        <v/>
      </c>
      <c r="AP62" s="6">
        <f>Z62*(V62-Pool!$B$13)</f>
        <v/>
      </c>
      <c r="AQ62" s="3">
        <f>Settings!$B$2*(N62-Pool!$B$2)/Pool!$C$2+Settings!$B$3*(O62-Pool!$B$3)/Pool!$C$3+Settings!$B$4*(P62-Pool!$B$4)/Pool!$C$4+Settings!$B$5*(Q62-Pool!$B$5)/Pool!$C$5+Settings!$B$6*(R62-Pool!$B$6)/Pool!$C$6+Settings!$B$7*(S62-Pool!$B$7)/Pool!$C$7+Settings!$B$8*(AO62-Pool!$B$8)/Pool!$C$8+Settings!$B$9*(AP62-Pool!$B$9)/Pool!$C$9+Settings!$B$10*-(T62-Pool!$B$10)/Pool!$C$10</f>
        <v/>
      </c>
      <c r="AR62">
        <f>IF(RANK(AQ62,$AQ$2:$AQ$266)&lt;=Settings!$F$5,1,0)</f>
        <v/>
      </c>
      <c r="AS62" s="6">
        <f>X62*(U62-Pool!$D$12)</f>
        <v/>
      </c>
      <c r="AT62" s="6">
        <f>Z62*(V62-Pool!$D$13)</f>
        <v/>
      </c>
    </row>
    <row r="63">
      <c r="A63">
        <f>RANK(H63,$H$2:$H$266)</f>
        <v/>
      </c>
      <c r="B63" t="inlineStr">
        <is>
          <t>Immanuel Quickley</t>
        </is>
      </c>
      <c r="C63">
        <f>INDEX('Player Data'!$C:$C,AL63)</f>
        <v/>
      </c>
      <c r="D63">
        <f>SUMPRODUCT(($AN$2:$AN$266=AN63)*($H$2:$H$266&gt;H63))+1</f>
        <v/>
      </c>
      <c r="E63">
        <f>INDEX('Player Data'!$B:$B,AL63)</f>
        <v/>
      </c>
      <c r="F63" s="2" t="inlineStr">
        <is>
          <t>+</t>
        </is>
      </c>
      <c r="G63" s="3">
        <f>Settings!$B$2*AB63+Settings!$B$3*AC63+Settings!$B$4*AD63+Settings!$B$5*AE63+Settings!$B$6*AF63+Settings!$B$7*AG63+Settings!$B$8*AH63+Settings!$B$9*AI63+Settings!$B$10*AJ63</f>
        <v/>
      </c>
      <c r="H63" s="3">
        <f>G63-LARGE($G$2:$G$266,Settings!$F$4)</f>
        <v/>
      </c>
      <c r="I63">
        <f>IF(INDEX('Player Data'!$R:$R,AL63)="","",INDEX('Player Data'!$R:$R,AL63))</f>
        <v/>
      </c>
      <c r="J63" s="4">
        <f>IF(I63="","",I63-A63)</f>
        <v/>
      </c>
      <c r="L63" s="5">
        <f>IF(Settings!$F$7="Yes",INDEX('Minutes &amp; Health'!$O:$O,AL63),Settings!$F$8)</f>
        <v/>
      </c>
      <c r="M63" s="6">
        <f>INDEX('Minutes &amp; Health'!$P:$P,AL63)</f>
        <v/>
      </c>
      <c r="N63" s="5">
        <f>INDEX('Player Data'!$F:$F,AL63)/INDEX('Player Data'!$E:$E,AL63)*M63*L63*AM63</f>
        <v/>
      </c>
      <c r="O63" s="5">
        <f>INDEX('Player Data'!$G:$G,AL63)/INDEX('Player Data'!$E:$E,AL63)*M63*L63*AM63</f>
        <v/>
      </c>
      <c r="P63" s="5">
        <f>INDEX('Player Data'!$H:$H,AL63)/INDEX('Player Data'!$E:$E,AL63)*M63*L63*AM63</f>
        <v/>
      </c>
      <c r="Q63" s="5">
        <f>INDEX('Player Data'!$I:$I,AL63)/INDEX('Player Data'!$E:$E,AL63)*M63*L63*AM63</f>
        <v/>
      </c>
      <c r="R63" s="5">
        <f>INDEX('Player Data'!$J:$J,AL63)/INDEX('Player Data'!$E:$E,AL63)*M63*L63*AM63</f>
        <v/>
      </c>
      <c r="S63" s="5">
        <f>INDEX('Player Data'!$K:$K,AL63)/INDEX('Player Data'!$E:$E,AL63)*M63*L63*AM63</f>
        <v/>
      </c>
      <c r="T63" s="5">
        <f>INDEX('Player Data'!$L:$L,AL63)/INDEX('Player Data'!$E:$E,AL63)*M63*L63*AM63</f>
        <v/>
      </c>
      <c r="U63" s="7">
        <f>INDEX('Player Data'!$M:$M,AL63)</f>
        <v/>
      </c>
      <c r="V63" s="7">
        <f>INDEX('Player Data'!$N:$N,AL63)</f>
        <v/>
      </c>
      <c r="W63" s="5">
        <f>X63*U63</f>
        <v/>
      </c>
      <c r="X63" s="5">
        <f>INDEX('Player Data'!$O:$O,AL63)/INDEX('Player Data'!$E:$E,AL63)*M63*L63*AM63</f>
        <v/>
      </c>
      <c r="Y63" s="5">
        <f>Z63*V63</f>
        <v/>
      </c>
      <c r="Z63" s="5">
        <f>INDEX('Player Data'!$P:$P,AL63)/INDEX('Player Data'!$E:$E,AL63)*M63*L63*AM63</f>
        <v/>
      </c>
      <c r="AB63" s="3">
        <f>(N63-Pool!$D$2)/Pool!$E$2</f>
        <v/>
      </c>
      <c r="AC63" s="3">
        <f>(O63-Pool!$D$3)/Pool!$E$3</f>
        <v/>
      </c>
      <c r="AD63" s="3">
        <f>(P63-Pool!$D$4)/Pool!$E$4</f>
        <v/>
      </c>
      <c r="AE63" s="3">
        <f>(Q63-Pool!$D$5)/Pool!$E$5</f>
        <v/>
      </c>
      <c r="AF63" s="3">
        <f>(R63-Pool!$D$6)/Pool!$E$6</f>
        <v/>
      </c>
      <c r="AG63" s="3">
        <f>(S63-Pool!$D$7)/Pool!$E$7</f>
        <v/>
      </c>
      <c r="AH63" s="3">
        <f>(AS63-Pool!$D$8)/Pool!$E$8</f>
        <v/>
      </c>
      <c r="AI63" s="3">
        <f>(AT63-Pool!$D$9)/Pool!$E$9</f>
        <v/>
      </c>
      <c r="AJ63" s="3">
        <f>-(T63-Pool!$D$10)/Pool!$E$10</f>
        <v/>
      </c>
      <c r="AL63">
        <f>MATCH(B63,'Player Data'!$A:$A,0)</f>
        <v/>
      </c>
      <c r="AM63" s="3">
        <f>1+IF(Settings!$F$10="ON",IFERROR(VLOOKUP(TRIM(F63),Settings!$D$12:$F$17,3,FALSE),0),0)</f>
        <v/>
      </c>
      <c r="AN63">
        <f>IFERROR(LEFT(C63,FIND(",",C63)-1),C63)</f>
        <v/>
      </c>
      <c r="AO63" s="6">
        <f>X63*(U63-Pool!$B$12)</f>
        <v/>
      </c>
      <c r="AP63" s="6">
        <f>Z63*(V63-Pool!$B$13)</f>
        <v/>
      </c>
      <c r="AQ63" s="3">
        <f>Settings!$B$2*(N63-Pool!$B$2)/Pool!$C$2+Settings!$B$3*(O63-Pool!$B$3)/Pool!$C$3+Settings!$B$4*(P63-Pool!$B$4)/Pool!$C$4+Settings!$B$5*(Q63-Pool!$B$5)/Pool!$C$5+Settings!$B$6*(R63-Pool!$B$6)/Pool!$C$6+Settings!$B$7*(S63-Pool!$B$7)/Pool!$C$7+Settings!$B$8*(AO63-Pool!$B$8)/Pool!$C$8+Settings!$B$9*(AP63-Pool!$B$9)/Pool!$C$9+Settings!$B$10*-(T63-Pool!$B$10)/Pool!$C$10</f>
        <v/>
      </c>
      <c r="AR63">
        <f>IF(RANK(AQ63,$AQ$2:$AQ$266)&lt;=Settings!$F$5,1,0)</f>
        <v/>
      </c>
      <c r="AS63" s="6">
        <f>X63*(U63-Pool!$D$12)</f>
        <v/>
      </c>
      <c r="AT63" s="6">
        <f>Z63*(V63-Pool!$D$13)</f>
        <v/>
      </c>
    </row>
    <row r="64">
      <c r="A64">
        <f>RANK(H64,$H$2:$H$266)</f>
        <v/>
      </c>
      <c r="B64" t="inlineStr">
        <is>
          <t>Rudy Gobert</t>
        </is>
      </c>
      <c r="C64">
        <f>INDEX('Player Data'!$C:$C,AL64)</f>
        <v/>
      </c>
      <c r="D64">
        <f>SUMPRODUCT(($AN$2:$AN$266=AN64)*($H$2:$H$266&gt;H64))+1</f>
        <v/>
      </c>
      <c r="E64">
        <f>INDEX('Player Data'!$B:$B,AL64)</f>
        <v/>
      </c>
      <c r="F64" s="2" t="n"/>
      <c r="G64" s="3">
        <f>Settings!$B$2*AB64+Settings!$B$3*AC64+Settings!$B$4*AD64+Settings!$B$5*AE64+Settings!$B$6*AF64+Settings!$B$7*AG64+Settings!$B$8*AH64+Settings!$B$9*AI64+Settings!$B$10*AJ64</f>
        <v/>
      </c>
      <c r="H64" s="3">
        <f>G64-LARGE($G$2:$G$266,Settings!$F$4)</f>
        <v/>
      </c>
      <c r="I64">
        <f>IF(INDEX('Player Data'!$R:$R,AL64)="","",INDEX('Player Data'!$R:$R,AL64))</f>
        <v/>
      </c>
      <c r="J64" s="4">
        <f>IF(I64="","",I64-A64)</f>
        <v/>
      </c>
      <c r="L64" s="5">
        <f>IF(Settings!$F$7="Yes",INDEX('Minutes &amp; Health'!$O:$O,AL64),Settings!$F$8)</f>
        <v/>
      </c>
      <c r="M64" s="6">
        <f>INDEX('Minutes &amp; Health'!$P:$P,AL64)</f>
        <v/>
      </c>
      <c r="N64" s="5">
        <f>INDEX('Player Data'!$F:$F,AL64)/INDEX('Player Data'!$E:$E,AL64)*M64*L64*AM64</f>
        <v/>
      </c>
      <c r="O64" s="5">
        <f>INDEX('Player Data'!$G:$G,AL64)/INDEX('Player Data'!$E:$E,AL64)*M64*L64*AM64</f>
        <v/>
      </c>
      <c r="P64" s="5">
        <f>INDEX('Player Data'!$H:$H,AL64)/INDEX('Player Data'!$E:$E,AL64)*M64*L64*AM64</f>
        <v/>
      </c>
      <c r="Q64" s="5">
        <f>INDEX('Player Data'!$I:$I,AL64)/INDEX('Player Data'!$E:$E,AL64)*M64*L64*AM64</f>
        <v/>
      </c>
      <c r="R64" s="5">
        <f>INDEX('Player Data'!$J:$J,AL64)/INDEX('Player Data'!$E:$E,AL64)*M64*L64*AM64</f>
        <v/>
      </c>
      <c r="S64" s="5">
        <f>INDEX('Player Data'!$K:$K,AL64)/INDEX('Player Data'!$E:$E,AL64)*M64*L64*AM64</f>
        <v/>
      </c>
      <c r="T64" s="5">
        <f>INDEX('Player Data'!$L:$L,AL64)/INDEX('Player Data'!$E:$E,AL64)*M64*L64*AM64</f>
        <v/>
      </c>
      <c r="U64" s="7">
        <f>INDEX('Player Data'!$M:$M,AL64)</f>
        <v/>
      </c>
      <c r="V64" s="7">
        <f>INDEX('Player Data'!$N:$N,AL64)</f>
        <v/>
      </c>
      <c r="W64" s="5">
        <f>X64*U64</f>
        <v/>
      </c>
      <c r="X64" s="5">
        <f>INDEX('Player Data'!$O:$O,AL64)/INDEX('Player Data'!$E:$E,AL64)*M64*L64*AM64</f>
        <v/>
      </c>
      <c r="Y64" s="5">
        <f>Z64*V64</f>
        <v/>
      </c>
      <c r="Z64" s="5">
        <f>INDEX('Player Data'!$P:$P,AL64)/INDEX('Player Data'!$E:$E,AL64)*M64*L64*AM64</f>
        <v/>
      </c>
      <c r="AB64" s="3">
        <f>(N64-Pool!$D$2)/Pool!$E$2</f>
        <v/>
      </c>
      <c r="AC64" s="3">
        <f>(O64-Pool!$D$3)/Pool!$E$3</f>
        <v/>
      </c>
      <c r="AD64" s="3">
        <f>(P64-Pool!$D$4)/Pool!$E$4</f>
        <v/>
      </c>
      <c r="AE64" s="3">
        <f>(Q64-Pool!$D$5)/Pool!$E$5</f>
        <v/>
      </c>
      <c r="AF64" s="3">
        <f>(R64-Pool!$D$6)/Pool!$E$6</f>
        <v/>
      </c>
      <c r="AG64" s="3">
        <f>(S64-Pool!$D$7)/Pool!$E$7</f>
        <v/>
      </c>
      <c r="AH64" s="3">
        <f>(AS64-Pool!$D$8)/Pool!$E$8</f>
        <v/>
      </c>
      <c r="AI64" s="3">
        <f>(AT64-Pool!$D$9)/Pool!$E$9</f>
        <v/>
      </c>
      <c r="AJ64" s="3">
        <f>-(T64-Pool!$D$10)/Pool!$E$10</f>
        <v/>
      </c>
      <c r="AL64">
        <f>MATCH(B64,'Player Data'!$A:$A,0)</f>
        <v/>
      </c>
      <c r="AM64" s="3">
        <f>1+IF(Settings!$F$10="ON",IFERROR(VLOOKUP(TRIM(F64),Settings!$D$12:$F$17,3,FALSE),0),0)</f>
        <v/>
      </c>
      <c r="AN64">
        <f>IFERROR(LEFT(C64,FIND(",",C64)-1),C64)</f>
        <v/>
      </c>
      <c r="AO64" s="6">
        <f>X64*(U64-Pool!$B$12)</f>
        <v/>
      </c>
      <c r="AP64" s="6">
        <f>Z64*(V64-Pool!$B$13)</f>
        <v/>
      </c>
      <c r="AQ64" s="3">
        <f>Settings!$B$2*(N64-Pool!$B$2)/Pool!$C$2+Settings!$B$3*(O64-Pool!$B$3)/Pool!$C$3+Settings!$B$4*(P64-Pool!$B$4)/Pool!$C$4+Settings!$B$5*(Q64-Pool!$B$5)/Pool!$C$5+Settings!$B$6*(R64-Pool!$B$6)/Pool!$C$6+Settings!$B$7*(S64-Pool!$B$7)/Pool!$C$7+Settings!$B$8*(AO64-Pool!$B$8)/Pool!$C$8+Settings!$B$9*(AP64-Pool!$B$9)/Pool!$C$9+Settings!$B$10*-(T64-Pool!$B$10)/Pool!$C$10</f>
        <v/>
      </c>
      <c r="AR64">
        <f>IF(RANK(AQ64,$AQ$2:$AQ$266)&lt;=Settings!$F$5,1,0)</f>
        <v/>
      </c>
      <c r="AS64" s="6">
        <f>X64*(U64-Pool!$D$12)</f>
        <v/>
      </c>
      <c r="AT64" s="6">
        <f>Z64*(V64-Pool!$D$13)</f>
        <v/>
      </c>
    </row>
    <row r="65">
      <c r="A65">
        <f>RANK(H65,$H$2:$H$266)</f>
        <v/>
      </c>
      <c r="B65" t="inlineStr">
        <is>
          <t>Donovan Clingan</t>
        </is>
      </c>
      <c r="C65">
        <f>INDEX('Player Data'!$C:$C,AL65)</f>
        <v/>
      </c>
      <c r="D65">
        <f>SUMPRODUCT(($AN$2:$AN$266=AN65)*($H$2:$H$266&gt;H65))+1</f>
        <v/>
      </c>
      <c r="E65">
        <f>INDEX('Player Data'!$B:$B,AL65)</f>
        <v/>
      </c>
      <c r="F65" s="2" t="n"/>
      <c r="G65" s="3">
        <f>Settings!$B$2*AB65+Settings!$B$3*AC65+Settings!$B$4*AD65+Settings!$B$5*AE65+Settings!$B$6*AF65+Settings!$B$7*AG65+Settings!$B$8*AH65+Settings!$B$9*AI65+Settings!$B$10*AJ65</f>
        <v/>
      </c>
      <c r="H65" s="3">
        <f>G65-LARGE($G$2:$G$266,Settings!$F$4)</f>
        <v/>
      </c>
      <c r="I65">
        <f>IF(INDEX('Player Data'!$R:$R,AL65)="","",INDEX('Player Data'!$R:$R,AL65))</f>
        <v/>
      </c>
      <c r="J65" s="4">
        <f>IF(I65="","",I65-A65)</f>
        <v/>
      </c>
      <c r="L65" s="5">
        <f>IF(Settings!$F$7="Yes",INDEX('Minutes &amp; Health'!$O:$O,AL65),Settings!$F$8)</f>
        <v/>
      </c>
      <c r="M65" s="6">
        <f>INDEX('Minutes &amp; Health'!$P:$P,AL65)</f>
        <v/>
      </c>
      <c r="N65" s="5">
        <f>INDEX('Player Data'!$F:$F,AL65)/INDEX('Player Data'!$E:$E,AL65)*M65*L65*AM65</f>
        <v/>
      </c>
      <c r="O65" s="5">
        <f>INDEX('Player Data'!$G:$G,AL65)/INDEX('Player Data'!$E:$E,AL65)*M65*L65*AM65</f>
        <v/>
      </c>
      <c r="P65" s="5">
        <f>INDEX('Player Data'!$H:$H,AL65)/INDEX('Player Data'!$E:$E,AL65)*M65*L65*AM65</f>
        <v/>
      </c>
      <c r="Q65" s="5">
        <f>INDEX('Player Data'!$I:$I,AL65)/INDEX('Player Data'!$E:$E,AL65)*M65*L65*AM65</f>
        <v/>
      </c>
      <c r="R65" s="5">
        <f>INDEX('Player Data'!$J:$J,AL65)/INDEX('Player Data'!$E:$E,AL65)*M65*L65*AM65</f>
        <v/>
      </c>
      <c r="S65" s="5">
        <f>INDEX('Player Data'!$K:$K,AL65)/INDEX('Player Data'!$E:$E,AL65)*M65*L65*AM65</f>
        <v/>
      </c>
      <c r="T65" s="5">
        <f>INDEX('Player Data'!$L:$L,AL65)/INDEX('Player Data'!$E:$E,AL65)*M65*L65*AM65</f>
        <v/>
      </c>
      <c r="U65" s="7">
        <f>INDEX('Player Data'!$M:$M,AL65)</f>
        <v/>
      </c>
      <c r="V65" s="7">
        <f>INDEX('Player Data'!$N:$N,AL65)</f>
        <v/>
      </c>
      <c r="W65" s="5">
        <f>X65*U65</f>
        <v/>
      </c>
      <c r="X65" s="5">
        <f>INDEX('Player Data'!$O:$O,AL65)/INDEX('Player Data'!$E:$E,AL65)*M65*L65*AM65</f>
        <v/>
      </c>
      <c r="Y65" s="5">
        <f>Z65*V65</f>
        <v/>
      </c>
      <c r="Z65" s="5">
        <f>INDEX('Player Data'!$P:$P,AL65)/INDEX('Player Data'!$E:$E,AL65)*M65*L65*AM65</f>
        <v/>
      </c>
      <c r="AB65" s="3">
        <f>(N65-Pool!$D$2)/Pool!$E$2</f>
        <v/>
      </c>
      <c r="AC65" s="3">
        <f>(O65-Pool!$D$3)/Pool!$E$3</f>
        <v/>
      </c>
      <c r="AD65" s="3">
        <f>(P65-Pool!$D$4)/Pool!$E$4</f>
        <v/>
      </c>
      <c r="AE65" s="3">
        <f>(Q65-Pool!$D$5)/Pool!$E$5</f>
        <v/>
      </c>
      <c r="AF65" s="3">
        <f>(R65-Pool!$D$6)/Pool!$E$6</f>
        <v/>
      </c>
      <c r="AG65" s="3">
        <f>(S65-Pool!$D$7)/Pool!$E$7</f>
        <v/>
      </c>
      <c r="AH65" s="3">
        <f>(AS65-Pool!$D$8)/Pool!$E$8</f>
        <v/>
      </c>
      <c r="AI65" s="3">
        <f>(AT65-Pool!$D$9)/Pool!$E$9</f>
        <v/>
      </c>
      <c r="AJ65" s="3">
        <f>-(T65-Pool!$D$10)/Pool!$E$10</f>
        <v/>
      </c>
      <c r="AL65">
        <f>MATCH(B65,'Player Data'!$A:$A,0)</f>
        <v/>
      </c>
      <c r="AM65" s="3">
        <f>1+IF(Settings!$F$10="ON",IFERROR(VLOOKUP(TRIM(F65),Settings!$D$12:$F$17,3,FALSE),0),0)</f>
        <v/>
      </c>
      <c r="AN65">
        <f>IFERROR(LEFT(C65,FIND(",",C65)-1),C65)</f>
        <v/>
      </c>
      <c r="AO65" s="6">
        <f>X65*(U65-Pool!$B$12)</f>
        <v/>
      </c>
      <c r="AP65" s="6">
        <f>Z65*(V65-Pool!$B$13)</f>
        <v/>
      </c>
      <c r="AQ65" s="3">
        <f>Settings!$B$2*(N65-Pool!$B$2)/Pool!$C$2+Settings!$B$3*(O65-Pool!$B$3)/Pool!$C$3+Settings!$B$4*(P65-Pool!$B$4)/Pool!$C$4+Settings!$B$5*(Q65-Pool!$B$5)/Pool!$C$5+Settings!$B$6*(R65-Pool!$B$6)/Pool!$C$6+Settings!$B$7*(S65-Pool!$B$7)/Pool!$C$7+Settings!$B$8*(AO65-Pool!$B$8)/Pool!$C$8+Settings!$B$9*(AP65-Pool!$B$9)/Pool!$C$9+Settings!$B$10*-(T65-Pool!$B$10)/Pool!$C$10</f>
        <v/>
      </c>
      <c r="AR65">
        <f>IF(RANK(AQ65,$AQ$2:$AQ$266)&lt;=Settings!$F$5,1,0)</f>
        <v/>
      </c>
      <c r="AS65" s="6">
        <f>X65*(U65-Pool!$D$12)</f>
        <v/>
      </c>
      <c r="AT65" s="6">
        <f>Z65*(V65-Pool!$D$13)</f>
        <v/>
      </c>
    </row>
    <row r="66">
      <c r="A66">
        <f>RANK(H66,$H$2:$H$266)</f>
        <v/>
      </c>
      <c r="B66" t="inlineStr">
        <is>
          <t>Darius Acuff Jr.</t>
        </is>
      </c>
      <c r="C66">
        <f>INDEX('Player Data'!$C:$C,AL66)</f>
        <v/>
      </c>
      <c r="D66">
        <f>SUMPRODUCT(($AN$2:$AN$266=AN66)*($H$2:$H$266&gt;H66))+1</f>
        <v/>
      </c>
      <c r="E66">
        <f>INDEX('Player Data'!$B:$B,AL66)</f>
        <v/>
      </c>
      <c r="F66" s="2" t="inlineStr">
        <is>
          <t>+ +</t>
        </is>
      </c>
      <c r="G66" s="3">
        <f>Settings!$B$2*AB66+Settings!$B$3*AC66+Settings!$B$4*AD66+Settings!$B$5*AE66+Settings!$B$6*AF66+Settings!$B$7*AG66+Settings!$B$8*AH66+Settings!$B$9*AI66+Settings!$B$10*AJ66</f>
        <v/>
      </c>
      <c r="H66" s="3">
        <f>G66-LARGE($G$2:$G$266,Settings!$F$4)</f>
        <v/>
      </c>
      <c r="I66">
        <f>IF(INDEX('Player Data'!$R:$R,AL66)="","",INDEX('Player Data'!$R:$R,AL66))</f>
        <v/>
      </c>
      <c r="J66" s="4">
        <f>IF(I66="","",I66-A66)</f>
        <v/>
      </c>
      <c r="L66" s="5">
        <f>IF(Settings!$F$7="Yes",INDEX('Minutes &amp; Health'!$O:$O,AL66),Settings!$F$8)</f>
        <v/>
      </c>
      <c r="M66" s="6">
        <f>INDEX('Minutes &amp; Health'!$P:$P,AL66)</f>
        <v/>
      </c>
      <c r="N66" s="5">
        <f>INDEX('Player Data'!$F:$F,AL66)/INDEX('Player Data'!$E:$E,AL66)*M66*L66*AM66</f>
        <v/>
      </c>
      <c r="O66" s="5">
        <f>INDEX('Player Data'!$G:$G,AL66)/INDEX('Player Data'!$E:$E,AL66)*M66*L66*AM66</f>
        <v/>
      </c>
      <c r="P66" s="5">
        <f>INDEX('Player Data'!$H:$H,AL66)/INDEX('Player Data'!$E:$E,AL66)*M66*L66*AM66</f>
        <v/>
      </c>
      <c r="Q66" s="5">
        <f>INDEX('Player Data'!$I:$I,AL66)/INDEX('Player Data'!$E:$E,AL66)*M66*L66*AM66</f>
        <v/>
      </c>
      <c r="R66" s="5">
        <f>INDEX('Player Data'!$J:$J,AL66)/INDEX('Player Data'!$E:$E,AL66)*M66*L66*AM66</f>
        <v/>
      </c>
      <c r="S66" s="5">
        <f>INDEX('Player Data'!$K:$K,AL66)/INDEX('Player Data'!$E:$E,AL66)*M66*L66*AM66</f>
        <v/>
      </c>
      <c r="T66" s="5">
        <f>INDEX('Player Data'!$L:$L,AL66)/INDEX('Player Data'!$E:$E,AL66)*M66*L66*AM66</f>
        <v/>
      </c>
      <c r="U66" s="7">
        <f>INDEX('Player Data'!$M:$M,AL66)</f>
        <v/>
      </c>
      <c r="V66" s="7">
        <f>INDEX('Player Data'!$N:$N,AL66)</f>
        <v/>
      </c>
      <c r="W66" s="5">
        <f>X66*U66</f>
        <v/>
      </c>
      <c r="X66" s="5">
        <f>INDEX('Player Data'!$O:$O,AL66)/INDEX('Player Data'!$E:$E,AL66)*M66*L66*AM66</f>
        <v/>
      </c>
      <c r="Y66" s="5">
        <f>Z66*V66</f>
        <v/>
      </c>
      <c r="Z66" s="5">
        <f>INDEX('Player Data'!$P:$P,AL66)/INDEX('Player Data'!$E:$E,AL66)*M66*L66*AM66</f>
        <v/>
      </c>
      <c r="AB66" s="3">
        <f>(N66-Pool!$D$2)/Pool!$E$2</f>
        <v/>
      </c>
      <c r="AC66" s="3">
        <f>(O66-Pool!$D$3)/Pool!$E$3</f>
        <v/>
      </c>
      <c r="AD66" s="3">
        <f>(P66-Pool!$D$4)/Pool!$E$4</f>
        <v/>
      </c>
      <c r="AE66" s="3">
        <f>(Q66-Pool!$D$5)/Pool!$E$5</f>
        <v/>
      </c>
      <c r="AF66" s="3">
        <f>(R66-Pool!$D$6)/Pool!$E$6</f>
        <v/>
      </c>
      <c r="AG66" s="3">
        <f>(S66-Pool!$D$7)/Pool!$E$7</f>
        <v/>
      </c>
      <c r="AH66" s="3">
        <f>(AS66-Pool!$D$8)/Pool!$E$8</f>
        <v/>
      </c>
      <c r="AI66" s="3">
        <f>(AT66-Pool!$D$9)/Pool!$E$9</f>
        <v/>
      </c>
      <c r="AJ66" s="3">
        <f>-(T66-Pool!$D$10)/Pool!$E$10</f>
        <v/>
      </c>
      <c r="AL66">
        <f>MATCH(B66,'Player Data'!$A:$A,0)</f>
        <v/>
      </c>
      <c r="AM66" s="3">
        <f>1+IF(Settings!$F$10="ON",IFERROR(VLOOKUP(TRIM(F66),Settings!$D$12:$F$17,3,FALSE),0),0)</f>
        <v/>
      </c>
      <c r="AN66">
        <f>IFERROR(LEFT(C66,FIND(",",C66)-1),C66)</f>
        <v/>
      </c>
      <c r="AO66" s="6">
        <f>X66*(U66-Pool!$B$12)</f>
        <v/>
      </c>
      <c r="AP66" s="6">
        <f>Z66*(V66-Pool!$B$13)</f>
        <v/>
      </c>
      <c r="AQ66" s="3">
        <f>Settings!$B$2*(N66-Pool!$B$2)/Pool!$C$2+Settings!$B$3*(O66-Pool!$B$3)/Pool!$C$3+Settings!$B$4*(P66-Pool!$B$4)/Pool!$C$4+Settings!$B$5*(Q66-Pool!$B$5)/Pool!$C$5+Settings!$B$6*(R66-Pool!$B$6)/Pool!$C$6+Settings!$B$7*(S66-Pool!$B$7)/Pool!$C$7+Settings!$B$8*(AO66-Pool!$B$8)/Pool!$C$8+Settings!$B$9*(AP66-Pool!$B$9)/Pool!$C$9+Settings!$B$10*-(T66-Pool!$B$10)/Pool!$C$10</f>
        <v/>
      </c>
      <c r="AR66">
        <f>IF(RANK(AQ66,$AQ$2:$AQ$266)&lt;=Settings!$F$5,1,0)</f>
        <v/>
      </c>
      <c r="AS66" s="6">
        <f>X66*(U66-Pool!$D$12)</f>
        <v/>
      </c>
      <c r="AT66" s="6">
        <f>Z66*(V66-Pool!$D$13)</f>
        <v/>
      </c>
    </row>
    <row r="67">
      <c r="A67">
        <f>RANK(H67,$H$2:$H$266)</f>
        <v/>
      </c>
      <c r="B67" t="inlineStr">
        <is>
          <t>Nickeil Alexander-Walker</t>
        </is>
      </c>
      <c r="C67">
        <f>INDEX('Player Data'!$C:$C,AL67)</f>
        <v/>
      </c>
      <c r="D67">
        <f>SUMPRODUCT(($AN$2:$AN$266=AN67)*($H$2:$H$266&gt;H67))+1</f>
        <v/>
      </c>
      <c r="E67">
        <f>INDEX('Player Data'!$B:$B,AL67)</f>
        <v/>
      </c>
      <c r="F67" s="2" t="n"/>
      <c r="G67" s="3">
        <f>Settings!$B$2*AB67+Settings!$B$3*AC67+Settings!$B$4*AD67+Settings!$B$5*AE67+Settings!$B$6*AF67+Settings!$B$7*AG67+Settings!$B$8*AH67+Settings!$B$9*AI67+Settings!$B$10*AJ67</f>
        <v/>
      </c>
      <c r="H67" s="3">
        <f>G67-LARGE($G$2:$G$266,Settings!$F$4)</f>
        <v/>
      </c>
      <c r="I67">
        <f>IF(INDEX('Player Data'!$R:$R,AL67)="","",INDEX('Player Data'!$R:$R,AL67))</f>
        <v/>
      </c>
      <c r="J67" s="4">
        <f>IF(I67="","",I67-A67)</f>
        <v/>
      </c>
      <c r="L67" s="5">
        <f>IF(Settings!$F$7="Yes",INDEX('Minutes &amp; Health'!$O:$O,AL67),Settings!$F$8)</f>
        <v/>
      </c>
      <c r="M67" s="6">
        <f>INDEX('Minutes &amp; Health'!$P:$P,AL67)</f>
        <v/>
      </c>
      <c r="N67" s="5">
        <f>INDEX('Player Data'!$F:$F,AL67)/INDEX('Player Data'!$E:$E,AL67)*M67*L67*AM67</f>
        <v/>
      </c>
      <c r="O67" s="5">
        <f>INDEX('Player Data'!$G:$G,AL67)/INDEX('Player Data'!$E:$E,AL67)*M67*L67*AM67</f>
        <v/>
      </c>
      <c r="P67" s="5">
        <f>INDEX('Player Data'!$H:$H,AL67)/INDEX('Player Data'!$E:$E,AL67)*M67*L67*AM67</f>
        <v/>
      </c>
      <c r="Q67" s="5">
        <f>INDEX('Player Data'!$I:$I,AL67)/INDEX('Player Data'!$E:$E,AL67)*M67*L67*AM67</f>
        <v/>
      </c>
      <c r="R67" s="5">
        <f>INDEX('Player Data'!$J:$J,AL67)/INDEX('Player Data'!$E:$E,AL67)*M67*L67*AM67</f>
        <v/>
      </c>
      <c r="S67" s="5">
        <f>INDEX('Player Data'!$K:$K,AL67)/INDEX('Player Data'!$E:$E,AL67)*M67*L67*AM67</f>
        <v/>
      </c>
      <c r="T67" s="5">
        <f>INDEX('Player Data'!$L:$L,AL67)/INDEX('Player Data'!$E:$E,AL67)*M67*L67*AM67</f>
        <v/>
      </c>
      <c r="U67" s="7">
        <f>INDEX('Player Data'!$M:$M,AL67)</f>
        <v/>
      </c>
      <c r="V67" s="7">
        <f>INDEX('Player Data'!$N:$N,AL67)</f>
        <v/>
      </c>
      <c r="W67" s="5">
        <f>X67*U67</f>
        <v/>
      </c>
      <c r="X67" s="5">
        <f>INDEX('Player Data'!$O:$O,AL67)/INDEX('Player Data'!$E:$E,AL67)*M67*L67*AM67</f>
        <v/>
      </c>
      <c r="Y67" s="5">
        <f>Z67*V67</f>
        <v/>
      </c>
      <c r="Z67" s="5">
        <f>INDEX('Player Data'!$P:$P,AL67)/INDEX('Player Data'!$E:$E,AL67)*M67*L67*AM67</f>
        <v/>
      </c>
      <c r="AB67" s="3">
        <f>(N67-Pool!$D$2)/Pool!$E$2</f>
        <v/>
      </c>
      <c r="AC67" s="3">
        <f>(O67-Pool!$D$3)/Pool!$E$3</f>
        <v/>
      </c>
      <c r="AD67" s="3">
        <f>(P67-Pool!$D$4)/Pool!$E$4</f>
        <v/>
      </c>
      <c r="AE67" s="3">
        <f>(Q67-Pool!$D$5)/Pool!$E$5</f>
        <v/>
      </c>
      <c r="AF67" s="3">
        <f>(R67-Pool!$D$6)/Pool!$E$6</f>
        <v/>
      </c>
      <c r="AG67" s="3">
        <f>(S67-Pool!$D$7)/Pool!$E$7</f>
        <v/>
      </c>
      <c r="AH67" s="3">
        <f>(AS67-Pool!$D$8)/Pool!$E$8</f>
        <v/>
      </c>
      <c r="AI67" s="3">
        <f>(AT67-Pool!$D$9)/Pool!$E$9</f>
        <v/>
      </c>
      <c r="AJ67" s="3">
        <f>-(T67-Pool!$D$10)/Pool!$E$10</f>
        <v/>
      </c>
      <c r="AL67">
        <f>MATCH(B67,'Player Data'!$A:$A,0)</f>
        <v/>
      </c>
      <c r="AM67" s="3">
        <f>1+IF(Settings!$F$10="ON",IFERROR(VLOOKUP(TRIM(F67),Settings!$D$12:$F$17,3,FALSE),0),0)</f>
        <v/>
      </c>
      <c r="AN67">
        <f>IFERROR(LEFT(C67,FIND(",",C67)-1),C67)</f>
        <v/>
      </c>
      <c r="AO67" s="6">
        <f>X67*(U67-Pool!$B$12)</f>
        <v/>
      </c>
      <c r="AP67" s="6">
        <f>Z67*(V67-Pool!$B$13)</f>
        <v/>
      </c>
      <c r="AQ67" s="3">
        <f>Settings!$B$2*(N67-Pool!$B$2)/Pool!$C$2+Settings!$B$3*(O67-Pool!$B$3)/Pool!$C$3+Settings!$B$4*(P67-Pool!$B$4)/Pool!$C$4+Settings!$B$5*(Q67-Pool!$B$5)/Pool!$C$5+Settings!$B$6*(R67-Pool!$B$6)/Pool!$C$6+Settings!$B$7*(S67-Pool!$B$7)/Pool!$C$7+Settings!$B$8*(AO67-Pool!$B$8)/Pool!$C$8+Settings!$B$9*(AP67-Pool!$B$9)/Pool!$C$9+Settings!$B$10*-(T67-Pool!$B$10)/Pool!$C$10</f>
        <v/>
      </c>
      <c r="AR67">
        <f>IF(RANK(AQ67,$AQ$2:$AQ$266)&lt;=Settings!$F$5,1,0)</f>
        <v/>
      </c>
      <c r="AS67" s="6">
        <f>X67*(U67-Pool!$D$12)</f>
        <v/>
      </c>
      <c r="AT67" s="6">
        <f>Z67*(V67-Pool!$D$13)</f>
        <v/>
      </c>
    </row>
    <row r="68">
      <c r="A68">
        <f>RANK(H68,$H$2:$H$266)</f>
        <v/>
      </c>
      <c r="B68" t="inlineStr">
        <is>
          <t>Naz Reid</t>
        </is>
      </c>
      <c r="C68">
        <f>INDEX('Player Data'!$C:$C,AL68)</f>
        <v/>
      </c>
      <c r="D68">
        <f>SUMPRODUCT(($AN$2:$AN$266=AN68)*($H$2:$H$266&gt;H68))+1</f>
        <v/>
      </c>
      <c r="E68">
        <f>INDEX('Player Data'!$B:$B,AL68)</f>
        <v/>
      </c>
      <c r="F68" s="2" t="n"/>
      <c r="G68" s="3">
        <f>Settings!$B$2*AB68+Settings!$B$3*AC68+Settings!$B$4*AD68+Settings!$B$5*AE68+Settings!$B$6*AF68+Settings!$B$7*AG68+Settings!$B$8*AH68+Settings!$B$9*AI68+Settings!$B$10*AJ68</f>
        <v/>
      </c>
      <c r="H68" s="3">
        <f>G68-LARGE($G$2:$G$266,Settings!$F$4)</f>
        <v/>
      </c>
      <c r="I68">
        <f>IF(INDEX('Player Data'!$R:$R,AL68)="","",INDEX('Player Data'!$R:$R,AL68))</f>
        <v/>
      </c>
      <c r="J68" s="4">
        <f>IF(I68="","",I68-A68)</f>
        <v/>
      </c>
      <c r="L68" s="5">
        <f>IF(Settings!$F$7="Yes",INDEX('Minutes &amp; Health'!$O:$O,AL68),Settings!$F$8)</f>
        <v/>
      </c>
      <c r="M68" s="6">
        <f>INDEX('Minutes &amp; Health'!$P:$P,AL68)</f>
        <v/>
      </c>
      <c r="N68" s="5">
        <f>INDEX('Player Data'!$F:$F,AL68)/INDEX('Player Data'!$E:$E,AL68)*M68*L68*AM68</f>
        <v/>
      </c>
      <c r="O68" s="5">
        <f>INDEX('Player Data'!$G:$G,AL68)/INDEX('Player Data'!$E:$E,AL68)*M68*L68*AM68</f>
        <v/>
      </c>
      <c r="P68" s="5">
        <f>INDEX('Player Data'!$H:$H,AL68)/INDEX('Player Data'!$E:$E,AL68)*M68*L68*AM68</f>
        <v/>
      </c>
      <c r="Q68" s="5">
        <f>INDEX('Player Data'!$I:$I,AL68)/INDEX('Player Data'!$E:$E,AL68)*M68*L68*AM68</f>
        <v/>
      </c>
      <c r="R68" s="5">
        <f>INDEX('Player Data'!$J:$J,AL68)/INDEX('Player Data'!$E:$E,AL68)*M68*L68*AM68</f>
        <v/>
      </c>
      <c r="S68" s="5">
        <f>INDEX('Player Data'!$K:$K,AL68)/INDEX('Player Data'!$E:$E,AL68)*M68*L68*AM68</f>
        <v/>
      </c>
      <c r="T68" s="5">
        <f>INDEX('Player Data'!$L:$L,AL68)/INDEX('Player Data'!$E:$E,AL68)*M68*L68*AM68</f>
        <v/>
      </c>
      <c r="U68" s="7">
        <f>INDEX('Player Data'!$M:$M,AL68)</f>
        <v/>
      </c>
      <c r="V68" s="7">
        <f>INDEX('Player Data'!$N:$N,AL68)</f>
        <v/>
      </c>
      <c r="W68" s="5">
        <f>X68*U68</f>
        <v/>
      </c>
      <c r="X68" s="5">
        <f>INDEX('Player Data'!$O:$O,AL68)/INDEX('Player Data'!$E:$E,AL68)*M68*L68*AM68</f>
        <v/>
      </c>
      <c r="Y68" s="5">
        <f>Z68*V68</f>
        <v/>
      </c>
      <c r="Z68" s="5">
        <f>INDEX('Player Data'!$P:$P,AL68)/INDEX('Player Data'!$E:$E,AL68)*M68*L68*AM68</f>
        <v/>
      </c>
      <c r="AB68" s="3">
        <f>(N68-Pool!$D$2)/Pool!$E$2</f>
        <v/>
      </c>
      <c r="AC68" s="3">
        <f>(O68-Pool!$D$3)/Pool!$E$3</f>
        <v/>
      </c>
      <c r="AD68" s="3">
        <f>(P68-Pool!$D$4)/Pool!$E$4</f>
        <v/>
      </c>
      <c r="AE68" s="3">
        <f>(Q68-Pool!$D$5)/Pool!$E$5</f>
        <v/>
      </c>
      <c r="AF68" s="3">
        <f>(R68-Pool!$D$6)/Pool!$E$6</f>
        <v/>
      </c>
      <c r="AG68" s="3">
        <f>(S68-Pool!$D$7)/Pool!$E$7</f>
        <v/>
      </c>
      <c r="AH68" s="3">
        <f>(AS68-Pool!$D$8)/Pool!$E$8</f>
        <v/>
      </c>
      <c r="AI68" s="3">
        <f>(AT68-Pool!$D$9)/Pool!$E$9</f>
        <v/>
      </c>
      <c r="AJ68" s="3">
        <f>-(T68-Pool!$D$10)/Pool!$E$10</f>
        <v/>
      </c>
      <c r="AL68">
        <f>MATCH(B68,'Player Data'!$A:$A,0)</f>
        <v/>
      </c>
      <c r="AM68" s="3">
        <f>1+IF(Settings!$F$10="ON",IFERROR(VLOOKUP(TRIM(F68),Settings!$D$12:$F$17,3,FALSE),0),0)</f>
        <v/>
      </c>
      <c r="AN68">
        <f>IFERROR(LEFT(C68,FIND(",",C68)-1),C68)</f>
        <v/>
      </c>
      <c r="AO68" s="6">
        <f>X68*(U68-Pool!$B$12)</f>
        <v/>
      </c>
      <c r="AP68" s="6">
        <f>Z68*(V68-Pool!$B$13)</f>
        <v/>
      </c>
      <c r="AQ68" s="3">
        <f>Settings!$B$2*(N68-Pool!$B$2)/Pool!$C$2+Settings!$B$3*(O68-Pool!$B$3)/Pool!$C$3+Settings!$B$4*(P68-Pool!$B$4)/Pool!$C$4+Settings!$B$5*(Q68-Pool!$B$5)/Pool!$C$5+Settings!$B$6*(R68-Pool!$B$6)/Pool!$C$6+Settings!$B$7*(S68-Pool!$B$7)/Pool!$C$7+Settings!$B$8*(AO68-Pool!$B$8)/Pool!$C$8+Settings!$B$9*(AP68-Pool!$B$9)/Pool!$C$9+Settings!$B$10*-(T68-Pool!$B$10)/Pool!$C$10</f>
        <v/>
      </c>
      <c r="AR68">
        <f>IF(RANK(AQ68,$AQ$2:$AQ$266)&lt;=Settings!$F$5,1,0)</f>
        <v/>
      </c>
      <c r="AS68" s="6">
        <f>X68*(U68-Pool!$D$12)</f>
        <v/>
      </c>
      <c r="AT68" s="6">
        <f>Z68*(V68-Pool!$D$13)</f>
        <v/>
      </c>
    </row>
    <row r="69">
      <c r="A69">
        <f>RANK(H69,$H$2:$H$266)</f>
        <v/>
      </c>
      <c r="B69" t="inlineStr">
        <is>
          <t>VJ Edgecombe</t>
        </is>
      </c>
      <c r="C69">
        <f>INDEX('Player Data'!$C:$C,AL69)</f>
        <v/>
      </c>
      <c r="D69">
        <f>SUMPRODUCT(($AN$2:$AN$266=AN69)*($H$2:$H$266&gt;H69))+1</f>
        <v/>
      </c>
      <c r="E69">
        <f>INDEX('Player Data'!$B:$B,AL69)</f>
        <v/>
      </c>
      <c r="F69" s="2" t="inlineStr">
        <is>
          <t>-</t>
        </is>
      </c>
      <c r="G69" s="3">
        <f>Settings!$B$2*AB69+Settings!$B$3*AC69+Settings!$B$4*AD69+Settings!$B$5*AE69+Settings!$B$6*AF69+Settings!$B$7*AG69+Settings!$B$8*AH69+Settings!$B$9*AI69+Settings!$B$10*AJ69</f>
        <v/>
      </c>
      <c r="H69" s="3">
        <f>G69-LARGE($G$2:$G$266,Settings!$F$4)</f>
        <v/>
      </c>
      <c r="I69">
        <f>IF(INDEX('Player Data'!$R:$R,AL69)="","",INDEX('Player Data'!$R:$R,AL69))</f>
        <v/>
      </c>
      <c r="J69" s="4">
        <f>IF(I69="","",I69-A69)</f>
        <v/>
      </c>
      <c r="L69" s="5">
        <f>IF(Settings!$F$7="Yes",INDEX('Minutes &amp; Health'!$O:$O,AL69),Settings!$F$8)</f>
        <v/>
      </c>
      <c r="M69" s="6">
        <f>INDEX('Minutes &amp; Health'!$P:$P,AL69)</f>
        <v/>
      </c>
      <c r="N69" s="5">
        <f>INDEX('Player Data'!$F:$F,AL69)/INDEX('Player Data'!$E:$E,AL69)*M69*L69*AM69</f>
        <v/>
      </c>
      <c r="O69" s="5">
        <f>INDEX('Player Data'!$G:$G,AL69)/INDEX('Player Data'!$E:$E,AL69)*M69*L69*AM69</f>
        <v/>
      </c>
      <c r="P69" s="5">
        <f>INDEX('Player Data'!$H:$H,AL69)/INDEX('Player Data'!$E:$E,AL69)*M69*L69*AM69</f>
        <v/>
      </c>
      <c r="Q69" s="5">
        <f>INDEX('Player Data'!$I:$I,AL69)/INDEX('Player Data'!$E:$E,AL69)*M69*L69*AM69</f>
        <v/>
      </c>
      <c r="R69" s="5">
        <f>INDEX('Player Data'!$J:$J,AL69)/INDEX('Player Data'!$E:$E,AL69)*M69*L69*AM69</f>
        <v/>
      </c>
      <c r="S69" s="5">
        <f>INDEX('Player Data'!$K:$K,AL69)/INDEX('Player Data'!$E:$E,AL69)*M69*L69*AM69</f>
        <v/>
      </c>
      <c r="T69" s="5">
        <f>INDEX('Player Data'!$L:$L,AL69)/INDEX('Player Data'!$E:$E,AL69)*M69*L69*AM69</f>
        <v/>
      </c>
      <c r="U69" s="7">
        <f>INDEX('Player Data'!$M:$M,AL69)</f>
        <v/>
      </c>
      <c r="V69" s="7">
        <f>INDEX('Player Data'!$N:$N,AL69)</f>
        <v/>
      </c>
      <c r="W69" s="5">
        <f>X69*U69</f>
        <v/>
      </c>
      <c r="X69" s="5">
        <f>INDEX('Player Data'!$O:$O,AL69)/INDEX('Player Data'!$E:$E,AL69)*M69*L69*AM69</f>
        <v/>
      </c>
      <c r="Y69" s="5">
        <f>Z69*V69</f>
        <v/>
      </c>
      <c r="Z69" s="5">
        <f>INDEX('Player Data'!$P:$P,AL69)/INDEX('Player Data'!$E:$E,AL69)*M69*L69*AM69</f>
        <v/>
      </c>
      <c r="AB69" s="3">
        <f>(N69-Pool!$D$2)/Pool!$E$2</f>
        <v/>
      </c>
      <c r="AC69" s="3">
        <f>(O69-Pool!$D$3)/Pool!$E$3</f>
        <v/>
      </c>
      <c r="AD69" s="3">
        <f>(P69-Pool!$D$4)/Pool!$E$4</f>
        <v/>
      </c>
      <c r="AE69" s="3">
        <f>(Q69-Pool!$D$5)/Pool!$E$5</f>
        <v/>
      </c>
      <c r="AF69" s="3">
        <f>(R69-Pool!$D$6)/Pool!$E$6</f>
        <v/>
      </c>
      <c r="AG69" s="3">
        <f>(S69-Pool!$D$7)/Pool!$E$7</f>
        <v/>
      </c>
      <c r="AH69" s="3">
        <f>(AS69-Pool!$D$8)/Pool!$E$8</f>
        <v/>
      </c>
      <c r="AI69" s="3">
        <f>(AT69-Pool!$D$9)/Pool!$E$9</f>
        <v/>
      </c>
      <c r="AJ69" s="3">
        <f>-(T69-Pool!$D$10)/Pool!$E$10</f>
        <v/>
      </c>
      <c r="AL69">
        <f>MATCH(B69,'Player Data'!$A:$A,0)</f>
        <v/>
      </c>
      <c r="AM69" s="3">
        <f>1+IF(Settings!$F$10="ON",IFERROR(VLOOKUP(TRIM(F69),Settings!$D$12:$F$17,3,FALSE),0),0)</f>
        <v/>
      </c>
      <c r="AN69">
        <f>IFERROR(LEFT(C69,FIND(",",C69)-1),C69)</f>
        <v/>
      </c>
      <c r="AO69" s="6">
        <f>X69*(U69-Pool!$B$12)</f>
        <v/>
      </c>
      <c r="AP69" s="6">
        <f>Z69*(V69-Pool!$B$13)</f>
        <v/>
      </c>
      <c r="AQ69" s="3">
        <f>Settings!$B$2*(N69-Pool!$B$2)/Pool!$C$2+Settings!$B$3*(O69-Pool!$B$3)/Pool!$C$3+Settings!$B$4*(P69-Pool!$B$4)/Pool!$C$4+Settings!$B$5*(Q69-Pool!$B$5)/Pool!$C$5+Settings!$B$6*(R69-Pool!$B$6)/Pool!$C$6+Settings!$B$7*(S69-Pool!$B$7)/Pool!$C$7+Settings!$B$8*(AO69-Pool!$B$8)/Pool!$C$8+Settings!$B$9*(AP69-Pool!$B$9)/Pool!$C$9+Settings!$B$10*-(T69-Pool!$B$10)/Pool!$C$10</f>
        <v/>
      </c>
      <c r="AR69">
        <f>IF(RANK(AQ69,$AQ$2:$AQ$266)&lt;=Settings!$F$5,1,0)</f>
        <v/>
      </c>
      <c r="AS69" s="6">
        <f>X69*(U69-Pool!$D$12)</f>
        <v/>
      </c>
      <c r="AT69" s="6">
        <f>Z69*(V69-Pool!$D$13)</f>
        <v/>
      </c>
    </row>
    <row r="70">
      <c r="A70">
        <f>RANK(H70,$H$2:$H$266)</f>
        <v/>
      </c>
      <c r="B70" t="inlineStr">
        <is>
          <t>AJ Dybantsa</t>
        </is>
      </c>
      <c r="C70">
        <f>INDEX('Player Data'!$C:$C,AL70)</f>
        <v/>
      </c>
      <c r="D70">
        <f>SUMPRODUCT(($AN$2:$AN$266=AN70)*($H$2:$H$266&gt;H70))+1</f>
        <v/>
      </c>
      <c r="E70">
        <f>INDEX('Player Data'!$B:$B,AL70)</f>
        <v/>
      </c>
      <c r="F70" s="2" t="n"/>
      <c r="G70" s="3">
        <f>Settings!$B$2*AB70+Settings!$B$3*AC70+Settings!$B$4*AD70+Settings!$B$5*AE70+Settings!$B$6*AF70+Settings!$B$7*AG70+Settings!$B$8*AH70+Settings!$B$9*AI70+Settings!$B$10*AJ70</f>
        <v/>
      </c>
      <c r="H70" s="3">
        <f>G70-LARGE($G$2:$G$266,Settings!$F$4)</f>
        <v/>
      </c>
      <c r="I70">
        <f>IF(INDEX('Player Data'!$R:$R,AL70)="","",INDEX('Player Data'!$R:$R,AL70))</f>
        <v/>
      </c>
      <c r="J70" s="4">
        <f>IF(I70="","",I70-A70)</f>
        <v/>
      </c>
      <c r="L70" s="5">
        <f>IF(Settings!$F$7="Yes",INDEX('Minutes &amp; Health'!$O:$O,AL70),Settings!$F$8)</f>
        <v/>
      </c>
      <c r="M70" s="6">
        <f>INDEX('Minutes &amp; Health'!$P:$P,AL70)</f>
        <v/>
      </c>
      <c r="N70" s="5">
        <f>INDEX('Player Data'!$F:$F,AL70)/INDEX('Player Data'!$E:$E,AL70)*M70*L70*AM70</f>
        <v/>
      </c>
      <c r="O70" s="5">
        <f>INDEX('Player Data'!$G:$G,AL70)/INDEX('Player Data'!$E:$E,AL70)*M70*L70*AM70</f>
        <v/>
      </c>
      <c r="P70" s="5">
        <f>INDEX('Player Data'!$H:$H,AL70)/INDEX('Player Data'!$E:$E,AL70)*M70*L70*AM70</f>
        <v/>
      </c>
      <c r="Q70" s="5">
        <f>INDEX('Player Data'!$I:$I,AL70)/INDEX('Player Data'!$E:$E,AL70)*M70*L70*AM70</f>
        <v/>
      </c>
      <c r="R70" s="5">
        <f>INDEX('Player Data'!$J:$J,AL70)/INDEX('Player Data'!$E:$E,AL70)*M70*L70*AM70</f>
        <v/>
      </c>
      <c r="S70" s="5">
        <f>INDEX('Player Data'!$K:$K,AL70)/INDEX('Player Data'!$E:$E,AL70)*M70*L70*AM70</f>
        <v/>
      </c>
      <c r="T70" s="5">
        <f>INDEX('Player Data'!$L:$L,AL70)/INDEX('Player Data'!$E:$E,AL70)*M70*L70*AM70</f>
        <v/>
      </c>
      <c r="U70" s="7">
        <f>INDEX('Player Data'!$M:$M,AL70)</f>
        <v/>
      </c>
      <c r="V70" s="7">
        <f>INDEX('Player Data'!$N:$N,AL70)</f>
        <v/>
      </c>
      <c r="W70" s="5">
        <f>X70*U70</f>
        <v/>
      </c>
      <c r="X70" s="5">
        <f>INDEX('Player Data'!$O:$O,AL70)/INDEX('Player Data'!$E:$E,AL70)*M70*L70*AM70</f>
        <v/>
      </c>
      <c r="Y70" s="5">
        <f>Z70*V70</f>
        <v/>
      </c>
      <c r="Z70" s="5">
        <f>INDEX('Player Data'!$P:$P,AL70)/INDEX('Player Data'!$E:$E,AL70)*M70*L70*AM70</f>
        <v/>
      </c>
      <c r="AB70" s="3">
        <f>(N70-Pool!$D$2)/Pool!$E$2</f>
        <v/>
      </c>
      <c r="AC70" s="3">
        <f>(O70-Pool!$D$3)/Pool!$E$3</f>
        <v/>
      </c>
      <c r="AD70" s="3">
        <f>(P70-Pool!$D$4)/Pool!$E$4</f>
        <v/>
      </c>
      <c r="AE70" s="3">
        <f>(Q70-Pool!$D$5)/Pool!$E$5</f>
        <v/>
      </c>
      <c r="AF70" s="3">
        <f>(R70-Pool!$D$6)/Pool!$E$6</f>
        <v/>
      </c>
      <c r="AG70" s="3">
        <f>(S70-Pool!$D$7)/Pool!$E$7</f>
        <v/>
      </c>
      <c r="AH70" s="3">
        <f>(AS70-Pool!$D$8)/Pool!$E$8</f>
        <v/>
      </c>
      <c r="AI70" s="3">
        <f>(AT70-Pool!$D$9)/Pool!$E$9</f>
        <v/>
      </c>
      <c r="AJ70" s="3">
        <f>-(T70-Pool!$D$10)/Pool!$E$10</f>
        <v/>
      </c>
      <c r="AL70">
        <f>MATCH(B70,'Player Data'!$A:$A,0)</f>
        <v/>
      </c>
      <c r="AM70" s="3">
        <f>1+IF(Settings!$F$10="ON",IFERROR(VLOOKUP(TRIM(F70),Settings!$D$12:$F$17,3,FALSE),0),0)</f>
        <v/>
      </c>
      <c r="AN70">
        <f>IFERROR(LEFT(C70,FIND(",",C70)-1),C70)</f>
        <v/>
      </c>
      <c r="AO70" s="6">
        <f>X70*(U70-Pool!$B$12)</f>
        <v/>
      </c>
      <c r="AP70" s="6">
        <f>Z70*(V70-Pool!$B$13)</f>
        <v/>
      </c>
      <c r="AQ70" s="3">
        <f>Settings!$B$2*(N70-Pool!$B$2)/Pool!$C$2+Settings!$B$3*(O70-Pool!$B$3)/Pool!$C$3+Settings!$B$4*(P70-Pool!$B$4)/Pool!$C$4+Settings!$B$5*(Q70-Pool!$B$5)/Pool!$C$5+Settings!$B$6*(R70-Pool!$B$6)/Pool!$C$6+Settings!$B$7*(S70-Pool!$B$7)/Pool!$C$7+Settings!$B$8*(AO70-Pool!$B$8)/Pool!$C$8+Settings!$B$9*(AP70-Pool!$B$9)/Pool!$C$9+Settings!$B$10*-(T70-Pool!$B$10)/Pool!$C$10</f>
        <v/>
      </c>
      <c r="AR70">
        <f>IF(RANK(AQ70,$AQ$2:$AQ$266)&lt;=Settings!$F$5,1,0)</f>
        <v/>
      </c>
      <c r="AS70" s="6">
        <f>X70*(U70-Pool!$D$12)</f>
        <v/>
      </c>
      <c r="AT70" s="6">
        <f>Z70*(V70-Pool!$D$13)</f>
        <v/>
      </c>
    </row>
    <row r="71">
      <c r="A71">
        <f>RANK(H71,$H$2:$H$266)</f>
        <v/>
      </c>
      <c r="B71" t="inlineStr">
        <is>
          <t>Jaren Jackson Jr.</t>
        </is>
      </c>
      <c r="C71">
        <f>INDEX('Player Data'!$C:$C,AL71)</f>
        <v/>
      </c>
      <c r="D71">
        <f>SUMPRODUCT(($AN$2:$AN$266=AN71)*($H$2:$H$266&gt;H71))+1</f>
        <v/>
      </c>
      <c r="E71">
        <f>INDEX('Player Data'!$B:$B,AL71)</f>
        <v/>
      </c>
      <c r="F71" s="2" t="n"/>
      <c r="G71" s="3">
        <f>Settings!$B$2*AB71+Settings!$B$3*AC71+Settings!$B$4*AD71+Settings!$B$5*AE71+Settings!$B$6*AF71+Settings!$B$7*AG71+Settings!$B$8*AH71+Settings!$B$9*AI71+Settings!$B$10*AJ71</f>
        <v/>
      </c>
      <c r="H71" s="3">
        <f>G71-LARGE($G$2:$G$266,Settings!$F$4)</f>
        <v/>
      </c>
      <c r="I71">
        <f>IF(INDEX('Player Data'!$R:$R,AL71)="","",INDEX('Player Data'!$R:$R,AL71))</f>
        <v/>
      </c>
      <c r="J71" s="4">
        <f>IF(I71="","",I71-A71)</f>
        <v/>
      </c>
      <c r="L71" s="5">
        <f>IF(Settings!$F$7="Yes",INDEX('Minutes &amp; Health'!$O:$O,AL71),Settings!$F$8)</f>
        <v/>
      </c>
      <c r="M71" s="6">
        <f>INDEX('Minutes &amp; Health'!$P:$P,AL71)</f>
        <v/>
      </c>
      <c r="N71" s="5">
        <f>INDEX('Player Data'!$F:$F,AL71)/INDEX('Player Data'!$E:$E,AL71)*M71*L71*AM71</f>
        <v/>
      </c>
      <c r="O71" s="5">
        <f>INDEX('Player Data'!$G:$G,AL71)/INDEX('Player Data'!$E:$E,AL71)*M71*L71*AM71</f>
        <v/>
      </c>
      <c r="P71" s="5">
        <f>INDEX('Player Data'!$H:$H,AL71)/INDEX('Player Data'!$E:$E,AL71)*M71*L71*AM71</f>
        <v/>
      </c>
      <c r="Q71" s="5">
        <f>INDEX('Player Data'!$I:$I,AL71)/INDEX('Player Data'!$E:$E,AL71)*M71*L71*AM71</f>
        <v/>
      </c>
      <c r="R71" s="5">
        <f>INDEX('Player Data'!$J:$J,AL71)/INDEX('Player Data'!$E:$E,AL71)*M71*L71*AM71</f>
        <v/>
      </c>
      <c r="S71" s="5">
        <f>INDEX('Player Data'!$K:$K,AL71)/INDEX('Player Data'!$E:$E,AL71)*M71*L71*AM71</f>
        <v/>
      </c>
      <c r="T71" s="5">
        <f>INDEX('Player Data'!$L:$L,AL71)/INDEX('Player Data'!$E:$E,AL71)*M71*L71*AM71</f>
        <v/>
      </c>
      <c r="U71" s="7">
        <f>INDEX('Player Data'!$M:$M,AL71)</f>
        <v/>
      </c>
      <c r="V71" s="7">
        <f>INDEX('Player Data'!$N:$N,AL71)</f>
        <v/>
      </c>
      <c r="W71" s="5">
        <f>X71*U71</f>
        <v/>
      </c>
      <c r="X71" s="5">
        <f>INDEX('Player Data'!$O:$O,AL71)/INDEX('Player Data'!$E:$E,AL71)*M71*L71*AM71</f>
        <v/>
      </c>
      <c r="Y71" s="5">
        <f>Z71*V71</f>
        <v/>
      </c>
      <c r="Z71" s="5">
        <f>INDEX('Player Data'!$P:$P,AL71)/INDEX('Player Data'!$E:$E,AL71)*M71*L71*AM71</f>
        <v/>
      </c>
      <c r="AB71" s="3">
        <f>(N71-Pool!$D$2)/Pool!$E$2</f>
        <v/>
      </c>
      <c r="AC71" s="3">
        <f>(O71-Pool!$D$3)/Pool!$E$3</f>
        <v/>
      </c>
      <c r="AD71" s="3">
        <f>(P71-Pool!$D$4)/Pool!$E$4</f>
        <v/>
      </c>
      <c r="AE71" s="3">
        <f>(Q71-Pool!$D$5)/Pool!$E$5</f>
        <v/>
      </c>
      <c r="AF71" s="3">
        <f>(R71-Pool!$D$6)/Pool!$E$6</f>
        <v/>
      </c>
      <c r="AG71" s="3">
        <f>(S71-Pool!$D$7)/Pool!$E$7</f>
        <v/>
      </c>
      <c r="AH71" s="3">
        <f>(AS71-Pool!$D$8)/Pool!$E$8</f>
        <v/>
      </c>
      <c r="AI71" s="3">
        <f>(AT71-Pool!$D$9)/Pool!$E$9</f>
        <v/>
      </c>
      <c r="AJ71" s="3">
        <f>-(T71-Pool!$D$10)/Pool!$E$10</f>
        <v/>
      </c>
      <c r="AL71">
        <f>MATCH(B71,'Player Data'!$A:$A,0)</f>
        <v/>
      </c>
      <c r="AM71" s="3">
        <f>1+IF(Settings!$F$10="ON",IFERROR(VLOOKUP(TRIM(F71),Settings!$D$12:$F$17,3,FALSE),0),0)</f>
        <v/>
      </c>
      <c r="AN71">
        <f>IFERROR(LEFT(C71,FIND(",",C71)-1),C71)</f>
        <v/>
      </c>
      <c r="AO71" s="6">
        <f>X71*(U71-Pool!$B$12)</f>
        <v/>
      </c>
      <c r="AP71" s="6">
        <f>Z71*(V71-Pool!$B$13)</f>
        <v/>
      </c>
      <c r="AQ71" s="3">
        <f>Settings!$B$2*(N71-Pool!$B$2)/Pool!$C$2+Settings!$B$3*(O71-Pool!$B$3)/Pool!$C$3+Settings!$B$4*(P71-Pool!$B$4)/Pool!$C$4+Settings!$B$5*(Q71-Pool!$B$5)/Pool!$C$5+Settings!$B$6*(R71-Pool!$B$6)/Pool!$C$6+Settings!$B$7*(S71-Pool!$B$7)/Pool!$C$7+Settings!$B$8*(AO71-Pool!$B$8)/Pool!$C$8+Settings!$B$9*(AP71-Pool!$B$9)/Pool!$C$9+Settings!$B$10*-(T71-Pool!$B$10)/Pool!$C$10</f>
        <v/>
      </c>
      <c r="AR71">
        <f>IF(RANK(AQ71,$AQ$2:$AQ$266)&lt;=Settings!$F$5,1,0)</f>
        <v/>
      </c>
      <c r="AS71" s="6">
        <f>X71*(U71-Pool!$D$12)</f>
        <v/>
      </c>
      <c r="AT71" s="6">
        <f>Z71*(V71-Pool!$D$13)</f>
        <v/>
      </c>
    </row>
    <row r="72">
      <c r="A72">
        <f>RANK(H72,$H$2:$H$266)</f>
        <v/>
      </c>
      <c r="B72" t="inlineStr">
        <is>
          <t>Paul George</t>
        </is>
      </c>
      <c r="C72">
        <f>INDEX('Player Data'!$C:$C,AL72)</f>
        <v/>
      </c>
      <c r="D72">
        <f>SUMPRODUCT(($AN$2:$AN$266=AN72)*($H$2:$H$266&gt;H72))+1</f>
        <v/>
      </c>
      <c r="E72">
        <f>INDEX('Player Data'!$B:$B,AL72)</f>
        <v/>
      </c>
      <c r="F72" s="2" t="n"/>
      <c r="G72" s="3">
        <f>Settings!$B$2*AB72+Settings!$B$3*AC72+Settings!$B$4*AD72+Settings!$B$5*AE72+Settings!$B$6*AF72+Settings!$B$7*AG72+Settings!$B$8*AH72+Settings!$B$9*AI72+Settings!$B$10*AJ72</f>
        <v/>
      </c>
      <c r="H72" s="3">
        <f>G72-LARGE($G$2:$G$266,Settings!$F$4)</f>
        <v/>
      </c>
      <c r="I72">
        <f>IF(INDEX('Player Data'!$R:$R,AL72)="","",INDEX('Player Data'!$R:$R,AL72))</f>
        <v/>
      </c>
      <c r="J72" s="4">
        <f>IF(I72="","",I72-A72)</f>
        <v/>
      </c>
      <c r="L72" s="5">
        <f>IF(Settings!$F$7="Yes",INDEX('Minutes &amp; Health'!$O:$O,AL72),Settings!$F$8)</f>
        <v/>
      </c>
      <c r="M72" s="6">
        <f>INDEX('Minutes &amp; Health'!$P:$P,AL72)</f>
        <v/>
      </c>
      <c r="N72" s="5">
        <f>INDEX('Player Data'!$F:$F,AL72)/INDEX('Player Data'!$E:$E,AL72)*M72*L72*AM72</f>
        <v/>
      </c>
      <c r="O72" s="5">
        <f>INDEX('Player Data'!$G:$G,AL72)/INDEX('Player Data'!$E:$E,AL72)*M72*L72*AM72</f>
        <v/>
      </c>
      <c r="P72" s="5">
        <f>INDEX('Player Data'!$H:$H,AL72)/INDEX('Player Data'!$E:$E,AL72)*M72*L72*AM72</f>
        <v/>
      </c>
      <c r="Q72" s="5">
        <f>INDEX('Player Data'!$I:$I,AL72)/INDEX('Player Data'!$E:$E,AL72)*M72*L72*AM72</f>
        <v/>
      </c>
      <c r="R72" s="5">
        <f>INDEX('Player Data'!$J:$J,AL72)/INDEX('Player Data'!$E:$E,AL72)*M72*L72*AM72</f>
        <v/>
      </c>
      <c r="S72" s="5">
        <f>INDEX('Player Data'!$K:$K,AL72)/INDEX('Player Data'!$E:$E,AL72)*M72*L72*AM72</f>
        <v/>
      </c>
      <c r="T72" s="5">
        <f>INDEX('Player Data'!$L:$L,AL72)/INDEX('Player Data'!$E:$E,AL72)*M72*L72*AM72</f>
        <v/>
      </c>
      <c r="U72" s="7">
        <f>INDEX('Player Data'!$M:$M,AL72)</f>
        <v/>
      </c>
      <c r="V72" s="7">
        <f>INDEX('Player Data'!$N:$N,AL72)</f>
        <v/>
      </c>
      <c r="W72" s="5">
        <f>X72*U72</f>
        <v/>
      </c>
      <c r="X72" s="5">
        <f>INDEX('Player Data'!$O:$O,AL72)/INDEX('Player Data'!$E:$E,AL72)*M72*L72*AM72</f>
        <v/>
      </c>
      <c r="Y72" s="5">
        <f>Z72*V72</f>
        <v/>
      </c>
      <c r="Z72" s="5">
        <f>INDEX('Player Data'!$P:$P,AL72)/INDEX('Player Data'!$E:$E,AL72)*M72*L72*AM72</f>
        <v/>
      </c>
      <c r="AB72" s="3">
        <f>(N72-Pool!$D$2)/Pool!$E$2</f>
        <v/>
      </c>
      <c r="AC72" s="3">
        <f>(O72-Pool!$D$3)/Pool!$E$3</f>
        <v/>
      </c>
      <c r="AD72" s="3">
        <f>(P72-Pool!$D$4)/Pool!$E$4</f>
        <v/>
      </c>
      <c r="AE72" s="3">
        <f>(Q72-Pool!$D$5)/Pool!$E$5</f>
        <v/>
      </c>
      <c r="AF72" s="3">
        <f>(R72-Pool!$D$6)/Pool!$E$6</f>
        <v/>
      </c>
      <c r="AG72" s="3">
        <f>(S72-Pool!$D$7)/Pool!$E$7</f>
        <v/>
      </c>
      <c r="AH72" s="3">
        <f>(AS72-Pool!$D$8)/Pool!$E$8</f>
        <v/>
      </c>
      <c r="AI72" s="3">
        <f>(AT72-Pool!$D$9)/Pool!$E$9</f>
        <v/>
      </c>
      <c r="AJ72" s="3">
        <f>-(T72-Pool!$D$10)/Pool!$E$10</f>
        <v/>
      </c>
      <c r="AL72">
        <f>MATCH(B72,'Player Data'!$A:$A,0)</f>
        <v/>
      </c>
      <c r="AM72" s="3">
        <f>1+IF(Settings!$F$10="ON",IFERROR(VLOOKUP(TRIM(F72),Settings!$D$12:$F$17,3,FALSE),0),0)</f>
        <v/>
      </c>
      <c r="AN72">
        <f>IFERROR(LEFT(C72,FIND(",",C72)-1),C72)</f>
        <v/>
      </c>
      <c r="AO72" s="6">
        <f>X72*(U72-Pool!$B$12)</f>
        <v/>
      </c>
      <c r="AP72" s="6">
        <f>Z72*(V72-Pool!$B$13)</f>
        <v/>
      </c>
      <c r="AQ72" s="3">
        <f>Settings!$B$2*(N72-Pool!$B$2)/Pool!$C$2+Settings!$B$3*(O72-Pool!$B$3)/Pool!$C$3+Settings!$B$4*(P72-Pool!$B$4)/Pool!$C$4+Settings!$B$5*(Q72-Pool!$B$5)/Pool!$C$5+Settings!$B$6*(R72-Pool!$B$6)/Pool!$C$6+Settings!$B$7*(S72-Pool!$B$7)/Pool!$C$7+Settings!$B$8*(AO72-Pool!$B$8)/Pool!$C$8+Settings!$B$9*(AP72-Pool!$B$9)/Pool!$C$9+Settings!$B$10*-(T72-Pool!$B$10)/Pool!$C$10</f>
        <v/>
      </c>
      <c r="AR72">
        <f>IF(RANK(AQ72,$AQ$2:$AQ$266)&lt;=Settings!$F$5,1,0)</f>
        <v/>
      </c>
      <c r="AS72" s="6">
        <f>X72*(U72-Pool!$D$12)</f>
        <v/>
      </c>
      <c r="AT72" s="6">
        <f>Z72*(V72-Pool!$D$13)</f>
        <v/>
      </c>
    </row>
    <row r="73">
      <c r="A73">
        <f>RANK(H73,$H$2:$H$266)</f>
        <v/>
      </c>
      <c r="B73" t="inlineStr">
        <is>
          <t>Cason Wallace</t>
        </is>
      </c>
      <c r="C73">
        <f>INDEX('Player Data'!$C:$C,AL73)</f>
        <v/>
      </c>
      <c r="D73">
        <f>SUMPRODUCT(($AN$2:$AN$266=AN73)*($H$2:$H$266&gt;H73))+1</f>
        <v/>
      </c>
      <c r="E73">
        <f>INDEX('Player Data'!$B:$B,AL73)</f>
        <v/>
      </c>
      <c r="F73" s="2" t="inlineStr">
        <is>
          <t>+</t>
        </is>
      </c>
      <c r="G73" s="3">
        <f>Settings!$B$2*AB73+Settings!$B$3*AC73+Settings!$B$4*AD73+Settings!$B$5*AE73+Settings!$B$6*AF73+Settings!$B$7*AG73+Settings!$B$8*AH73+Settings!$B$9*AI73+Settings!$B$10*AJ73</f>
        <v/>
      </c>
      <c r="H73" s="3">
        <f>G73-LARGE($G$2:$G$266,Settings!$F$4)</f>
        <v/>
      </c>
      <c r="I73">
        <f>IF(INDEX('Player Data'!$R:$R,AL73)="","",INDEX('Player Data'!$R:$R,AL73))</f>
        <v/>
      </c>
      <c r="J73" s="4">
        <f>IF(I73="","",I73-A73)</f>
        <v/>
      </c>
      <c r="L73" s="5">
        <f>IF(Settings!$F$7="Yes",INDEX('Minutes &amp; Health'!$O:$O,AL73),Settings!$F$8)</f>
        <v/>
      </c>
      <c r="M73" s="6">
        <f>INDEX('Minutes &amp; Health'!$P:$P,AL73)</f>
        <v/>
      </c>
      <c r="N73" s="5">
        <f>INDEX('Player Data'!$F:$F,AL73)/INDEX('Player Data'!$E:$E,AL73)*M73*L73*AM73</f>
        <v/>
      </c>
      <c r="O73" s="5">
        <f>INDEX('Player Data'!$G:$G,AL73)/INDEX('Player Data'!$E:$E,AL73)*M73*L73*AM73</f>
        <v/>
      </c>
      <c r="P73" s="5">
        <f>INDEX('Player Data'!$H:$H,AL73)/INDEX('Player Data'!$E:$E,AL73)*M73*L73*AM73</f>
        <v/>
      </c>
      <c r="Q73" s="5">
        <f>INDEX('Player Data'!$I:$I,AL73)/INDEX('Player Data'!$E:$E,AL73)*M73*L73*AM73</f>
        <v/>
      </c>
      <c r="R73" s="5">
        <f>INDEX('Player Data'!$J:$J,AL73)/INDEX('Player Data'!$E:$E,AL73)*M73*L73*AM73</f>
        <v/>
      </c>
      <c r="S73" s="5">
        <f>INDEX('Player Data'!$K:$K,AL73)/INDEX('Player Data'!$E:$E,AL73)*M73*L73*AM73</f>
        <v/>
      </c>
      <c r="T73" s="5">
        <f>INDEX('Player Data'!$L:$L,AL73)/INDEX('Player Data'!$E:$E,AL73)*M73*L73*AM73</f>
        <v/>
      </c>
      <c r="U73" s="7">
        <f>INDEX('Player Data'!$M:$M,AL73)</f>
        <v/>
      </c>
      <c r="V73" s="7">
        <f>INDEX('Player Data'!$N:$N,AL73)</f>
        <v/>
      </c>
      <c r="W73" s="5">
        <f>X73*U73</f>
        <v/>
      </c>
      <c r="X73" s="5">
        <f>INDEX('Player Data'!$O:$O,AL73)/INDEX('Player Data'!$E:$E,AL73)*M73*L73*AM73</f>
        <v/>
      </c>
      <c r="Y73" s="5">
        <f>Z73*V73</f>
        <v/>
      </c>
      <c r="Z73" s="5">
        <f>INDEX('Player Data'!$P:$P,AL73)/INDEX('Player Data'!$E:$E,AL73)*M73*L73*AM73</f>
        <v/>
      </c>
      <c r="AB73" s="3">
        <f>(N73-Pool!$D$2)/Pool!$E$2</f>
        <v/>
      </c>
      <c r="AC73" s="3">
        <f>(O73-Pool!$D$3)/Pool!$E$3</f>
        <v/>
      </c>
      <c r="AD73" s="3">
        <f>(P73-Pool!$D$4)/Pool!$E$4</f>
        <v/>
      </c>
      <c r="AE73" s="3">
        <f>(Q73-Pool!$D$5)/Pool!$E$5</f>
        <v/>
      </c>
      <c r="AF73" s="3">
        <f>(R73-Pool!$D$6)/Pool!$E$6</f>
        <v/>
      </c>
      <c r="AG73" s="3">
        <f>(S73-Pool!$D$7)/Pool!$E$7</f>
        <v/>
      </c>
      <c r="AH73" s="3">
        <f>(AS73-Pool!$D$8)/Pool!$E$8</f>
        <v/>
      </c>
      <c r="AI73" s="3">
        <f>(AT73-Pool!$D$9)/Pool!$E$9</f>
        <v/>
      </c>
      <c r="AJ73" s="3">
        <f>-(T73-Pool!$D$10)/Pool!$E$10</f>
        <v/>
      </c>
      <c r="AL73">
        <f>MATCH(B73,'Player Data'!$A:$A,0)</f>
        <v/>
      </c>
      <c r="AM73" s="3">
        <f>1+IF(Settings!$F$10="ON",IFERROR(VLOOKUP(TRIM(F73),Settings!$D$12:$F$17,3,FALSE),0),0)</f>
        <v/>
      </c>
      <c r="AN73">
        <f>IFERROR(LEFT(C73,FIND(",",C73)-1),C73)</f>
        <v/>
      </c>
      <c r="AO73" s="6">
        <f>X73*(U73-Pool!$B$12)</f>
        <v/>
      </c>
      <c r="AP73" s="6">
        <f>Z73*(V73-Pool!$B$13)</f>
        <v/>
      </c>
      <c r="AQ73" s="3">
        <f>Settings!$B$2*(N73-Pool!$B$2)/Pool!$C$2+Settings!$B$3*(O73-Pool!$B$3)/Pool!$C$3+Settings!$B$4*(P73-Pool!$B$4)/Pool!$C$4+Settings!$B$5*(Q73-Pool!$B$5)/Pool!$C$5+Settings!$B$6*(R73-Pool!$B$6)/Pool!$C$6+Settings!$B$7*(S73-Pool!$B$7)/Pool!$C$7+Settings!$B$8*(AO73-Pool!$B$8)/Pool!$C$8+Settings!$B$9*(AP73-Pool!$B$9)/Pool!$C$9+Settings!$B$10*-(T73-Pool!$B$10)/Pool!$C$10</f>
        <v/>
      </c>
      <c r="AR73">
        <f>IF(RANK(AQ73,$AQ$2:$AQ$266)&lt;=Settings!$F$5,1,0)</f>
        <v/>
      </c>
      <c r="AS73" s="6">
        <f>X73*(U73-Pool!$D$12)</f>
        <v/>
      </c>
      <c r="AT73" s="6">
        <f>Z73*(V73-Pool!$D$13)</f>
        <v/>
      </c>
    </row>
    <row r="74">
      <c r="A74">
        <f>RANK(H74,$H$2:$H$266)</f>
        <v/>
      </c>
      <c r="B74" t="inlineStr">
        <is>
          <t>Deni Avdija</t>
        </is>
      </c>
      <c r="C74">
        <f>INDEX('Player Data'!$C:$C,AL74)</f>
        <v/>
      </c>
      <c r="D74">
        <f>SUMPRODUCT(($AN$2:$AN$266=AN74)*($H$2:$H$266&gt;H74))+1</f>
        <v/>
      </c>
      <c r="E74">
        <f>INDEX('Player Data'!$B:$B,AL74)</f>
        <v/>
      </c>
      <c r="F74" s="2" t="n"/>
      <c r="G74" s="3">
        <f>Settings!$B$2*AB74+Settings!$B$3*AC74+Settings!$B$4*AD74+Settings!$B$5*AE74+Settings!$B$6*AF74+Settings!$B$7*AG74+Settings!$B$8*AH74+Settings!$B$9*AI74+Settings!$B$10*AJ74</f>
        <v/>
      </c>
      <c r="H74" s="3">
        <f>G74-LARGE($G$2:$G$266,Settings!$F$4)</f>
        <v/>
      </c>
      <c r="I74">
        <f>IF(INDEX('Player Data'!$R:$R,AL74)="","",INDEX('Player Data'!$R:$R,AL74))</f>
        <v/>
      </c>
      <c r="J74" s="4">
        <f>IF(I74="","",I74-A74)</f>
        <v/>
      </c>
      <c r="L74" s="5">
        <f>IF(Settings!$F$7="Yes",INDEX('Minutes &amp; Health'!$O:$O,AL74),Settings!$F$8)</f>
        <v/>
      </c>
      <c r="M74" s="6">
        <f>INDEX('Minutes &amp; Health'!$P:$P,AL74)</f>
        <v/>
      </c>
      <c r="N74" s="5">
        <f>INDEX('Player Data'!$F:$F,AL74)/INDEX('Player Data'!$E:$E,AL74)*M74*L74*AM74</f>
        <v/>
      </c>
      <c r="O74" s="5">
        <f>INDEX('Player Data'!$G:$G,AL74)/INDEX('Player Data'!$E:$E,AL74)*M74*L74*AM74</f>
        <v/>
      </c>
      <c r="P74" s="5">
        <f>INDEX('Player Data'!$H:$H,AL74)/INDEX('Player Data'!$E:$E,AL74)*M74*L74*AM74</f>
        <v/>
      </c>
      <c r="Q74" s="5">
        <f>INDEX('Player Data'!$I:$I,AL74)/INDEX('Player Data'!$E:$E,AL74)*M74*L74*AM74</f>
        <v/>
      </c>
      <c r="R74" s="5">
        <f>INDEX('Player Data'!$J:$J,AL74)/INDEX('Player Data'!$E:$E,AL74)*M74*L74*AM74</f>
        <v/>
      </c>
      <c r="S74" s="5">
        <f>INDEX('Player Data'!$K:$K,AL74)/INDEX('Player Data'!$E:$E,AL74)*M74*L74*AM74</f>
        <v/>
      </c>
      <c r="T74" s="5">
        <f>INDEX('Player Data'!$L:$L,AL74)/INDEX('Player Data'!$E:$E,AL74)*M74*L74*AM74</f>
        <v/>
      </c>
      <c r="U74" s="7">
        <f>INDEX('Player Data'!$M:$M,AL74)</f>
        <v/>
      </c>
      <c r="V74" s="7">
        <f>INDEX('Player Data'!$N:$N,AL74)</f>
        <v/>
      </c>
      <c r="W74" s="5">
        <f>X74*U74</f>
        <v/>
      </c>
      <c r="X74" s="5">
        <f>INDEX('Player Data'!$O:$O,AL74)/INDEX('Player Data'!$E:$E,AL74)*M74*L74*AM74</f>
        <v/>
      </c>
      <c r="Y74" s="5">
        <f>Z74*V74</f>
        <v/>
      </c>
      <c r="Z74" s="5">
        <f>INDEX('Player Data'!$P:$P,AL74)/INDEX('Player Data'!$E:$E,AL74)*M74*L74*AM74</f>
        <v/>
      </c>
      <c r="AB74" s="3">
        <f>(N74-Pool!$D$2)/Pool!$E$2</f>
        <v/>
      </c>
      <c r="AC74" s="3">
        <f>(O74-Pool!$D$3)/Pool!$E$3</f>
        <v/>
      </c>
      <c r="AD74" s="3">
        <f>(P74-Pool!$D$4)/Pool!$E$4</f>
        <v/>
      </c>
      <c r="AE74" s="3">
        <f>(Q74-Pool!$D$5)/Pool!$E$5</f>
        <v/>
      </c>
      <c r="AF74" s="3">
        <f>(R74-Pool!$D$6)/Pool!$E$6</f>
        <v/>
      </c>
      <c r="AG74" s="3">
        <f>(S74-Pool!$D$7)/Pool!$E$7</f>
        <v/>
      </c>
      <c r="AH74" s="3">
        <f>(AS74-Pool!$D$8)/Pool!$E$8</f>
        <v/>
      </c>
      <c r="AI74" s="3">
        <f>(AT74-Pool!$D$9)/Pool!$E$9</f>
        <v/>
      </c>
      <c r="AJ74" s="3">
        <f>-(T74-Pool!$D$10)/Pool!$E$10</f>
        <v/>
      </c>
      <c r="AL74">
        <f>MATCH(B74,'Player Data'!$A:$A,0)</f>
        <v/>
      </c>
      <c r="AM74" s="3">
        <f>1+IF(Settings!$F$10="ON",IFERROR(VLOOKUP(TRIM(F74),Settings!$D$12:$F$17,3,FALSE),0),0)</f>
        <v/>
      </c>
      <c r="AN74">
        <f>IFERROR(LEFT(C74,FIND(",",C74)-1),C74)</f>
        <v/>
      </c>
      <c r="AO74" s="6">
        <f>X74*(U74-Pool!$B$12)</f>
        <v/>
      </c>
      <c r="AP74" s="6">
        <f>Z74*(V74-Pool!$B$13)</f>
        <v/>
      </c>
      <c r="AQ74" s="3">
        <f>Settings!$B$2*(N74-Pool!$B$2)/Pool!$C$2+Settings!$B$3*(O74-Pool!$B$3)/Pool!$C$3+Settings!$B$4*(P74-Pool!$B$4)/Pool!$C$4+Settings!$B$5*(Q74-Pool!$B$5)/Pool!$C$5+Settings!$B$6*(R74-Pool!$B$6)/Pool!$C$6+Settings!$B$7*(S74-Pool!$B$7)/Pool!$C$7+Settings!$B$8*(AO74-Pool!$B$8)/Pool!$C$8+Settings!$B$9*(AP74-Pool!$B$9)/Pool!$C$9+Settings!$B$10*-(T74-Pool!$B$10)/Pool!$C$10</f>
        <v/>
      </c>
      <c r="AR74">
        <f>IF(RANK(AQ74,$AQ$2:$AQ$266)&lt;=Settings!$F$5,1,0)</f>
        <v/>
      </c>
      <c r="AS74" s="6">
        <f>X74*(U74-Pool!$D$12)</f>
        <v/>
      </c>
      <c r="AT74" s="6">
        <f>Z74*(V74-Pool!$D$13)</f>
        <v/>
      </c>
    </row>
    <row r="75">
      <c r="A75">
        <f>RANK(H75,$H$2:$H$266)</f>
        <v/>
      </c>
      <c r="B75" t="inlineStr">
        <is>
          <t>Keegan Murray</t>
        </is>
      </c>
      <c r="C75">
        <f>INDEX('Player Data'!$C:$C,AL75)</f>
        <v/>
      </c>
      <c r="D75">
        <f>SUMPRODUCT(($AN$2:$AN$266=AN75)*($H$2:$H$266&gt;H75))+1</f>
        <v/>
      </c>
      <c r="E75">
        <f>INDEX('Player Data'!$B:$B,AL75)</f>
        <v/>
      </c>
      <c r="F75" s="2" t="n"/>
      <c r="G75" s="3">
        <f>Settings!$B$2*AB75+Settings!$B$3*AC75+Settings!$B$4*AD75+Settings!$B$5*AE75+Settings!$B$6*AF75+Settings!$B$7*AG75+Settings!$B$8*AH75+Settings!$B$9*AI75+Settings!$B$10*AJ75</f>
        <v/>
      </c>
      <c r="H75" s="3">
        <f>G75-LARGE($G$2:$G$266,Settings!$F$4)</f>
        <v/>
      </c>
      <c r="I75">
        <f>IF(INDEX('Player Data'!$R:$R,AL75)="","",INDEX('Player Data'!$R:$R,AL75))</f>
        <v/>
      </c>
      <c r="J75" s="4">
        <f>IF(I75="","",I75-A75)</f>
        <v/>
      </c>
      <c r="L75" s="5">
        <f>IF(Settings!$F$7="Yes",INDEX('Minutes &amp; Health'!$O:$O,AL75),Settings!$F$8)</f>
        <v/>
      </c>
      <c r="M75" s="6">
        <f>INDEX('Minutes &amp; Health'!$P:$P,AL75)</f>
        <v/>
      </c>
      <c r="N75" s="5">
        <f>INDEX('Player Data'!$F:$F,AL75)/INDEX('Player Data'!$E:$E,AL75)*M75*L75*AM75</f>
        <v/>
      </c>
      <c r="O75" s="5">
        <f>INDEX('Player Data'!$G:$G,AL75)/INDEX('Player Data'!$E:$E,AL75)*M75*L75*AM75</f>
        <v/>
      </c>
      <c r="P75" s="5">
        <f>INDEX('Player Data'!$H:$H,AL75)/INDEX('Player Data'!$E:$E,AL75)*M75*L75*AM75</f>
        <v/>
      </c>
      <c r="Q75" s="5">
        <f>INDEX('Player Data'!$I:$I,AL75)/INDEX('Player Data'!$E:$E,AL75)*M75*L75*AM75</f>
        <v/>
      </c>
      <c r="R75" s="5">
        <f>INDEX('Player Data'!$J:$J,AL75)/INDEX('Player Data'!$E:$E,AL75)*M75*L75*AM75</f>
        <v/>
      </c>
      <c r="S75" s="5">
        <f>INDEX('Player Data'!$K:$K,AL75)/INDEX('Player Data'!$E:$E,AL75)*M75*L75*AM75</f>
        <v/>
      </c>
      <c r="T75" s="5">
        <f>INDEX('Player Data'!$L:$L,AL75)/INDEX('Player Data'!$E:$E,AL75)*M75*L75*AM75</f>
        <v/>
      </c>
      <c r="U75" s="7">
        <f>INDEX('Player Data'!$M:$M,AL75)</f>
        <v/>
      </c>
      <c r="V75" s="7">
        <f>INDEX('Player Data'!$N:$N,AL75)</f>
        <v/>
      </c>
      <c r="W75" s="5">
        <f>X75*U75</f>
        <v/>
      </c>
      <c r="X75" s="5">
        <f>INDEX('Player Data'!$O:$O,AL75)/INDEX('Player Data'!$E:$E,AL75)*M75*L75*AM75</f>
        <v/>
      </c>
      <c r="Y75" s="5">
        <f>Z75*V75</f>
        <v/>
      </c>
      <c r="Z75" s="5">
        <f>INDEX('Player Data'!$P:$P,AL75)/INDEX('Player Data'!$E:$E,AL75)*M75*L75*AM75</f>
        <v/>
      </c>
      <c r="AB75" s="3">
        <f>(N75-Pool!$D$2)/Pool!$E$2</f>
        <v/>
      </c>
      <c r="AC75" s="3">
        <f>(O75-Pool!$D$3)/Pool!$E$3</f>
        <v/>
      </c>
      <c r="AD75" s="3">
        <f>(P75-Pool!$D$4)/Pool!$E$4</f>
        <v/>
      </c>
      <c r="AE75" s="3">
        <f>(Q75-Pool!$D$5)/Pool!$E$5</f>
        <v/>
      </c>
      <c r="AF75" s="3">
        <f>(R75-Pool!$D$6)/Pool!$E$6</f>
        <v/>
      </c>
      <c r="AG75" s="3">
        <f>(S75-Pool!$D$7)/Pool!$E$7</f>
        <v/>
      </c>
      <c r="AH75" s="3">
        <f>(AS75-Pool!$D$8)/Pool!$E$8</f>
        <v/>
      </c>
      <c r="AI75" s="3">
        <f>(AT75-Pool!$D$9)/Pool!$E$9</f>
        <v/>
      </c>
      <c r="AJ75" s="3">
        <f>-(T75-Pool!$D$10)/Pool!$E$10</f>
        <v/>
      </c>
      <c r="AL75">
        <f>MATCH(B75,'Player Data'!$A:$A,0)</f>
        <v/>
      </c>
      <c r="AM75" s="3">
        <f>1+IF(Settings!$F$10="ON",IFERROR(VLOOKUP(TRIM(F75),Settings!$D$12:$F$17,3,FALSE),0),0)</f>
        <v/>
      </c>
      <c r="AN75">
        <f>IFERROR(LEFT(C75,FIND(",",C75)-1),C75)</f>
        <v/>
      </c>
      <c r="AO75" s="6">
        <f>X75*(U75-Pool!$B$12)</f>
        <v/>
      </c>
      <c r="AP75" s="6">
        <f>Z75*(V75-Pool!$B$13)</f>
        <v/>
      </c>
      <c r="AQ75" s="3">
        <f>Settings!$B$2*(N75-Pool!$B$2)/Pool!$C$2+Settings!$B$3*(O75-Pool!$B$3)/Pool!$C$3+Settings!$B$4*(P75-Pool!$B$4)/Pool!$C$4+Settings!$B$5*(Q75-Pool!$B$5)/Pool!$C$5+Settings!$B$6*(R75-Pool!$B$6)/Pool!$C$6+Settings!$B$7*(S75-Pool!$B$7)/Pool!$C$7+Settings!$B$8*(AO75-Pool!$B$8)/Pool!$C$8+Settings!$B$9*(AP75-Pool!$B$9)/Pool!$C$9+Settings!$B$10*-(T75-Pool!$B$10)/Pool!$C$10</f>
        <v/>
      </c>
      <c r="AR75">
        <f>IF(RANK(AQ75,$AQ$2:$AQ$266)&lt;=Settings!$F$5,1,0)</f>
        <v/>
      </c>
      <c r="AS75" s="6">
        <f>X75*(U75-Pool!$D$12)</f>
        <v/>
      </c>
      <c r="AT75" s="6">
        <f>Z75*(V75-Pool!$D$13)</f>
        <v/>
      </c>
    </row>
    <row r="76">
      <c r="A76">
        <f>RANK(H76,$H$2:$H$266)</f>
        <v/>
      </c>
      <c r="B76" t="inlineStr">
        <is>
          <t>Tobias Harris</t>
        </is>
      </c>
      <c r="C76">
        <f>INDEX('Player Data'!$C:$C,AL76)</f>
        <v/>
      </c>
      <c r="D76">
        <f>SUMPRODUCT(($AN$2:$AN$266=AN76)*($H$2:$H$266&gt;H76))+1</f>
        <v/>
      </c>
      <c r="E76">
        <f>INDEX('Player Data'!$B:$B,AL76)</f>
        <v/>
      </c>
      <c r="F76" s="2" t="n"/>
      <c r="G76" s="3">
        <f>Settings!$B$2*AB76+Settings!$B$3*AC76+Settings!$B$4*AD76+Settings!$B$5*AE76+Settings!$B$6*AF76+Settings!$B$7*AG76+Settings!$B$8*AH76+Settings!$B$9*AI76+Settings!$B$10*AJ76</f>
        <v/>
      </c>
      <c r="H76" s="3">
        <f>G76-LARGE($G$2:$G$266,Settings!$F$4)</f>
        <v/>
      </c>
      <c r="I76">
        <f>IF(INDEX('Player Data'!$R:$R,AL76)="","",INDEX('Player Data'!$R:$R,AL76))</f>
        <v/>
      </c>
      <c r="J76" s="4">
        <f>IF(I76="","",I76-A76)</f>
        <v/>
      </c>
      <c r="L76" s="5">
        <f>IF(Settings!$F$7="Yes",INDEX('Minutes &amp; Health'!$O:$O,AL76),Settings!$F$8)</f>
        <v/>
      </c>
      <c r="M76" s="6">
        <f>INDEX('Minutes &amp; Health'!$P:$P,AL76)</f>
        <v/>
      </c>
      <c r="N76" s="5">
        <f>INDEX('Player Data'!$F:$F,AL76)/INDEX('Player Data'!$E:$E,AL76)*M76*L76*AM76</f>
        <v/>
      </c>
      <c r="O76" s="5">
        <f>INDEX('Player Data'!$G:$G,AL76)/INDEX('Player Data'!$E:$E,AL76)*M76*L76*AM76</f>
        <v/>
      </c>
      <c r="P76" s="5">
        <f>INDEX('Player Data'!$H:$H,AL76)/INDEX('Player Data'!$E:$E,AL76)*M76*L76*AM76</f>
        <v/>
      </c>
      <c r="Q76" s="5">
        <f>INDEX('Player Data'!$I:$I,AL76)/INDEX('Player Data'!$E:$E,AL76)*M76*L76*AM76</f>
        <v/>
      </c>
      <c r="R76" s="5">
        <f>INDEX('Player Data'!$J:$J,AL76)/INDEX('Player Data'!$E:$E,AL76)*M76*L76*AM76</f>
        <v/>
      </c>
      <c r="S76" s="5">
        <f>INDEX('Player Data'!$K:$K,AL76)/INDEX('Player Data'!$E:$E,AL76)*M76*L76*AM76</f>
        <v/>
      </c>
      <c r="T76" s="5">
        <f>INDEX('Player Data'!$L:$L,AL76)/INDEX('Player Data'!$E:$E,AL76)*M76*L76*AM76</f>
        <v/>
      </c>
      <c r="U76" s="7">
        <f>INDEX('Player Data'!$M:$M,AL76)</f>
        <v/>
      </c>
      <c r="V76" s="7">
        <f>INDEX('Player Data'!$N:$N,AL76)</f>
        <v/>
      </c>
      <c r="W76" s="5">
        <f>X76*U76</f>
        <v/>
      </c>
      <c r="X76" s="5">
        <f>INDEX('Player Data'!$O:$O,AL76)/INDEX('Player Data'!$E:$E,AL76)*M76*L76*AM76</f>
        <v/>
      </c>
      <c r="Y76" s="5">
        <f>Z76*V76</f>
        <v/>
      </c>
      <c r="Z76" s="5">
        <f>INDEX('Player Data'!$P:$P,AL76)/INDEX('Player Data'!$E:$E,AL76)*M76*L76*AM76</f>
        <v/>
      </c>
      <c r="AB76" s="3">
        <f>(N76-Pool!$D$2)/Pool!$E$2</f>
        <v/>
      </c>
      <c r="AC76" s="3">
        <f>(O76-Pool!$D$3)/Pool!$E$3</f>
        <v/>
      </c>
      <c r="AD76" s="3">
        <f>(P76-Pool!$D$4)/Pool!$E$4</f>
        <v/>
      </c>
      <c r="AE76" s="3">
        <f>(Q76-Pool!$D$5)/Pool!$E$5</f>
        <v/>
      </c>
      <c r="AF76" s="3">
        <f>(R76-Pool!$D$6)/Pool!$E$6</f>
        <v/>
      </c>
      <c r="AG76" s="3">
        <f>(S76-Pool!$D$7)/Pool!$E$7</f>
        <v/>
      </c>
      <c r="AH76" s="3">
        <f>(AS76-Pool!$D$8)/Pool!$E$8</f>
        <v/>
      </c>
      <c r="AI76" s="3">
        <f>(AT76-Pool!$D$9)/Pool!$E$9</f>
        <v/>
      </c>
      <c r="AJ76" s="3">
        <f>-(T76-Pool!$D$10)/Pool!$E$10</f>
        <v/>
      </c>
      <c r="AL76">
        <f>MATCH(B76,'Player Data'!$A:$A,0)</f>
        <v/>
      </c>
      <c r="AM76" s="3">
        <f>1+IF(Settings!$F$10="ON",IFERROR(VLOOKUP(TRIM(F76),Settings!$D$12:$F$17,3,FALSE),0),0)</f>
        <v/>
      </c>
      <c r="AN76">
        <f>IFERROR(LEFT(C76,FIND(",",C76)-1),C76)</f>
        <v/>
      </c>
      <c r="AO76" s="6">
        <f>X76*(U76-Pool!$B$12)</f>
        <v/>
      </c>
      <c r="AP76" s="6">
        <f>Z76*(V76-Pool!$B$13)</f>
        <v/>
      </c>
      <c r="AQ76" s="3">
        <f>Settings!$B$2*(N76-Pool!$B$2)/Pool!$C$2+Settings!$B$3*(O76-Pool!$B$3)/Pool!$C$3+Settings!$B$4*(P76-Pool!$B$4)/Pool!$C$4+Settings!$B$5*(Q76-Pool!$B$5)/Pool!$C$5+Settings!$B$6*(R76-Pool!$B$6)/Pool!$C$6+Settings!$B$7*(S76-Pool!$B$7)/Pool!$C$7+Settings!$B$8*(AO76-Pool!$B$8)/Pool!$C$8+Settings!$B$9*(AP76-Pool!$B$9)/Pool!$C$9+Settings!$B$10*-(T76-Pool!$B$10)/Pool!$C$10</f>
        <v/>
      </c>
      <c r="AR76">
        <f>IF(RANK(AQ76,$AQ$2:$AQ$266)&lt;=Settings!$F$5,1,0)</f>
        <v/>
      </c>
      <c r="AS76" s="6">
        <f>X76*(U76-Pool!$D$12)</f>
        <v/>
      </c>
      <c r="AT76" s="6">
        <f>Z76*(V76-Pool!$D$13)</f>
        <v/>
      </c>
    </row>
    <row r="77">
      <c r="A77">
        <f>RANK(H77,$H$2:$H$266)</f>
        <v/>
      </c>
      <c r="B77" t="inlineStr">
        <is>
          <t>Dejounte Murray</t>
        </is>
      </c>
      <c r="C77">
        <f>INDEX('Player Data'!$C:$C,AL77)</f>
        <v/>
      </c>
      <c r="D77">
        <f>SUMPRODUCT(($AN$2:$AN$266=AN77)*($H$2:$H$266&gt;H77))+1</f>
        <v/>
      </c>
      <c r="E77">
        <f>INDEX('Player Data'!$B:$B,AL77)</f>
        <v/>
      </c>
      <c r="F77" s="2" t="inlineStr">
        <is>
          <t>+</t>
        </is>
      </c>
      <c r="G77" s="3">
        <f>Settings!$B$2*AB77+Settings!$B$3*AC77+Settings!$B$4*AD77+Settings!$B$5*AE77+Settings!$B$6*AF77+Settings!$B$7*AG77+Settings!$B$8*AH77+Settings!$B$9*AI77+Settings!$B$10*AJ77</f>
        <v/>
      </c>
      <c r="H77" s="3">
        <f>G77-LARGE($G$2:$G$266,Settings!$F$4)</f>
        <v/>
      </c>
      <c r="I77">
        <f>IF(INDEX('Player Data'!$R:$R,AL77)="","",INDEX('Player Data'!$R:$R,AL77))</f>
        <v/>
      </c>
      <c r="J77" s="4">
        <f>IF(I77="","",I77-A77)</f>
        <v/>
      </c>
      <c r="L77" s="5">
        <f>IF(Settings!$F$7="Yes",INDEX('Minutes &amp; Health'!$O:$O,AL77),Settings!$F$8)</f>
        <v/>
      </c>
      <c r="M77" s="6">
        <f>INDEX('Minutes &amp; Health'!$P:$P,AL77)</f>
        <v/>
      </c>
      <c r="N77" s="5">
        <f>INDEX('Player Data'!$F:$F,AL77)/INDEX('Player Data'!$E:$E,AL77)*M77*L77*AM77</f>
        <v/>
      </c>
      <c r="O77" s="5">
        <f>INDEX('Player Data'!$G:$G,AL77)/INDEX('Player Data'!$E:$E,AL77)*M77*L77*AM77</f>
        <v/>
      </c>
      <c r="P77" s="5">
        <f>INDEX('Player Data'!$H:$H,AL77)/INDEX('Player Data'!$E:$E,AL77)*M77*L77*AM77</f>
        <v/>
      </c>
      <c r="Q77" s="5">
        <f>INDEX('Player Data'!$I:$I,AL77)/INDEX('Player Data'!$E:$E,AL77)*M77*L77*AM77</f>
        <v/>
      </c>
      <c r="R77" s="5">
        <f>INDEX('Player Data'!$J:$J,AL77)/INDEX('Player Data'!$E:$E,AL77)*M77*L77*AM77</f>
        <v/>
      </c>
      <c r="S77" s="5">
        <f>INDEX('Player Data'!$K:$K,AL77)/INDEX('Player Data'!$E:$E,AL77)*M77*L77*AM77</f>
        <v/>
      </c>
      <c r="T77" s="5">
        <f>INDEX('Player Data'!$L:$L,AL77)/INDEX('Player Data'!$E:$E,AL77)*M77*L77*AM77</f>
        <v/>
      </c>
      <c r="U77" s="7">
        <f>INDEX('Player Data'!$M:$M,AL77)</f>
        <v/>
      </c>
      <c r="V77" s="7">
        <f>INDEX('Player Data'!$N:$N,AL77)</f>
        <v/>
      </c>
      <c r="W77" s="5">
        <f>X77*U77</f>
        <v/>
      </c>
      <c r="X77" s="5">
        <f>INDEX('Player Data'!$O:$O,AL77)/INDEX('Player Data'!$E:$E,AL77)*M77*L77*AM77</f>
        <v/>
      </c>
      <c r="Y77" s="5">
        <f>Z77*V77</f>
        <v/>
      </c>
      <c r="Z77" s="5">
        <f>INDEX('Player Data'!$P:$P,AL77)/INDEX('Player Data'!$E:$E,AL77)*M77*L77*AM77</f>
        <v/>
      </c>
      <c r="AB77" s="3">
        <f>(N77-Pool!$D$2)/Pool!$E$2</f>
        <v/>
      </c>
      <c r="AC77" s="3">
        <f>(O77-Pool!$D$3)/Pool!$E$3</f>
        <v/>
      </c>
      <c r="AD77" s="3">
        <f>(P77-Pool!$D$4)/Pool!$E$4</f>
        <v/>
      </c>
      <c r="AE77" s="3">
        <f>(Q77-Pool!$D$5)/Pool!$E$5</f>
        <v/>
      </c>
      <c r="AF77" s="3">
        <f>(R77-Pool!$D$6)/Pool!$E$6</f>
        <v/>
      </c>
      <c r="AG77" s="3">
        <f>(S77-Pool!$D$7)/Pool!$E$7</f>
        <v/>
      </c>
      <c r="AH77" s="3">
        <f>(AS77-Pool!$D$8)/Pool!$E$8</f>
        <v/>
      </c>
      <c r="AI77" s="3">
        <f>(AT77-Pool!$D$9)/Pool!$E$9</f>
        <v/>
      </c>
      <c r="AJ77" s="3">
        <f>-(T77-Pool!$D$10)/Pool!$E$10</f>
        <v/>
      </c>
      <c r="AL77">
        <f>MATCH(B77,'Player Data'!$A:$A,0)</f>
        <v/>
      </c>
      <c r="AM77" s="3">
        <f>1+IF(Settings!$F$10="ON",IFERROR(VLOOKUP(TRIM(F77),Settings!$D$12:$F$17,3,FALSE),0),0)</f>
        <v/>
      </c>
      <c r="AN77">
        <f>IFERROR(LEFT(C77,FIND(",",C77)-1),C77)</f>
        <v/>
      </c>
      <c r="AO77" s="6">
        <f>X77*(U77-Pool!$B$12)</f>
        <v/>
      </c>
      <c r="AP77" s="6">
        <f>Z77*(V77-Pool!$B$13)</f>
        <v/>
      </c>
      <c r="AQ77" s="3">
        <f>Settings!$B$2*(N77-Pool!$B$2)/Pool!$C$2+Settings!$B$3*(O77-Pool!$B$3)/Pool!$C$3+Settings!$B$4*(P77-Pool!$B$4)/Pool!$C$4+Settings!$B$5*(Q77-Pool!$B$5)/Pool!$C$5+Settings!$B$6*(R77-Pool!$B$6)/Pool!$C$6+Settings!$B$7*(S77-Pool!$B$7)/Pool!$C$7+Settings!$B$8*(AO77-Pool!$B$8)/Pool!$C$8+Settings!$B$9*(AP77-Pool!$B$9)/Pool!$C$9+Settings!$B$10*-(T77-Pool!$B$10)/Pool!$C$10</f>
        <v/>
      </c>
      <c r="AR77">
        <f>IF(RANK(AQ77,$AQ$2:$AQ$266)&lt;=Settings!$F$5,1,0)</f>
        <v/>
      </c>
      <c r="AS77" s="6">
        <f>X77*(U77-Pool!$D$12)</f>
        <v/>
      </c>
      <c r="AT77" s="6">
        <f>Z77*(V77-Pool!$D$13)</f>
        <v/>
      </c>
    </row>
    <row r="78">
      <c r="A78">
        <f>RANK(H78,$H$2:$H$266)</f>
        <v/>
      </c>
      <c r="B78" t="inlineStr">
        <is>
          <t>Andrew Wiggins</t>
        </is>
      </c>
      <c r="C78">
        <f>INDEX('Player Data'!$C:$C,AL78)</f>
        <v/>
      </c>
      <c r="D78">
        <f>SUMPRODUCT(($AN$2:$AN$266=AN78)*($H$2:$H$266&gt;H78))+1</f>
        <v/>
      </c>
      <c r="E78">
        <f>INDEX('Player Data'!$B:$B,AL78)</f>
        <v/>
      </c>
      <c r="F78" s="2" t="n"/>
      <c r="G78" s="3">
        <f>Settings!$B$2*AB78+Settings!$B$3*AC78+Settings!$B$4*AD78+Settings!$B$5*AE78+Settings!$B$6*AF78+Settings!$B$7*AG78+Settings!$B$8*AH78+Settings!$B$9*AI78+Settings!$B$10*AJ78</f>
        <v/>
      </c>
      <c r="H78" s="3">
        <f>G78-LARGE($G$2:$G$266,Settings!$F$4)</f>
        <v/>
      </c>
      <c r="I78">
        <f>IF(INDEX('Player Data'!$R:$R,AL78)="","",INDEX('Player Data'!$R:$R,AL78))</f>
        <v/>
      </c>
      <c r="J78" s="4">
        <f>IF(I78="","",I78-A78)</f>
        <v/>
      </c>
      <c r="L78" s="5">
        <f>IF(Settings!$F$7="Yes",INDEX('Minutes &amp; Health'!$O:$O,AL78),Settings!$F$8)</f>
        <v/>
      </c>
      <c r="M78" s="6">
        <f>INDEX('Minutes &amp; Health'!$P:$P,AL78)</f>
        <v/>
      </c>
      <c r="N78" s="5">
        <f>INDEX('Player Data'!$F:$F,AL78)/INDEX('Player Data'!$E:$E,AL78)*M78*L78*AM78</f>
        <v/>
      </c>
      <c r="O78" s="5">
        <f>INDEX('Player Data'!$G:$G,AL78)/INDEX('Player Data'!$E:$E,AL78)*M78*L78*AM78</f>
        <v/>
      </c>
      <c r="P78" s="5">
        <f>INDEX('Player Data'!$H:$H,AL78)/INDEX('Player Data'!$E:$E,AL78)*M78*L78*AM78</f>
        <v/>
      </c>
      <c r="Q78" s="5">
        <f>INDEX('Player Data'!$I:$I,AL78)/INDEX('Player Data'!$E:$E,AL78)*M78*L78*AM78</f>
        <v/>
      </c>
      <c r="R78" s="5">
        <f>INDEX('Player Data'!$J:$J,AL78)/INDEX('Player Data'!$E:$E,AL78)*M78*L78*AM78</f>
        <v/>
      </c>
      <c r="S78" s="5">
        <f>INDEX('Player Data'!$K:$K,AL78)/INDEX('Player Data'!$E:$E,AL78)*M78*L78*AM78</f>
        <v/>
      </c>
      <c r="T78" s="5">
        <f>INDEX('Player Data'!$L:$L,AL78)/INDEX('Player Data'!$E:$E,AL78)*M78*L78*AM78</f>
        <v/>
      </c>
      <c r="U78" s="7">
        <f>INDEX('Player Data'!$M:$M,AL78)</f>
        <v/>
      </c>
      <c r="V78" s="7">
        <f>INDEX('Player Data'!$N:$N,AL78)</f>
        <v/>
      </c>
      <c r="W78" s="5">
        <f>X78*U78</f>
        <v/>
      </c>
      <c r="X78" s="5">
        <f>INDEX('Player Data'!$O:$O,AL78)/INDEX('Player Data'!$E:$E,AL78)*M78*L78*AM78</f>
        <v/>
      </c>
      <c r="Y78" s="5">
        <f>Z78*V78</f>
        <v/>
      </c>
      <c r="Z78" s="5">
        <f>INDEX('Player Data'!$P:$P,AL78)/INDEX('Player Data'!$E:$E,AL78)*M78*L78*AM78</f>
        <v/>
      </c>
      <c r="AB78" s="3">
        <f>(N78-Pool!$D$2)/Pool!$E$2</f>
        <v/>
      </c>
      <c r="AC78" s="3">
        <f>(O78-Pool!$D$3)/Pool!$E$3</f>
        <v/>
      </c>
      <c r="AD78" s="3">
        <f>(P78-Pool!$D$4)/Pool!$E$4</f>
        <v/>
      </c>
      <c r="AE78" s="3">
        <f>(Q78-Pool!$D$5)/Pool!$E$5</f>
        <v/>
      </c>
      <c r="AF78" s="3">
        <f>(R78-Pool!$D$6)/Pool!$E$6</f>
        <v/>
      </c>
      <c r="AG78" s="3">
        <f>(S78-Pool!$D$7)/Pool!$E$7</f>
        <v/>
      </c>
      <c r="AH78" s="3">
        <f>(AS78-Pool!$D$8)/Pool!$E$8</f>
        <v/>
      </c>
      <c r="AI78" s="3">
        <f>(AT78-Pool!$D$9)/Pool!$E$9</f>
        <v/>
      </c>
      <c r="AJ78" s="3">
        <f>-(T78-Pool!$D$10)/Pool!$E$10</f>
        <v/>
      </c>
      <c r="AL78">
        <f>MATCH(B78,'Player Data'!$A:$A,0)</f>
        <v/>
      </c>
      <c r="AM78" s="3">
        <f>1+IF(Settings!$F$10="ON",IFERROR(VLOOKUP(TRIM(F78),Settings!$D$12:$F$17,3,FALSE),0),0)</f>
        <v/>
      </c>
      <c r="AN78">
        <f>IFERROR(LEFT(C78,FIND(",",C78)-1),C78)</f>
        <v/>
      </c>
      <c r="AO78" s="6">
        <f>X78*(U78-Pool!$B$12)</f>
        <v/>
      </c>
      <c r="AP78" s="6">
        <f>Z78*(V78-Pool!$B$13)</f>
        <v/>
      </c>
      <c r="AQ78" s="3">
        <f>Settings!$B$2*(N78-Pool!$B$2)/Pool!$C$2+Settings!$B$3*(O78-Pool!$B$3)/Pool!$C$3+Settings!$B$4*(P78-Pool!$B$4)/Pool!$C$4+Settings!$B$5*(Q78-Pool!$B$5)/Pool!$C$5+Settings!$B$6*(R78-Pool!$B$6)/Pool!$C$6+Settings!$B$7*(S78-Pool!$B$7)/Pool!$C$7+Settings!$B$8*(AO78-Pool!$B$8)/Pool!$C$8+Settings!$B$9*(AP78-Pool!$B$9)/Pool!$C$9+Settings!$B$10*-(T78-Pool!$B$10)/Pool!$C$10</f>
        <v/>
      </c>
      <c r="AR78">
        <f>IF(RANK(AQ78,$AQ$2:$AQ$266)&lt;=Settings!$F$5,1,0)</f>
        <v/>
      </c>
      <c r="AS78" s="6">
        <f>X78*(U78-Pool!$D$12)</f>
        <v/>
      </c>
      <c r="AT78" s="6">
        <f>Z78*(V78-Pool!$D$13)</f>
        <v/>
      </c>
    </row>
    <row r="79">
      <c r="A79">
        <f>RANK(H79,$H$2:$H$266)</f>
        <v/>
      </c>
      <c r="B79" t="inlineStr">
        <is>
          <t>Jaylen Brown</t>
        </is>
      </c>
      <c r="C79">
        <f>INDEX('Player Data'!$C:$C,AL79)</f>
        <v/>
      </c>
      <c r="D79">
        <f>SUMPRODUCT(($AN$2:$AN$266=AN79)*($H$2:$H$266&gt;H79))+1</f>
        <v/>
      </c>
      <c r="E79">
        <f>INDEX('Player Data'!$B:$B,AL79)</f>
        <v/>
      </c>
      <c r="F79" s="2" t="n"/>
      <c r="G79" s="3">
        <f>Settings!$B$2*AB79+Settings!$B$3*AC79+Settings!$B$4*AD79+Settings!$B$5*AE79+Settings!$B$6*AF79+Settings!$B$7*AG79+Settings!$B$8*AH79+Settings!$B$9*AI79+Settings!$B$10*AJ79</f>
        <v/>
      </c>
      <c r="H79" s="3">
        <f>G79-LARGE($G$2:$G$266,Settings!$F$4)</f>
        <v/>
      </c>
      <c r="I79">
        <f>IF(INDEX('Player Data'!$R:$R,AL79)="","",INDEX('Player Data'!$R:$R,AL79))</f>
        <v/>
      </c>
      <c r="J79" s="4">
        <f>IF(I79="","",I79-A79)</f>
        <v/>
      </c>
      <c r="L79" s="5">
        <f>IF(Settings!$F$7="Yes",INDEX('Minutes &amp; Health'!$O:$O,AL79),Settings!$F$8)</f>
        <v/>
      </c>
      <c r="M79" s="6">
        <f>INDEX('Minutes &amp; Health'!$P:$P,AL79)</f>
        <v/>
      </c>
      <c r="N79" s="5">
        <f>INDEX('Player Data'!$F:$F,AL79)/INDEX('Player Data'!$E:$E,AL79)*M79*L79*AM79</f>
        <v/>
      </c>
      <c r="O79" s="5">
        <f>INDEX('Player Data'!$G:$G,AL79)/INDEX('Player Data'!$E:$E,AL79)*M79*L79*AM79</f>
        <v/>
      </c>
      <c r="P79" s="5">
        <f>INDEX('Player Data'!$H:$H,AL79)/INDEX('Player Data'!$E:$E,AL79)*M79*L79*AM79</f>
        <v/>
      </c>
      <c r="Q79" s="5">
        <f>INDEX('Player Data'!$I:$I,AL79)/INDEX('Player Data'!$E:$E,AL79)*M79*L79*AM79</f>
        <v/>
      </c>
      <c r="R79" s="5">
        <f>INDEX('Player Data'!$J:$J,AL79)/INDEX('Player Data'!$E:$E,AL79)*M79*L79*AM79</f>
        <v/>
      </c>
      <c r="S79" s="5">
        <f>INDEX('Player Data'!$K:$K,AL79)/INDEX('Player Data'!$E:$E,AL79)*M79*L79*AM79</f>
        <v/>
      </c>
      <c r="T79" s="5">
        <f>INDEX('Player Data'!$L:$L,AL79)/INDEX('Player Data'!$E:$E,AL79)*M79*L79*AM79</f>
        <v/>
      </c>
      <c r="U79" s="7">
        <f>INDEX('Player Data'!$M:$M,AL79)</f>
        <v/>
      </c>
      <c r="V79" s="7">
        <f>INDEX('Player Data'!$N:$N,AL79)</f>
        <v/>
      </c>
      <c r="W79" s="5">
        <f>X79*U79</f>
        <v/>
      </c>
      <c r="X79" s="5">
        <f>INDEX('Player Data'!$O:$O,AL79)/INDEX('Player Data'!$E:$E,AL79)*M79*L79*AM79</f>
        <v/>
      </c>
      <c r="Y79" s="5">
        <f>Z79*V79</f>
        <v/>
      </c>
      <c r="Z79" s="5">
        <f>INDEX('Player Data'!$P:$P,AL79)/INDEX('Player Data'!$E:$E,AL79)*M79*L79*AM79</f>
        <v/>
      </c>
      <c r="AB79" s="3">
        <f>(N79-Pool!$D$2)/Pool!$E$2</f>
        <v/>
      </c>
      <c r="AC79" s="3">
        <f>(O79-Pool!$D$3)/Pool!$E$3</f>
        <v/>
      </c>
      <c r="AD79" s="3">
        <f>(P79-Pool!$D$4)/Pool!$E$4</f>
        <v/>
      </c>
      <c r="AE79" s="3">
        <f>(Q79-Pool!$D$5)/Pool!$E$5</f>
        <v/>
      </c>
      <c r="AF79" s="3">
        <f>(R79-Pool!$D$6)/Pool!$E$6</f>
        <v/>
      </c>
      <c r="AG79" s="3">
        <f>(S79-Pool!$D$7)/Pool!$E$7</f>
        <v/>
      </c>
      <c r="AH79" s="3">
        <f>(AS79-Pool!$D$8)/Pool!$E$8</f>
        <v/>
      </c>
      <c r="AI79" s="3">
        <f>(AT79-Pool!$D$9)/Pool!$E$9</f>
        <v/>
      </c>
      <c r="AJ79" s="3">
        <f>-(T79-Pool!$D$10)/Pool!$E$10</f>
        <v/>
      </c>
      <c r="AL79">
        <f>MATCH(B79,'Player Data'!$A:$A,0)</f>
        <v/>
      </c>
      <c r="AM79" s="3">
        <f>1+IF(Settings!$F$10="ON",IFERROR(VLOOKUP(TRIM(F79),Settings!$D$12:$F$17,3,FALSE),0),0)</f>
        <v/>
      </c>
      <c r="AN79">
        <f>IFERROR(LEFT(C79,FIND(",",C79)-1),C79)</f>
        <v/>
      </c>
      <c r="AO79" s="6">
        <f>X79*(U79-Pool!$B$12)</f>
        <v/>
      </c>
      <c r="AP79" s="6">
        <f>Z79*(V79-Pool!$B$13)</f>
        <v/>
      </c>
      <c r="AQ79" s="3">
        <f>Settings!$B$2*(N79-Pool!$B$2)/Pool!$C$2+Settings!$B$3*(O79-Pool!$B$3)/Pool!$C$3+Settings!$B$4*(P79-Pool!$B$4)/Pool!$C$4+Settings!$B$5*(Q79-Pool!$B$5)/Pool!$C$5+Settings!$B$6*(R79-Pool!$B$6)/Pool!$C$6+Settings!$B$7*(S79-Pool!$B$7)/Pool!$C$7+Settings!$B$8*(AO79-Pool!$B$8)/Pool!$C$8+Settings!$B$9*(AP79-Pool!$B$9)/Pool!$C$9+Settings!$B$10*-(T79-Pool!$B$10)/Pool!$C$10</f>
        <v/>
      </c>
      <c r="AR79">
        <f>IF(RANK(AQ79,$AQ$2:$AQ$266)&lt;=Settings!$F$5,1,0)</f>
        <v/>
      </c>
      <c r="AS79" s="6">
        <f>X79*(U79-Pool!$D$12)</f>
        <v/>
      </c>
      <c r="AT79" s="6">
        <f>Z79*(V79-Pool!$D$13)</f>
        <v/>
      </c>
    </row>
    <row r="80">
      <c r="A80">
        <f>RANK(H80,$H$2:$H$266)</f>
        <v/>
      </c>
      <c r="B80" t="inlineStr">
        <is>
          <t>Miles Bridges</t>
        </is>
      </c>
      <c r="C80">
        <f>INDEX('Player Data'!$C:$C,AL80)</f>
        <v/>
      </c>
      <c r="D80">
        <f>SUMPRODUCT(($AN$2:$AN$266=AN80)*($H$2:$H$266&gt;H80))+1</f>
        <v/>
      </c>
      <c r="E80">
        <f>INDEX('Player Data'!$B:$B,AL80)</f>
        <v/>
      </c>
      <c r="F80" s="2" t="n"/>
      <c r="G80" s="3">
        <f>Settings!$B$2*AB80+Settings!$B$3*AC80+Settings!$B$4*AD80+Settings!$B$5*AE80+Settings!$B$6*AF80+Settings!$B$7*AG80+Settings!$B$8*AH80+Settings!$B$9*AI80+Settings!$B$10*AJ80</f>
        <v/>
      </c>
      <c r="H80" s="3">
        <f>G80-LARGE($G$2:$G$266,Settings!$F$4)</f>
        <v/>
      </c>
      <c r="I80">
        <f>IF(INDEX('Player Data'!$R:$R,AL80)="","",INDEX('Player Data'!$R:$R,AL80))</f>
        <v/>
      </c>
      <c r="J80" s="4">
        <f>IF(I80="","",I80-A80)</f>
        <v/>
      </c>
      <c r="L80" s="5">
        <f>IF(Settings!$F$7="Yes",INDEX('Minutes &amp; Health'!$O:$O,AL80),Settings!$F$8)</f>
        <v/>
      </c>
      <c r="M80" s="6">
        <f>INDEX('Minutes &amp; Health'!$P:$P,AL80)</f>
        <v/>
      </c>
      <c r="N80" s="5">
        <f>INDEX('Player Data'!$F:$F,AL80)/INDEX('Player Data'!$E:$E,AL80)*M80*L80*AM80</f>
        <v/>
      </c>
      <c r="O80" s="5">
        <f>INDEX('Player Data'!$G:$G,AL80)/INDEX('Player Data'!$E:$E,AL80)*M80*L80*AM80</f>
        <v/>
      </c>
      <c r="P80" s="5">
        <f>INDEX('Player Data'!$H:$H,AL80)/INDEX('Player Data'!$E:$E,AL80)*M80*L80*AM80</f>
        <v/>
      </c>
      <c r="Q80" s="5">
        <f>INDEX('Player Data'!$I:$I,AL80)/INDEX('Player Data'!$E:$E,AL80)*M80*L80*AM80</f>
        <v/>
      </c>
      <c r="R80" s="5">
        <f>INDEX('Player Data'!$J:$J,AL80)/INDEX('Player Data'!$E:$E,AL80)*M80*L80*AM80</f>
        <v/>
      </c>
      <c r="S80" s="5">
        <f>INDEX('Player Data'!$K:$K,AL80)/INDEX('Player Data'!$E:$E,AL80)*M80*L80*AM80</f>
        <v/>
      </c>
      <c r="T80" s="5">
        <f>INDEX('Player Data'!$L:$L,AL80)/INDEX('Player Data'!$E:$E,AL80)*M80*L80*AM80</f>
        <v/>
      </c>
      <c r="U80" s="7">
        <f>INDEX('Player Data'!$M:$M,AL80)</f>
        <v/>
      </c>
      <c r="V80" s="7">
        <f>INDEX('Player Data'!$N:$N,AL80)</f>
        <v/>
      </c>
      <c r="W80" s="5">
        <f>X80*U80</f>
        <v/>
      </c>
      <c r="X80" s="5">
        <f>INDEX('Player Data'!$O:$O,AL80)/INDEX('Player Data'!$E:$E,AL80)*M80*L80*AM80</f>
        <v/>
      </c>
      <c r="Y80" s="5">
        <f>Z80*V80</f>
        <v/>
      </c>
      <c r="Z80" s="5">
        <f>INDEX('Player Data'!$P:$P,AL80)/INDEX('Player Data'!$E:$E,AL80)*M80*L80*AM80</f>
        <v/>
      </c>
      <c r="AB80" s="3">
        <f>(N80-Pool!$D$2)/Pool!$E$2</f>
        <v/>
      </c>
      <c r="AC80" s="3">
        <f>(O80-Pool!$D$3)/Pool!$E$3</f>
        <v/>
      </c>
      <c r="AD80" s="3">
        <f>(P80-Pool!$D$4)/Pool!$E$4</f>
        <v/>
      </c>
      <c r="AE80" s="3">
        <f>(Q80-Pool!$D$5)/Pool!$E$5</f>
        <v/>
      </c>
      <c r="AF80" s="3">
        <f>(R80-Pool!$D$6)/Pool!$E$6</f>
        <v/>
      </c>
      <c r="AG80" s="3">
        <f>(S80-Pool!$D$7)/Pool!$E$7</f>
        <v/>
      </c>
      <c r="AH80" s="3">
        <f>(AS80-Pool!$D$8)/Pool!$E$8</f>
        <v/>
      </c>
      <c r="AI80" s="3">
        <f>(AT80-Pool!$D$9)/Pool!$E$9</f>
        <v/>
      </c>
      <c r="AJ80" s="3">
        <f>-(T80-Pool!$D$10)/Pool!$E$10</f>
        <v/>
      </c>
      <c r="AL80">
        <f>MATCH(B80,'Player Data'!$A:$A,0)</f>
        <v/>
      </c>
      <c r="AM80" s="3">
        <f>1+IF(Settings!$F$10="ON",IFERROR(VLOOKUP(TRIM(F80),Settings!$D$12:$F$17,3,FALSE),0),0)</f>
        <v/>
      </c>
      <c r="AN80">
        <f>IFERROR(LEFT(C80,FIND(",",C80)-1),C80)</f>
        <v/>
      </c>
      <c r="AO80" s="6">
        <f>X80*(U80-Pool!$B$12)</f>
        <v/>
      </c>
      <c r="AP80" s="6">
        <f>Z80*(V80-Pool!$B$13)</f>
        <v/>
      </c>
      <c r="AQ80" s="3">
        <f>Settings!$B$2*(N80-Pool!$B$2)/Pool!$C$2+Settings!$B$3*(O80-Pool!$B$3)/Pool!$C$3+Settings!$B$4*(P80-Pool!$B$4)/Pool!$C$4+Settings!$B$5*(Q80-Pool!$B$5)/Pool!$C$5+Settings!$B$6*(R80-Pool!$B$6)/Pool!$C$6+Settings!$B$7*(S80-Pool!$B$7)/Pool!$C$7+Settings!$B$8*(AO80-Pool!$B$8)/Pool!$C$8+Settings!$B$9*(AP80-Pool!$B$9)/Pool!$C$9+Settings!$B$10*-(T80-Pool!$B$10)/Pool!$C$10</f>
        <v/>
      </c>
      <c r="AR80">
        <f>IF(RANK(AQ80,$AQ$2:$AQ$266)&lt;=Settings!$F$5,1,0)</f>
        <v/>
      </c>
      <c r="AS80" s="6">
        <f>X80*(U80-Pool!$D$12)</f>
        <v/>
      </c>
      <c r="AT80" s="6">
        <f>Z80*(V80-Pool!$D$13)</f>
        <v/>
      </c>
    </row>
    <row r="81">
      <c r="A81">
        <f>RANK(H81,$H$2:$H$266)</f>
        <v/>
      </c>
      <c r="B81" t="inlineStr">
        <is>
          <t>Brandin Podziemski</t>
        </is>
      </c>
      <c r="C81">
        <f>INDEX('Player Data'!$C:$C,AL81)</f>
        <v/>
      </c>
      <c r="D81">
        <f>SUMPRODUCT(($AN$2:$AN$266=AN81)*($H$2:$H$266&gt;H81))+1</f>
        <v/>
      </c>
      <c r="E81">
        <f>INDEX('Player Data'!$B:$B,AL81)</f>
        <v/>
      </c>
      <c r="F81" s="2" t="n"/>
      <c r="G81" s="3">
        <f>Settings!$B$2*AB81+Settings!$B$3*AC81+Settings!$B$4*AD81+Settings!$B$5*AE81+Settings!$B$6*AF81+Settings!$B$7*AG81+Settings!$B$8*AH81+Settings!$B$9*AI81+Settings!$B$10*AJ81</f>
        <v/>
      </c>
      <c r="H81" s="3">
        <f>G81-LARGE($G$2:$G$266,Settings!$F$4)</f>
        <v/>
      </c>
      <c r="I81">
        <f>IF(INDEX('Player Data'!$R:$R,AL81)="","",INDEX('Player Data'!$R:$R,AL81))</f>
        <v/>
      </c>
      <c r="J81" s="4">
        <f>IF(I81="","",I81-A81)</f>
        <v/>
      </c>
      <c r="L81" s="5">
        <f>IF(Settings!$F$7="Yes",INDEX('Minutes &amp; Health'!$O:$O,AL81),Settings!$F$8)</f>
        <v/>
      </c>
      <c r="M81" s="6">
        <f>INDEX('Minutes &amp; Health'!$P:$P,AL81)</f>
        <v/>
      </c>
      <c r="N81" s="5">
        <f>INDEX('Player Data'!$F:$F,AL81)/INDEX('Player Data'!$E:$E,AL81)*M81*L81*AM81</f>
        <v/>
      </c>
      <c r="O81" s="5">
        <f>INDEX('Player Data'!$G:$G,AL81)/INDEX('Player Data'!$E:$E,AL81)*M81*L81*AM81</f>
        <v/>
      </c>
      <c r="P81" s="5">
        <f>INDEX('Player Data'!$H:$H,AL81)/INDEX('Player Data'!$E:$E,AL81)*M81*L81*AM81</f>
        <v/>
      </c>
      <c r="Q81" s="5">
        <f>INDEX('Player Data'!$I:$I,AL81)/INDEX('Player Data'!$E:$E,AL81)*M81*L81*AM81</f>
        <v/>
      </c>
      <c r="R81" s="5">
        <f>INDEX('Player Data'!$J:$J,AL81)/INDEX('Player Data'!$E:$E,AL81)*M81*L81*AM81</f>
        <v/>
      </c>
      <c r="S81" s="5">
        <f>INDEX('Player Data'!$K:$K,AL81)/INDEX('Player Data'!$E:$E,AL81)*M81*L81*AM81</f>
        <v/>
      </c>
      <c r="T81" s="5">
        <f>INDEX('Player Data'!$L:$L,AL81)/INDEX('Player Data'!$E:$E,AL81)*M81*L81*AM81</f>
        <v/>
      </c>
      <c r="U81" s="7">
        <f>INDEX('Player Data'!$M:$M,AL81)</f>
        <v/>
      </c>
      <c r="V81" s="7">
        <f>INDEX('Player Data'!$N:$N,AL81)</f>
        <v/>
      </c>
      <c r="W81" s="5">
        <f>X81*U81</f>
        <v/>
      </c>
      <c r="X81" s="5">
        <f>INDEX('Player Data'!$O:$O,AL81)/INDEX('Player Data'!$E:$E,AL81)*M81*L81*AM81</f>
        <v/>
      </c>
      <c r="Y81" s="5">
        <f>Z81*V81</f>
        <v/>
      </c>
      <c r="Z81" s="5">
        <f>INDEX('Player Data'!$P:$P,AL81)/INDEX('Player Data'!$E:$E,AL81)*M81*L81*AM81</f>
        <v/>
      </c>
      <c r="AB81" s="3">
        <f>(N81-Pool!$D$2)/Pool!$E$2</f>
        <v/>
      </c>
      <c r="AC81" s="3">
        <f>(O81-Pool!$D$3)/Pool!$E$3</f>
        <v/>
      </c>
      <c r="AD81" s="3">
        <f>(P81-Pool!$D$4)/Pool!$E$4</f>
        <v/>
      </c>
      <c r="AE81" s="3">
        <f>(Q81-Pool!$D$5)/Pool!$E$5</f>
        <v/>
      </c>
      <c r="AF81" s="3">
        <f>(R81-Pool!$D$6)/Pool!$E$6</f>
        <v/>
      </c>
      <c r="AG81" s="3">
        <f>(S81-Pool!$D$7)/Pool!$E$7</f>
        <v/>
      </c>
      <c r="AH81" s="3">
        <f>(AS81-Pool!$D$8)/Pool!$E$8</f>
        <v/>
      </c>
      <c r="AI81" s="3">
        <f>(AT81-Pool!$D$9)/Pool!$E$9</f>
        <v/>
      </c>
      <c r="AJ81" s="3">
        <f>-(T81-Pool!$D$10)/Pool!$E$10</f>
        <v/>
      </c>
      <c r="AL81">
        <f>MATCH(B81,'Player Data'!$A:$A,0)</f>
        <v/>
      </c>
      <c r="AM81" s="3">
        <f>1+IF(Settings!$F$10="ON",IFERROR(VLOOKUP(TRIM(F81),Settings!$D$12:$F$17,3,FALSE),0),0)</f>
        <v/>
      </c>
      <c r="AN81">
        <f>IFERROR(LEFT(C81,FIND(",",C81)-1),C81)</f>
        <v/>
      </c>
      <c r="AO81" s="6">
        <f>X81*(U81-Pool!$B$12)</f>
        <v/>
      </c>
      <c r="AP81" s="6">
        <f>Z81*(V81-Pool!$B$13)</f>
        <v/>
      </c>
      <c r="AQ81" s="3">
        <f>Settings!$B$2*(N81-Pool!$B$2)/Pool!$C$2+Settings!$B$3*(O81-Pool!$B$3)/Pool!$C$3+Settings!$B$4*(P81-Pool!$B$4)/Pool!$C$4+Settings!$B$5*(Q81-Pool!$B$5)/Pool!$C$5+Settings!$B$6*(R81-Pool!$B$6)/Pool!$C$6+Settings!$B$7*(S81-Pool!$B$7)/Pool!$C$7+Settings!$B$8*(AO81-Pool!$B$8)/Pool!$C$8+Settings!$B$9*(AP81-Pool!$B$9)/Pool!$C$9+Settings!$B$10*-(T81-Pool!$B$10)/Pool!$C$10</f>
        <v/>
      </c>
      <c r="AR81">
        <f>IF(RANK(AQ81,$AQ$2:$AQ$266)&lt;=Settings!$F$5,1,0)</f>
        <v/>
      </c>
      <c r="AS81" s="6">
        <f>X81*(U81-Pool!$D$12)</f>
        <v/>
      </c>
      <c r="AT81" s="6">
        <f>Z81*(V81-Pool!$D$13)</f>
        <v/>
      </c>
    </row>
    <row r="82">
      <c r="A82">
        <f>RANK(H82,$H$2:$H$266)</f>
        <v/>
      </c>
      <c r="B82" t="inlineStr">
        <is>
          <t>Norman Powell</t>
        </is>
      </c>
      <c r="C82">
        <f>INDEX('Player Data'!$C:$C,AL82)</f>
        <v/>
      </c>
      <c r="D82">
        <f>SUMPRODUCT(($AN$2:$AN$266=AN82)*($H$2:$H$266&gt;H82))+1</f>
        <v/>
      </c>
      <c r="E82">
        <f>INDEX('Player Data'!$B:$B,AL82)</f>
        <v/>
      </c>
      <c r="F82" s="2" t="n"/>
      <c r="G82" s="3">
        <f>Settings!$B$2*AB82+Settings!$B$3*AC82+Settings!$B$4*AD82+Settings!$B$5*AE82+Settings!$B$6*AF82+Settings!$B$7*AG82+Settings!$B$8*AH82+Settings!$B$9*AI82+Settings!$B$10*AJ82</f>
        <v/>
      </c>
      <c r="H82" s="3">
        <f>G82-LARGE($G$2:$G$266,Settings!$F$4)</f>
        <v/>
      </c>
      <c r="I82">
        <f>IF(INDEX('Player Data'!$R:$R,AL82)="","",INDEX('Player Data'!$R:$R,AL82))</f>
        <v/>
      </c>
      <c r="J82" s="4">
        <f>IF(I82="","",I82-A82)</f>
        <v/>
      </c>
      <c r="L82" s="5">
        <f>IF(Settings!$F$7="Yes",INDEX('Minutes &amp; Health'!$O:$O,AL82),Settings!$F$8)</f>
        <v/>
      </c>
      <c r="M82" s="6">
        <f>INDEX('Minutes &amp; Health'!$P:$P,AL82)</f>
        <v/>
      </c>
      <c r="N82" s="5">
        <f>INDEX('Player Data'!$F:$F,AL82)/INDEX('Player Data'!$E:$E,AL82)*M82*L82*AM82</f>
        <v/>
      </c>
      <c r="O82" s="5">
        <f>INDEX('Player Data'!$G:$G,AL82)/INDEX('Player Data'!$E:$E,AL82)*M82*L82*AM82</f>
        <v/>
      </c>
      <c r="P82" s="5">
        <f>INDEX('Player Data'!$H:$H,AL82)/INDEX('Player Data'!$E:$E,AL82)*M82*L82*AM82</f>
        <v/>
      </c>
      <c r="Q82" s="5">
        <f>INDEX('Player Data'!$I:$I,AL82)/INDEX('Player Data'!$E:$E,AL82)*M82*L82*AM82</f>
        <v/>
      </c>
      <c r="R82" s="5">
        <f>INDEX('Player Data'!$J:$J,AL82)/INDEX('Player Data'!$E:$E,AL82)*M82*L82*AM82</f>
        <v/>
      </c>
      <c r="S82" s="5">
        <f>INDEX('Player Data'!$K:$K,AL82)/INDEX('Player Data'!$E:$E,AL82)*M82*L82*AM82</f>
        <v/>
      </c>
      <c r="T82" s="5">
        <f>INDEX('Player Data'!$L:$L,AL82)/INDEX('Player Data'!$E:$E,AL82)*M82*L82*AM82</f>
        <v/>
      </c>
      <c r="U82" s="7">
        <f>INDEX('Player Data'!$M:$M,AL82)</f>
        <v/>
      </c>
      <c r="V82" s="7">
        <f>INDEX('Player Data'!$N:$N,AL82)</f>
        <v/>
      </c>
      <c r="W82" s="5">
        <f>X82*U82</f>
        <v/>
      </c>
      <c r="X82" s="5">
        <f>INDEX('Player Data'!$O:$O,AL82)/INDEX('Player Data'!$E:$E,AL82)*M82*L82*AM82</f>
        <v/>
      </c>
      <c r="Y82" s="5">
        <f>Z82*V82</f>
        <v/>
      </c>
      <c r="Z82" s="5">
        <f>INDEX('Player Data'!$P:$P,AL82)/INDEX('Player Data'!$E:$E,AL82)*M82*L82*AM82</f>
        <v/>
      </c>
      <c r="AB82" s="3">
        <f>(N82-Pool!$D$2)/Pool!$E$2</f>
        <v/>
      </c>
      <c r="AC82" s="3">
        <f>(O82-Pool!$D$3)/Pool!$E$3</f>
        <v/>
      </c>
      <c r="AD82" s="3">
        <f>(P82-Pool!$D$4)/Pool!$E$4</f>
        <v/>
      </c>
      <c r="AE82" s="3">
        <f>(Q82-Pool!$D$5)/Pool!$E$5</f>
        <v/>
      </c>
      <c r="AF82" s="3">
        <f>(R82-Pool!$D$6)/Pool!$E$6</f>
        <v/>
      </c>
      <c r="AG82" s="3">
        <f>(S82-Pool!$D$7)/Pool!$E$7</f>
        <v/>
      </c>
      <c r="AH82" s="3">
        <f>(AS82-Pool!$D$8)/Pool!$E$8</f>
        <v/>
      </c>
      <c r="AI82" s="3">
        <f>(AT82-Pool!$D$9)/Pool!$E$9</f>
        <v/>
      </c>
      <c r="AJ82" s="3">
        <f>-(T82-Pool!$D$10)/Pool!$E$10</f>
        <v/>
      </c>
      <c r="AL82">
        <f>MATCH(B82,'Player Data'!$A:$A,0)</f>
        <v/>
      </c>
      <c r="AM82" s="3">
        <f>1+IF(Settings!$F$10="ON",IFERROR(VLOOKUP(TRIM(F82),Settings!$D$12:$F$17,3,FALSE),0),0)</f>
        <v/>
      </c>
      <c r="AN82">
        <f>IFERROR(LEFT(C82,FIND(",",C82)-1),C82)</f>
        <v/>
      </c>
      <c r="AO82" s="6">
        <f>X82*(U82-Pool!$B$12)</f>
        <v/>
      </c>
      <c r="AP82" s="6">
        <f>Z82*(V82-Pool!$B$13)</f>
        <v/>
      </c>
      <c r="AQ82" s="3">
        <f>Settings!$B$2*(N82-Pool!$B$2)/Pool!$C$2+Settings!$B$3*(O82-Pool!$B$3)/Pool!$C$3+Settings!$B$4*(P82-Pool!$B$4)/Pool!$C$4+Settings!$B$5*(Q82-Pool!$B$5)/Pool!$C$5+Settings!$B$6*(R82-Pool!$B$6)/Pool!$C$6+Settings!$B$7*(S82-Pool!$B$7)/Pool!$C$7+Settings!$B$8*(AO82-Pool!$B$8)/Pool!$C$8+Settings!$B$9*(AP82-Pool!$B$9)/Pool!$C$9+Settings!$B$10*-(T82-Pool!$B$10)/Pool!$C$10</f>
        <v/>
      </c>
      <c r="AR82">
        <f>IF(RANK(AQ82,$AQ$2:$AQ$266)&lt;=Settings!$F$5,1,0)</f>
        <v/>
      </c>
      <c r="AS82" s="6">
        <f>X82*(U82-Pool!$D$12)</f>
        <v/>
      </c>
      <c r="AT82" s="6">
        <f>Z82*(V82-Pool!$D$13)</f>
        <v/>
      </c>
    </row>
    <row r="83">
      <c r="A83">
        <f>RANK(H83,$H$2:$H$266)</f>
        <v/>
      </c>
      <c r="B83" t="inlineStr">
        <is>
          <t>Ayo Dosunmu</t>
        </is>
      </c>
      <c r="C83">
        <f>INDEX('Player Data'!$C:$C,AL83)</f>
        <v/>
      </c>
      <c r="D83">
        <f>SUMPRODUCT(($AN$2:$AN$266=AN83)*($H$2:$H$266&gt;H83))+1</f>
        <v/>
      </c>
      <c r="E83">
        <f>INDEX('Player Data'!$B:$B,AL83)</f>
        <v/>
      </c>
      <c r="F83" s="2" t="n"/>
      <c r="G83" s="3">
        <f>Settings!$B$2*AB83+Settings!$B$3*AC83+Settings!$B$4*AD83+Settings!$B$5*AE83+Settings!$B$6*AF83+Settings!$B$7*AG83+Settings!$B$8*AH83+Settings!$B$9*AI83+Settings!$B$10*AJ83</f>
        <v/>
      </c>
      <c r="H83" s="3">
        <f>G83-LARGE($G$2:$G$266,Settings!$F$4)</f>
        <v/>
      </c>
      <c r="I83">
        <f>IF(INDEX('Player Data'!$R:$R,AL83)="","",INDEX('Player Data'!$R:$R,AL83))</f>
        <v/>
      </c>
      <c r="J83" s="4">
        <f>IF(I83="","",I83-A83)</f>
        <v/>
      </c>
      <c r="L83" s="5">
        <f>IF(Settings!$F$7="Yes",INDEX('Minutes &amp; Health'!$O:$O,AL83),Settings!$F$8)</f>
        <v/>
      </c>
      <c r="M83" s="6">
        <f>INDEX('Minutes &amp; Health'!$P:$P,AL83)</f>
        <v/>
      </c>
      <c r="N83" s="5">
        <f>INDEX('Player Data'!$F:$F,AL83)/INDEX('Player Data'!$E:$E,AL83)*M83*L83*AM83</f>
        <v/>
      </c>
      <c r="O83" s="5">
        <f>INDEX('Player Data'!$G:$G,AL83)/INDEX('Player Data'!$E:$E,AL83)*M83*L83*AM83</f>
        <v/>
      </c>
      <c r="P83" s="5">
        <f>INDEX('Player Data'!$H:$H,AL83)/INDEX('Player Data'!$E:$E,AL83)*M83*L83*AM83</f>
        <v/>
      </c>
      <c r="Q83" s="5">
        <f>INDEX('Player Data'!$I:$I,AL83)/INDEX('Player Data'!$E:$E,AL83)*M83*L83*AM83</f>
        <v/>
      </c>
      <c r="R83" s="5">
        <f>INDEX('Player Data'!$J:$J,AL83)/INDEX('Player Data'!$E:$E,AL83)*M83*L83*AM83</f>
        <v/>
      </c>
      <c r="S83" s="5">
        <f>INDEX('Player Data'!$K:$K,AL83)/INDEX('Player Data'!$E:$E,AL83)*M83*L83*AM83</f>
        <v/>
      </c>
      <c r="T83" s="5">
        <f>INDEX('Player Data'!$L:$L,AL83)/INDEX('Player Data'!$E:$E,AL83)*M83*L83*AM83</f>
        <v/>
      </c>
      <c r="U83" s="7">
        <f>INDEX('Player Data'!$M:$M,AL83)</f>
        <v/>
      </c>
      <c r="V83" s="7">
        <f>INDEX('Player Data'!$N:$N,AL83)</f>
        <v/>
      </c>
      <c r="W83" s="5">
        <f>X83*U83</f>
        <v/>
      </c>
      <c r="X83" s="5">
        <f>INDEX('Player Data'!$O:$O,AL83)/INDEX('Player Data'!$E:$E,AL83)*M83*L83*AM83</f>
        <v/>
      </c>
      <c r="Y83" s="5">
        <f>Z83*V83</f>
        <v/>
      </c>
      <c r="Z83" s="5">
        <f>INDEX('Player Data'!$P:$P,AL83)/INDEX('Player Data'!$E:$E,AL83)*M83*L83*AM83</f>
        <v/>
      </c>
      <c r="AB83" s="3">
        <f>(N83-Pool!$D$2)/Pool!$E$2</f>
        <v/>
      </c>
      <c r="AC83" s="3">
        <f>(O83-Pool!$D$3)/Pool!$E$3</f>
        <v/>
      </c>
      <c r="AD83" s="3">
        <f>(P83-Pool!$D$4)/Pool!$E$4</f>
        <v/>
      </c>
      <c r="AE83" s="3">
        <f>(Q83-Pool!$D$5)/Pool!$E$5</f>
        <v/>
      </c>
      <c r="AF83" s="3">
        <f>(R83-Pool!$D$6)/Pool!$E$6</f>
        <v/>
      </c>
      <c r="AG83" s="3">
        <f>(S83-Pool!$D$7)/Pool!$E$7</f>
        <v/>
      </c>
      <c r="AH83" s="3">
        <f>(AS83-Pool!$D$8)/Pool!$E$8</f>
        <v/>
      </c>
      <c r="AI83" s="3">
        <f>(AT83-Pool!$D$9)/Pool!$E$9</f>
        <v/>
      </c>
      <c r="AJ83" s="3">
        <f>-(T83-Pool!$D$10)/Pool!$E$10</f>
        <v/>
      </c>
      <c r="AL83">
        <f>MATCH(B83,'Player Data'!$A:$A,0)</f>
        <v/>
      </c>
      <c r="AM83" s="3">
        <f>1+IF(Settings!$F$10="ON",IFERROR(VLOOKUP(TRIM(F83),Settings!$D$12:$F$17,3,FALSE),0),0)</f>
        <v/>
      </c>
      <c r="AN83">
        <f>IFERROR(LEFT(C83,FIND(",",C83)-1),C83)</f>
        <v/>
      </c>
      <c r="AO83" s="6">
        <f>X83*(U83-Pool!$B$12)</f>
        <v/>
      </c>
      <c r="AP83" s="6">
        <f>Z83*(V83-Pool!$B$13)</f>
        <v/>
      </c>
      <c r="AQ83" s="3">
        <f>Settings!$B$2*(N83-Pool!$B$2)/Pool!$C$2+Settings!$B$3*(O83-Pool!$B$3)/Pool!$C$3+Settings!$B$4*(P83-Pool!$B$4)/Pool!$C$4+Settings!$B$5*(Q83-Pool!$B$5)/Pool!$C$5+Settings!$B$6*(R83-Pool!$B$6)/Pool!$C$6+Settings!$B$7*(S83-Pool!$B$7)/Pool!$C$7+Settings!$B$8*(AO83-Pool!$B$8)/Pool!$C$8+Settings!$B$9*(AP83-Pool!$B$9)/Pool!$C$9+Settings!$B$10*-(T83-Pool!$B$10)/Pool!$C$10</f>
        <v/>
      </c>
      <c r="AR83">
        <f>IF(RANK(AQ83,$AQ$2:$AQ$266)&lt;=Settings!$F$5,1,0)</f>
        <v/>
      </c>
      <c r="AS83" s="6">
        <f>X83*(U83-Pool!$D$12)</f>
        <v/>
      </c>
      <c r="AT83" s="6">
        <f>Z83*(V83-Pool!$D$13)</f>
        <v/>
      </c>
    </row>
    <row r="84">
      <c r="A84">
        <f>RANK(H84,$H$2:$H$266)</f>
        <v/>
      </c>
      <c r="B84" t="inlineStr">
        <is>
          <t>Payton Pritchard</t>
        </is>
      </c>
      <c r="C84">
        <f>INDEX('Player Data'!$C:$C,AL84)</f>
        <v/>
      </c>
      <c r="D84">
        <f>SUMPRODUCT(($AN$2:$AN$266=AN84)*($H$2:$H$266&gt;H84))+1</f>
        <v/>
      </c>
      <c r="E84">
        <f>INDEX('Player Data'!$B:$B,AL84)</f>
        <v/>
      </c>
      <c r="F84" s="2" t="n"/>
      <c r="G84" s="3">
        <f>Settings!$B$2*AB84+Settings!$B$3*AC84+Settings!$B$4*AD84+Settings!$B$5*AE84+Settings!$B$6*AF84+Settings!$B$7*AG84+Settings!$B$8*AH84+Settings!$B$9*AI84+Settings!$B$10*AJ84</f>
        <v/>
      </c>
      <c r="H84" s="3">
        <f>G84-LARGE($G$2:$G$266,Settings!$F$4)</f>
        <v/>
      </c>
      <c r="I84">
        <f>IF(INDEX('Player Data'!$R:$R,AL84)="","",INDEX('Player Data'!$R:$R,AL84))</f>
        <v/>
      </c>
      <c r="J84" s="4">
        <f>IF(I84="","",I84-A84)</f>
        <v/>
      </c>
      <c r="L84" s="5">
        <f>IF(Settings!$F$7="Yes",INDEX('Minutes &amp; Health'!$O:$O,AL84),Settings!$F$8)</f>
        <v/>
      </c>
      <c r="M84" s="6">
        <f>INDEX('Minutes &amp; Health'!$P:$P,AL84)</f>
        <v/>
      </c>
      <c r="N84" s="5">
        <f>INDEX('Player Data'!$F:$F,AL84)/INDEX('Player Data'!$E:$E,AL84)*M84*L84*AM84</f>
        <v/>
      </c>
      <c r="O84" s="5">
        <f>INDEX('Player Data'!$G:$G,AL84)/INDEX('Player Data'!$E:$E,AL84)*M84*L84*AM84</f>
        <v/>
      </c>
      <c r="P84" s="5">
        <f>INDEX('Player Data'!$H:$H,AL84)/INDEX('Player Data'!$E:$E,AL84)*M84*L84*AM84</f>
        <v/>
      </c>
      <c r="Q84" s="5">
        <f>INDEX('Player Data'!$I:$I,AL84)/INDEX('Player Data'!$E:$E,AL84)*M84*L84*AM84</f>
        <v/>
      </c>
      <c r="R84" s="5">
        <f>INDEX('Player Data'!$J:$J,AL84)/INDEX('Player Data'!$E:$E,AL84)*M84*L84*AM84</f>
        <v/>
      </c>
      <c r="S84" s="5">
        <f>INDEX('Player Data'!$K:$K,AL84)/INDEX('Player Data'!$E:$E,AL84)*M84*L84*AM84</f>
        <v/>
      </c>
      <c r="T84" s="5">
        <f>INDEX('Player Data'!$L:$L,AL84)/INDEX('Player Data'!$E:$E,AL84)*M84*L84*AM84</f>
        <v/>
      </c>
      <c r="U84" s="7">
        <f>INDEX('Player Data'!$M:$M,AL84)</f>
        <v/>
      </c>
      <c r="V84" s="7">
        <f>INDEX('Player Data'!$N:$N,AL84)</f>
        <v/>
      </c>
      <c r="W84" s="5">
        <f>X84*U84</f>
        <v/>
      </c>
      <c r="X84" s="5">
        <f>INDEX('Player Data'!$O:$O,AL84)/INDEX('Player Data'!$E:$E,AL84)*M84*L84*AM84</f>
        <v/>
      </c>
      <c r="Y84" s="5">
        <f>Z84*V84</f>
        <v/>
      </c>
      <c r="Z84" s="5">
        <f>INDEX('Player Data'!$P:$P,AL84)/INDEX('Player Data'!$E:$E,AL84)*M84*L84*AM84</f>
        <v/>
      </c>
      <c r="AB84" s="3">
        <f>(N84-Pool!$D$2)/Pool!$E$2</f>
        <v/>
      </c>
      <c r="AC84" s="3">
        <f>(O84-Pool!$D$3)/Pool!$E$3</f>
        <v/>
      </c>
      <c r="AD84" s="3">
        <f>(P84-Pool!$D$4)/Pool!$E$4</f>
        <v/>
      </c>
      <c r="AE84" s="3">
        <f>(Q84-Pool!$D$5)/Pool!$E$5</f>
        <v/>
      </c>
      <c r="AF84" s="3">
        <f>(R84-Pool!$D$6)/Pool!$E$6</f>
        <v/>
      </c>
      <c r="AG84" s="3">
        <f>(S84-Pool!$D$7)/Pool!$E$7</f>
        <v/>
      </c>
      <c r="AH84" s="3">
        <f>(AS84-Pool!$D$8)/Pool!$E$8</f>
        <v/>
      </c>
      <c r="AI84" s="3">
        <f>(AT84-Pool!$D$9)/Pool!$E$9</f>
        <v/>
      </c>
      <c r="AJ84" s="3">
        <f>-(T84-Pool!$D$10)/Pool!$E$10</f>
        <v/>
      </c>
      <c r="AL84">
        <f>MATCH(B84,'Player Data'!$A:$A,0)</f>
        <v/>
      </c>
      <c r="AM84" s="3">
        <f>1+IF(Settings!$F$10="ON",IFERROR(VLOOKUP(TRIM(F84),Settings!$D$12:$F$17,3,FALSE),0),0)</f>
        <v/>
      </c>
      <c r="AN84">
        <f>IFERROR(LEFT(C84,FIND(",",C84)-1),C84)</f>
        <v/>
      </c>
      <c r="AO84" s="6">
        <f>X84*(U84-Pool!$B$12)</f>
        <v/>
      </c>
      <c r="AP84" s="6">
        <f>Z84*(V84-Pool!$B$13)</f>
        <v/>
      </c>
      <c r="AQ84" s="3">
        <f>Settings!$B$2*(N84-Pool!$B$2)/Pool!$C$2+Settings!$B$3*(O84-Pool!$B$3)/Pool!$C$3+Settings!$B$4*(P84-Pool!$B$4)/Pool!$C$4+Settings!$B$5*(Q84-Pool!$B$5)/Pool!$C$5+Settings!$B$6*(R84-Pool!$B$6)/Pool!$C$6+Settings!$B$7*(S84-Pool!$B$7)/Pool!$C$7+Settings!$B$8*(AO84-Pool!$B$8)/Pool!$C$8+Settings!$B$9*(AP84-Pool!$B$9)/Pool!$C$9+Settings!$B$10*-(T84-Pool!$B$10)/Pool!$C$10</f>
        <v/>
      </c>
      <c r="AR84">
        <f>IF(RANK(AQ84,$AQ$2:$AQ$266)&lt;=Settings!$F$5,1,0)</f>
        <v/>
      </c>
      <c r="AS84" s="6">
        <f>X84*(U84-Pool!$D$12)</f>
        <v/>
      </c>
      <c r="AT84" s="6">
        <f>Z84*(V84-Pool!$D$13)</f>
        <v/>
      </c>
    </row>
    <row r="85">
      <c r="A85">
        <f>RANK(H85,$H$2:$H$266)</f>
        <v/>
      </c>
      <c r="B85" t="inlineStr">
        <is>
          <t>Matas Buzelis</t>
        </is>
      </c>
      <c r="C85">
        <f>INDEX('Player Data'!$C:$C,AL85)</f>
        <v/>
      </c>
      <c r="D85">
        <f>SUMPRODUCT(($AN$2:$AN$266=AN85)*($H$2:$H$266&gt;H85))+1</f>
        <v/>
      </c>
      <c r="E85">
        <f>INDEX('Player Data'!$B:$B,AL85)</f>
        <v/>
      </c>
      <c r="F85" s="2" t="n"/>
      <c r="G85" s="3">
        <f>Settings!$B$2*AB85+Settings!$B$3*AC85+Settings!$B$4*AD85+Settings!$B$5*AE85+Settings!$B$6*AF85+Settings!$B$7*AG85+Settings!$B$8*AH85+Settings!$B$9*AI85+Settings!$B$10*AJ85</f>
        <v/>
      </c>
      <c r="H85" s="3">
        <f>G85-LARGE($G$2:$G$266,Settings!$F$4)</f>
        <v/>
      </c>
      <c r="I85">
        <f>IF(INDEX('Player Data'!$R:$R,AL85)="","",INDEX('Player Data'!$R:$R,AL85))</f>
        <v/>
      </c>
      <c r="J85" s="4">
        <f>IF(I85="","",I85-A85)</f>
        <v/>
      </c>
      <c r="L85" s="5">
        <f>IF(Settings!$F$7="Yes",INDEX('Minutes &amp; Health'!$O:$O,AL85),Settings!$F$8)</f>
        <v/>
      </c>
      <c r="M85" s="6">
        <f>INDEX('Minutes &amp; Health'!$P:$P,AL85)</f>
        <v/>
      </c>
      <c r="N85" s="5">
        <f>INDEX('Player Data'!$F:$F,AL85)/INDEX('Player Data'!$E:$E,AL85)*M85*L85*AM85</f>
        <v/>
      </c>
      <c r="O85" s="5">
        <f>INDEX('Player Data'!$G:$G,AL85)/INDEX('Player Data'!$E:$E,AL85)*M85*L85*AM85</f>
        <v/>
      </c>
      <c r="P85" s="5">
        <f>INDEX('Player Data'!$H:$H,AL85)/INDEX('Player Data'!$E:$E,AL85)*M85*L85*AM85</f>
        <v/>
      </c>
      <c r="Q85" s="5">
        <f>INDEX('Player Data'!$I:$I,AL85)/INDEX('Player Data'!$E:$E,AL85)*M85*L85*AM85</f>
        <v/>
      </c>
      <c r="R85" s="5">
        <f>INDEX('Player Data'!$J:$J,AL85)/INDEX('Player Data'!$E:$E,AL85)*M85*L85*AM85</f>
        <v/>
      </c>
      <c r="S85" s="5">
        <f>INDEX('Player Data'!$K:$K,AL85)/INDEX('Player Data'!$E:$E,AL85)*M85*L85*AM85</f>
        <v/>
      </c>
      <c r="T85" s="5">
        <f>INDEX('Player Data'!$L:$L,AL85)/INDEX('Player Data'!$E:$E,AL85)*M85*L85*AM85</f>
        <v/>
      </c>
      <c r="U85" s="7">
        <f>INDEX('Player Data'!$M:$M,AL85)</f>
        <v/>
      </c>
      <c r="V85" s="7">
        <f>INDEX('Player Data'!$N:$N,AL85)</f>
        <v/>
      </c>
      <c r="W85" s="5">
        <f>X85*U85</f>
        <v/>
      </c>
      <c r="X85" s="5">
        <f>INDEX('Player Data'!$O:$O,AL85)/INDEX('Player Data'!$E:$E,AL85)*M85*L85*AM85</f>
        <v/>
      </c>
      <c r="Y85" s="5">
        <f>Z85*V85</f>
        <v/>
      </c>
      <c r="Z85" s="5">
        <f>INDEX('Player Data'!$P:$P,AL85)/INDEX('Player Data'!$E:$E,AL85)*M85*L85*AM85</f>
        <v/>
      </c>
      <c r="AB85" s="3">
        <f>(N85-Pool!$D$2)/Pool!$E$2</f>
        <v/>
      </c>
      <c r="AC85" s="3">
        <f>(O85-Pool!$D$3)/Pool!$E$3</f>
        <v/>
      </c>
      <c r="AD85" s="3">
        <f>(P85-Pool!$D$4)/Pool!$E$4</f>
        <v/>
      </c>
      <c r="AE85" s="3">
        <f>(Q85-Pool!$D$5)/Pool!$E$5</f>
        <v/>
      </c>
      <c r="AF85" s="3">
        <f>(R85-Pool!$D$6)/Pool!$E$6</f>
        <v/>
      </c>
      <c r="AG85" s="3">
        <f>(S85-Pool!$D$7)/Pool!$E$7</f>
        <v/>
      </c>
      <c r="AH85" s="3">
        <f>(AS85-Pool!$D$8)/Pool!$E$8</f>
        <v/>
      </c>
      <c r="AI85" s="3">
        <f>(AT85-Pool!$D$9)/Pool!$E$9</f>
        <v/>
      </c>
      <c r="AJ85" s="3">
        <f>-(T85-Pool!$D$10)/Pool!$E$10</f>
        <v/>
      </c>
      <c r="AL85">
        <f>MATCH(B85,'Player Data'!$A:$A,0)</f>
        <v/>
      </c>
      <c r="AM85" s="3">
        <f>1+IF(Settings!$F$10="ON",IFERROR(VLOOKUP(TRIM(F85),Settings!$D$12:$F$17,3,FALSE),0),0)</f>
        <v/>
      </c>
      <c r="AN85">
        <f>IFERROR(LEFT(C85,FIND(",",C85)-1),C85)</f>
        <v/>
      </c>
      <c r="AO85" s="6">
        <f>X85*(U85-Pool!$B$12)</f>
        <v/>
      </c>
      <c r="AP85" s="6">
        <f>Z85*(V85-Pool!$B$13)</f>
        <v/>
      </c>
      <c r="AQ85" s="3">
        <f>Settings!$B$2*(N85-Pool!$B$2)/Pool!$C$2+Settings!$B$3*(O85-Pool!$B$3)/Pool!$C$3+Settings!$B$4*(P85-Pool!$B$4)/Pool!$C$4+Settings!$B$5*(Q85-Pool!$B$5)/Pool!$C$5+Settings!$B$6*(R85-Pool!$B$6)/Pool!$C$6+Settings!$B$7*(S85-Pool!$B$7)/Pool!$C$7+Settings!$B$8*(AO85-Pool!$B$8)/Pool!$C$8+Settings!$B$9*(AP85-Pool!$B$9)/Pool!$C$9+Settings!$B$10*-(T85-Pool!$B$10)/Pool!$C$10</f>
        <v/>
      </c>
      <c r="AR85">
        <f>IF(RANK(AQ85,$AQ$2:$AQ$266)&lt;=Settings!$F$5,1,0)</f>
        <v/>
      </c>
      <c r="AS85" s="6">
        <f>X85*(U85-Pool!$D$12)</f>
        <v/>
      </c>
      <c r="AT85" s="6">
        <f>Z85*(V85-Pool!$D$13)</f>
        <v/>
      </c>
    </row>
    <row r="86">
      <c r="A86">
        <f>RANK(H86,$H$2:$H$266)</f>
        <v/>
      </c>
      <c r="B86" t="inlineStr">
        <is>
          <t>De'Aaron Fox</t>
        </is>
      </c>
      <c r="C86">
        <f>INDEX('Player Data'!$C:$C,AL86)</f>
        <v/>
      </c>
      <c r="D86">
        <f>SUMPRODUCT(($AN$2:$AN$266=AN86)*($H$2:$H$266&gt;H86))+1</f>
        <v/>
      </c>
      <c r="E86">
        <f>INDEX('Player Data'!$B:$B,AL86)</f>
        <v/>
      </c>
      <c r="F86" s="2" t="inlineStr">
        <is>
          <t>-</t>
        </is>
      </c>
      <c r="G86" s="3">
        <f>Settings!$B$2*AB86+Settings!$B$3*AC86+Settings!$B$4*AD86+Settings!$B$5*AE86+Settings!$B$6*AF86+Settings!$B$7*AG86+Settings!$B$8*AH86+Settings!$B$9*AI86+Settings!$B$10*AJ86</f>
        <v/>
      </c>
      <c r="H86" s="3">
        <f>G86-LARGE($G$2:$G$266,Settings!$F$4)</f>
        <v/>
      </c>
      <c r="I86">
        <f>IF(INDEX('Player Data'!$R:$R,AL86)="","",INDEX('Player Data'!$R:$R,AL86))</f>
        <v/>
      </c>
      <c r="J86" s="4">
        <f>IF(I86="","",I86-A86)</f>
        <v/>
      </c>
      <c r="L86" s="5">
        <f>IF(Settings!$F$7="Yes",INDEX('Minutes &amp; Health'!$O:$O,AL86),Settings!$F$8)</f>
        <v/>
      </c>
      <c r="M86" s="6">
        <f>INDEX('Minutes &amp; Health'!$P:$P,AL86)</f>
        <v/>
      </c>
      <c r="N86" s="5">
        <f>INDEX('Player Data'!$F:$F,AL86)/INDEX('Player Data'!$E:$E,AL86)*M86*L86*AM86</f>
        <v/>
      </c>
      <c r="O86" s="5">
        <f>INDEX('Player Data'!$G:$G,AL86)/INDEX('Player Data'!$E:$E,AL86)*M86*L86*AM86</f>
        <v/>
      </c>
      <c r="P86" s="5">
        <f>INDEX('Player Data'!$H:$H,AL86)/INDEX('Player Data'!$E:$E,AL86)*M86*L86*AM86</f>
        <v/>
      </c>
      <c r="Q86" s="5">
        <f>INDEX('Player Data'!$I:$I,AL86)/INDEX('Player Data'!$E:$E,AL86)*M86*L86*AM86</f>
        <v/>
      </c>
      <c r="R86" s="5">
        <f>INDEX('Player Data'!$J:$J,AL86)/INDEX('Player Data'!$E:$E,AL86)*M86*L86*AM86</f>
        <v/>
      </c>
      <c r="S86" s="5">
        <f>INDEX('Player Data'!$K:$K,AL86)/INDEX('Player Data'!$E:$E,AL86)*M86*L86*AM86</f>
        <v/>
      </c>
      <c r="T86" s="5">
        <f>INDEX('Player Data'!$L:$L,AL86)/INDEX('Player Data'!$E:$E,AL86)*M86*L86*AM86</f>
        <v/>
      </c>
      <c r="U86" s="7">
        <f>INDEX('Player Data'!$M:$M,AL86)</f>
        <v/>
      </c>
      <c r="V86" s="7">
        <f>INDEX('Player Data'!$N:$N,AL86)</f>
        <v/>
      </c>
      <c r="W86" s="5">
        <f>X86*U86</f>
        <v/>
      </c>
      <c r="X86" s="5">
        <f>INDEX('Player Data'!$O:$O,AL86)/INDEX('Player Data'!$E:$E,AL86)*M86*L86*AM86</f>
        <v/>
      </c>
      <c r="Y86" s="5">
        <f>Z86*V86</f>
        <v/>
      </c>
      <c r="Z86" s="5">
        <f>INDEX('Player Data'!$P:$P,AL86)/INDEX('Player Data'!$E:$E,AL86)*M86*L86*AM86</f>
        <v/>
      </c>
      <c r="AB86" s="3">
        <f>(N86-Pool!$D$2)/Pool!$E$2</f>
        <v/>
      </c>
      <c r="AC86" s="3">
        <f>(O86-Pool!$D$3)/Pool!$E$3</f>
        <v/>
      </c>
      <c r="AD86" s="3">
        <f>(P86-Pool!$D$4)/Pool!$E$4</f>
        <v/>
      </c>
      <c r="AE86" s="3">
        <f>(Q86-Pool!$D$5)/Pool!$E$5</f>
        <v/>
      </c>
      <c r="AF86" s="3">
        <f>(R86-Pool!$D$6)/Pool!$E$6</f>
        <v/>
      </c>
      <c r="AG86" s="3">
        <f>(S86-Pool!$D$7)/Pool!$E$7</f>
        <v/>
      </c>
      <c r="AH86" s="3">
        <f>(AS86-Pool!$D$8)/Pool!$E$8</f>
        <v/>
      </c>
      <c r="AI86" s="3">
        <f>(AT86-Pool!$D$9)/Pool!$E$9</f>
        <v/>
      </c>
      <c r="AJ86" s="3">
        <f>-(T86-Pool!$D$10)/Pool!$E$10</f>
        <v/>
      </c>
      <c r="AL86">
        <f>MATCH(B86,'Player Data'!$A:$A,0)</f>
        <v/>
      </c>
      <c r="AM86" s="3">
        <f>1+IF(Settings!$F$10="ON",IFERROR(VLOOKUP(TRIM(F86),Settings!$D$12:$F$17,3,FALSE),0),0)</f>
        <v/>
      </c>
      <c r="AN86">
        <f>IFERROR(LEFT(C86,FIND(",",C86)-1),C86)</f>
        <v/>
      </c>
      <c r="AO86" s="6">
        <f>X86*(U86-Pool!$B$12)</f>
        <v/>
      </c>
      <c r="AP86" s="6">
        <f>Z86*(V86-Pool!$B$13)</f>
        <v/>
      </c>
      <c r="AQ86" s="3">
        <f>Settings!$B$2*(N86-Pool!$B$2)/Pool!$C$2+Settings!$B$3*(O86-Pool!$B$3)/Pool!$C$3+Settings!$B$4*(P86-Pool!$B$4)/Pool!$C$4+Settings!$B$5*(Q86-Pool!$B$5)/Pool!$C$5+Settings!$B$6*(R86-Pool!$B$6)/Pool!$C$6+Settings!$B$7*(S86-Pool!$B$7)/Pool!$C$7+Settings!$B$8*(AO86-Pool!$B$8)/Pool!$C$8+Settings!$B$9*(AP86-Pool!$B$9)/Pool!$C$9+Settings!$B$10*-(T86-Pool!$B$10)/Pool!$C$10</f>
        <v/>
      </c>
      <c r="AR86">
        <f>IF(RANK(AQ86,$AQ$2:$AQ$266)&lt;=Settings!$F$5,1,0)</f>
        <v/>
      </c>
      <c r="AS86" s="6">
        <f>X86*(U86-Pool!$D$12)</f>
        <v/>
      </c>
      <c r="AT86" s="6">
        <f>Z86*(V86-Pool!$D$13)</f>
        <v/>
      </c>
    </row>
    <row r="87">
      <c r="A87">
        <f>RANK(H87,$H$2:$H$266)</f>
        <v/>
      </c>
      <c r="B87" t="inlineStr">
        <is>
          <t>Keyonte George</t>
        </is>
      </c>
      <c r="C87">
        <f>INDEX('Player Data'!$C:$C,AL87)</f>
        <v/>
      </c>
      <c r="D87">
        <f>SUMPRODUCT(($AN$2:$AN$266=AN87)*($H$2:$H$266&gt;H87))+1</f>
        <v/>
      </c>
      <c r="E87">
        <f>INDEX('Player Data'!$B:$B,AL87)</f>
        <v/>
      </c>
      <c r="F87" s="2" t="n"/>
      <c r="G87" s="3">
        <f>Settings!$B$2*AB87+Settings!$B$3*AC87+Settings!$B$4*AD87+Settings!$B$5*AE87+Settings!$B$6*AF87+Settings!$B$7*AG87+Settings!$B$8*AH87+Settings!$B$9*AI87+Settings!$B$10*AJ87</f>
        <v/>
      </c>
      <c r="H87" s="3">
        <f>G87-LARGE($G$2:$G$266,Settings!$F$4)</f>
        <v/>
      </c>
      <c r="I87">
        <f>IF(INDEX('Player Data'!$R:$R,AL87)="","",INDEX('Player Data'!$R:$R,AL87))</f>
        <v/>
      </c>
      <c r="J87" s="4">
        <f>IF(I87="","",I87-A87)</f>
        <v/>
      </c>
      <c r="L87" s="5">
        <f>IF(Settings!$F$7="Yes",INDEX('Minutes &amp; Health'!$O:$O,AL87),Settings!$F$8)</f>
        <v/>
      </c>
      <c r="M87" s="6">
        <f>INDEX('Minutes &amp; Health'!$P:$P,AL87)</f>
        <v/>
      </c>
      <c r="N87" s="5">
        <f>INDEX('Player Data'!$F:$F,AL87)/INDEX('Player Data'!$E:$E,AL87)*M87*L87*AM87</f>
        <v/>
      </c>
      <c r="O87" s="5">
        <f>INDEX('Player Data'!$G:$G,AL87)/INDEX('Player Data'!$E:$E,AL87)*M87*L87*AM87</f>
        <v/>
      </c>
      <c r="P87" s="5">
        <f>INDEX('Player Data'!$H:$H,AL87)/INDEX('Player Data'!$E:$E,AL87)*M87*L87*AM87</f>
        <v/>
      </c>
      <c r="Q87" s="5">
        <f>INDEX('Player Data'!$I:$I,AL87)/INDEX('Player Data'!$E:$E,AL87)*M87*L87*AM87</f>
        <v/>
      </c>
      <c r="R87" s="5">
        <f>INDEX('Player Data'!$J:$J,AL87)/INDEX('Player Data'!$E:$E,AL87)*M87*L87*AM87</f>
        <v/>
      </c>
      <c r="S87" s="5">
        <f>INDEX('Player Data'!$K:$K,AL87)/INDEX('Player Data'!$E:$E,AL87)*M87*L87*AM87</f>
        <v/>
      </c>
      <c r="T87" s="5">
        <f>INDEX('Player Data'!$L:$L,AL87)/INDEX('Player Data'!$E:$E,AL87)*M87*L87*AM87</f>
        <v/>
      </c>
      <c r="U87" s="7">
        <f>INDEX('Player Data'!$M:$M,AL87)</f>
        <v/>
      </c>
      <c r="V87" s="7">
        <f>INDEX('Player Data'!$N:$N,AL87)</f>
        <v/>
      </c>
      <c r="W87" s="5">
        <f>X87*U87</f>
        <v/>
      </c>
      <c r="X87" s="5">
        <f>INDEX('Player Data'!$O:$O,AL87)/INDEX('Player Data'!$E:$E,AL87)*M87*L87*AM87</f>
        <v/>
      </c>
      <c r="Y87" s="5">
        <f>Z87*V87</f>
        <v/>
      </c>
      <c r="Z87" s="5">
        <f>INDEX('Player Data'!$P:$P,AL87)/INDEX('Player Data'!$E:$E,AL87)*M87*L87*AM87</f>
        <v/>
      </c>
      <c r="AB87" s="3">
        <f>(N87-Pool!$D$2)/Pool!$E$2</f>
        <v/>
      </c>
      <c r="AC87" s="3">
        <f>(O87-Pool!$D$3)/Pool!$E$3</f>
        <v/>
      </c>
      <c r="AD87" s="3">
        <f>(P87-Pool!$D$4)/Pool!$E$4</f>
        <v/>
      </c>
      <c r="AE87" s="3">
        <f>(Q87-Pool!$D$5)/Pool!$E$5</f>
        <v/>
      </c>
      <c r="AF87" s="3">
        <f>(R87-Pool!$D$6)/Pool!$E$6</f>
        <v/>
      </c>
      <c r="AG87" s="3">
        <f>(S87-Pool!$D$7)/Pool!$E$7</f>
        <v/>
      </c>
      <c r="AH87" s="3">
        <f>(AS87-Pool!$D$8)/Pool!$E$8</f>
        <v/>
      </c>
      <c r="AI87" s="3">
        <f>(AT87-Pool!$D$9)/Pool!$E$9</f>
        <v/>
      </c>
      <c r="AJ87" s="3">
        <f>-(T87-Pool!$D$10)/Pool!$E$10</f>
        <v/>
      </c>
      <c r="AL87">
        <f>MATCH(B87,'Player Data'!$A:$A,0)</f>
        <v/>
      </c>
      <c r="AM87" s="3">
        <f>1+IF(Settings!$F$10="ON",IFERROR(VLOOKUP(TRIM(F87),Settings!$D$12:$F$17,3,FALSE),0),0)</f>
        <v/>
      </c>
      <c r="AN87">
        <f>IFERROR(LEFT(C87,FIND(",",C87)-1),C87)</f>
        <v/>
      </c>
      <c r="AO87" s="6">
        <f>X87*(U87-Pool!$B$12)</f>
        <v/>
      </c>
      <c r="AP87" s="6">
        <f>Z87*(V87-Pool!$B$13)</f>
        <v/>
      </c>
      <c r="AQ87" s="3">
        <f>Settings!$B$2*(N87-Pool!$B$2)/Pool!$C$2+Settings!$B$3*(O87-Pool!$B$3)/Pool!$C$3+Settings!$B$4*(P87-Pool!$B$4)/Pool!$C$4+Settings!$B$5*(Q87-Pool!$B$5)/Pool!$C$5+Settings!$B$6*(R87-Pool!$B$6)/Pool!$C$6+Settings!$B$7*(S87-Pool!$B$7)/Pool!$C$7+Settings!$B$8*(AO87-Pool!$B$8)/Pool!$C$8+Settings!$B$9*(AP87-Pool!$B$9)/Pool!$C$9+Settings!$B$10*-(T87-Pool!$B$10)/Pool!$C$10</f>
        <v/>
      </c>
      <c r="AR87">
        <f>IF(RANK(AQ87,$AQ$2:$AQ$266)&lt;=Settings!$F$5,1,0)</f>
        <v/>
      </c>
      <c r="AS87" s="6">
        <f>X87*(U87-Pool!$D$12)</f>
        <v/>
      </c>
      <c r="AT87" s="6">
        <f>Z87*(V87-Pool!$D$13)</f>
        <v/>
      </c>
    </row>
    <row r="88">
      <c r="A88">
        <f>RANK(H88,$H$2:$H$266)</f>
        <v/>
      </c>
      <c r="B88" t="inlineStr">
        <is>
          <t>Darryn Peterson</t>
        </is>
      </c>
      <c r="C88">
        <f>INDEX('Player Data'!$C:$C,AL88)</f>
        <v/>
      </c>
      <c r="D88">
        <f>SUMPRODUCT(($AN$2:$AN$266=AN88)*($H$2:$H$266&gt;H88))+1</f>
        <v/>
      </c>
      <c r="E88">
        <f>INDEX('Player Data'!$B:$B,AL88)</f>
        <v/>
      </c>
      <c r="F88" s="2" t="n"/>
      <c r="G88" s="3">
        <f>Settings!$B$2*AB88+Settings!$B$3*AC88+Settings!$B$4*AD88+Settings!$B$5*AE88+Settings!$B$6*AF88+Settings!$B$7*AG88+Settings!$B$8*AH88+Settings!$B$9*AI88+Settings!$B$10*AJ88</f>
        <v/>
      </c>
      <c r="H88" s="3">
        <f>G88-LARGE($G$2:$G$266,Settings!$F$4)</f>
        <v/>
      </c>
      <c r="I88">
        <f>IF(INDEX('Player Data'!$R:$R,AL88)="","",INDEX('Player Data'!$R:$R,AL88))</f>
        <v/>
      </c>
      <c r="J88" s="4">
        <f>IF(I88="","",I88-A88)</f>
        <v/>
      </c>
      <c r="L88" s="5">
        <f>IF(Settings!$F$7="Yes",INDEX('Minutes &amp; Health'!$O:$O,AL88),Settings!$F$8)</f>
        <v/>
      </c>
      <c r="M88" s="6">
        <f>INDEX('Minutes &amp; Health'!$P:$P,AL88)</f>
        <v/>
      </c>
      <c r="N88" s="5">
        <f>INDEX('Player Data'!$F:$F,AL88)/INDEX('Player Data'!$E:$E,AL88)*M88*L88*AM88</f>
        <v/>
      </c>
      <c r="O88" s="5">
        <f>INDEX('Player Data'!$G:$G,AL88)/INDEX('Player Data'!$E:$E,AL88)*M88*L88*AM88</f>
        <v/>
      </c>
      <c r="P88" s="5">
        <f>INDEX('Player Data'!$H:$H,AL88)/INDEX('Player Data'!$E:$E,AL88)*M88*L88*AM88</f>
        <v/>
      </c>
      <c r="Q88" s="5">
        <f>INDEX('Player Data'!$I:$I,AL88)/INDEX('Player Data'!$E:$E,AL88)*M88*L88*AM88</f>
        <v/>
      </c>
      <c r="R88" s="5">
        <f>INDEX('Player Data'!$J:$J,AL88)/INDEX('Player Data'!$E:$E,AL88)*M88*L88*AM88</f>
        <v/>
      </c>
      <c r="S88" s="5">
        <f>INDEX('Player Data'!$K:$K,AL88)/INDEX('Player Data'!$E:$E,AL88)*M88*L88*AM88</f>
        <v/>
      </c>
      <c r="T88" s="5">
        <f>INDEX('Player Data'!$L:$L,AL88)/INDEX('Player Data'!$E:$E,AL88)*M88*L88*AM88</f>
        <v/>
      </c>
      <c r="U88" s="7">
        <f>INDEX('Player Data'!$M:$M,AL88)</f>
        <v/>
      </c>
      <c r="V88" s="7">
        <f>INDEX('Player Data'!$N:$N,AL88)</f>
        <v/>
      </c>
      <c r="W88" s="5">
        <f>X88*U88</f>
        <v/>
      </c>
      <c r="X88" s="5">
        <f>INDEX('Player Data'!$O:$O,AL88)/INDEX('Player Data'!$E:$E,AL88)*M88*L88*AM88</f>
        <v/>
      </c>
      <c r="Y88" s="5">
        <f>Z88*V88</f>
        <v/>
      </c>
      <c r="Z88" s="5">
        <f>INDEX('Player Data'!$P:$P,AL88)/INDEX('Player Data'!$E:$E,AL88)*M88*L88*AM88</f>
        <v/>
      </c>
      <c r="AB88" s="3">
        <f>(N88-Pool!$D$2)/Pool!$E$2</f>
        <v/>
      </c>
      <c r="AC88" s="3">
        <f>(O88-Pool!$D$3)/Pool!$E$3</f>
        <v/>
      </c>
      <c r="AD88" s="3">
        <f>(P88-Pool!$D$4)/Pool!$E$4</f>
        <v/>
      </c>
      <c r="AE88" s="3">
        <f>(Q88-Pool!$D$5)/Pool!$E$5</f>
        <v/>
      </c>
      <c r="AF88" s="3">
        <f>(R88-Pool!$D$6)/Pool!$E$6</f>
        <v/>
      </c>
      <c r="AG88" s="3">
        <f>(S88-Pool!$D$7)/Pool!$E$7</f>
        <v/>
      </c>
      <c r="AH88" s="3">
        <f>(AS88-Pool!$D$8)/Pool!$E$8</f>
        <v/>
      </c>
      <c r="AI88" s="3">
        <f>(AT88-Pool!$D$9)/Pool!$E$9</f>
        <v/>
      </c>
      <c r="AJ88" s="3">
        <f>-(T88-Pool!$D$10)/Pool!$E$10</f>
        <v/>
      </c>
      <c r="AL88">
        <f>MATCH(B88,'Player Data'!$A:$A,0)</f>
        <v/>
      </c>
      <c r="AM88" s="3">
        <f>1+IF(Settings!$F$10="ON",IFERROR(VLOOKUP(TRIM(F88),Settings!$D$12:$F$17,3,FALSE),0),0)</f>
        <v/>
      </c>
      <c r="AN88">
        <f>IFERROR(LEFT(C88,FIND(",",C88)-1),C88)</f>
        <v/>
      </c>
      <c r="AO88" s="6">
        <f>X88*(U88-Pool!$B$12)</f>
        <v/>
      </c>
      <c r="AP88" s="6">
        <f>Z88*(V88-Pool!$B$13)</f>
        <v/>
      </c>
      <c r="AQ88" s="3">
        <f>Settings!$B$2*(N88-Pool!$B$2)/Pool!$C$2+Settings!$B$3*(O88-Pool!$B$3)/Pool!$C$3+Settings!$B$4*(P88-Pool!$B$4)/Pool!$C$4+Settings!$B$5*(Q88-Pool!$B$5)/Pool!$C$5+Settings!$B$6*(R88-Pool!$B$6)/Pool!$C$6+Settings!$B$7*(S88-Pool!$B$7)/Pool!$C$7+Settings!$B$8*(AO88-Pool!$B$8)/Pool!$C$8+Settings!$B$9*(AP88-Pool!$B$9)/Pool!$C$9+Settings!$B$10*-(T88-Pool!$B$10)/Pool!$C$10</f>
        <v/>
      </c>
      <c r="AR88">
        <f>IF(RANK(AQ88,$AQ$2:$AQ$266)&lt;=Settings!$F$5,1,0)</f>
        <v/>
      </c>
      <c r="AS88" s="6">
        <f>X88*(U88-Pool!$D$12)</f>
        <v/>
      </c>
      <c r="AT88" s="6">
        <f>Z88*(V88-Pool!$D$13)</f>
        <v/>
      </c>
    </row>
    <row r="89">
      <c r="A89">
        <f>RANK(H89,$H$2:$H$266)</f>
        <v/>
      </c>
      <c r="B89" t="inlineStr">
        <is>
          <t>LeBron James</t>
        </is>
      </c>
      <c r="C89">
        <f>INDEX('Player Data'!$C:$C,AL89)</f>
        <v/>
      </c>
      <c r="D89">
        <f>SUMPRODUCT(($AN$2:$AN$266=AN89)*($H$2:$H$266&gt;H89))+1</f>
        <v/>
      </c>
      <c r="E89">
        <f>INDEX('Player Data'!$B:$B,AL89)</f>
        <v/>
      </c>
      <c r="F89" s="2" t="n"/>
      <c r="G89" s="3">
        <f>Settings!$B$2*AB89+Settings!$B$3*AC89+Settings!$B$4*AD89+Settings!$B$5*AE89+Settings!$B$6*AF89+Settings!$B$7*AG89+Settings!$B$8*AH89+Settings!$B$9*AI89+Settings!$B$10*AJ89</f>
        <v/>
      </c>
      <c r="H89" s="3">
        <f>G89-LARGE($G$2:$G$266,Settings!$F$4)</f>
        <v/>
      </c>
      <c r="I89">
        <f>IF(INDEX('Player Data'!$R:$R,AL89)="","",INDEX('Player Data'!$R:$R,AL89))</f>
        <v/>
      </c>
      <c r="J89" s="4">
        <f>IF(I89="","",I89-A89)</f>
        <v/>
      </c>
      <c r="L89" s="5">
        <f>IF(Settings!$F$7="Yes",INDEX('Minutes &amp; Health'!$O:$O,AL89),Settings!$F$8)</f>
        <v/>
      </c>
      <c r="M89" s="6">
        <f>INDEX('Minutes &amp; Health'!$P:$P,AL89)</f>
        <v/>
      </c>
      <c r="N89" s="5">
        <f>INDEX('Player Data'!$F:$F,AL89)/INDEX('Player Data'!$E:$E,AL89)*M89*L89*AM89</f>
        <v/>
      </c>
      <c r="O89" s="5">
        <f>INDEX('Player Data'!$G:$G,AL89)/INDEX('Player Data'!$E:$E,AL89)*M89*L89*AM89</f>
        <v/>
      </c>
      <c r="P89" s="5">
        <f>INDEX('Player Data'!$H:$H,AL89)/INDEX('Player Data'!$E:$E,AL89)*M89*L89*AM89</f>
        <v/>
      </c>
      <c r="Q89" s="5">
        <f>INDEX('Player Data'!$I:$I,AL89)/INDEX('Player Data'!$E:$E,AL89)*M89*L89*AM89</f>
        <v/>
      </c>
      <c r="R89" s="5">
        <f>INDEX('Player Data'!$J:$J,AL89)/INDEX('Player Data'!$E:$E,AL89)*M89*L89*AM89</f>
        <v/>
      </c>
      <c r="S89" s="5">
        <f>INDEX('Player Data'!$K:$K,AL89)/INDEX('Player Data'!$E:$E,AL89)*M89*L89*AM89</f>
        <v/>
      </c>
      <c r="T89" s="5">
        <f>INDEX('Player Data'!$L:$L,AL89)/INDEX('Player Data'!$E:$E,AL89)*M89*L89*AM89</f>
        <v/>
      </c>
      <c r="U89" s="7">
        <f>INDEX('Player Data'!$M:$M,AL89)</f>
        <v/>
      </c>
      <c r="V89" s="7">
        <f>INDEX('Player Data'!$N:$N,AL89)</f>
        <v/>
      </c>
      <c r="W89" s="5">
        <f>X89*U89</f>
        <v/>
      </c>
      <c r="X89" s="5">
        <f>INDEX('Player Data'!$O:$O,AL89)/INDEX('Player Data'!$E:$E,AL89)*M89*L89*AM89</f>
        <v/>
      </c>
      <c r="Y89" s="5">
        <f>Z89*V89</f>
        <v/>
      </c>
      <c r="Z89" s="5">
        <f>INDEX('Player Data'!$P:$P,AL89)/INDEX('Player Data'!$E:$E,AL89)*M89*L89*AM89</f>
        <v/>
      </c>
      <c r="AB89" s="3">
        <f>(N89-Pool!$D$2)/Pool!$E$2</f>
        <v/>
      </c>
      <c r="AC89" s="3">
        <f>(O89-Pool!$D$3)/Pool!$E$3</f>
        <v/>
      </c>
      <c r="AD89" s="3">
        <f>(P89-Pool!$D$4)/Pool!$E$4</f>
        <v/>
      </c>
      <c r="AE89" s="3">
        <f>(Q89-Pool!$D$5)/Pool!$E$5</f>
        <v/>
      </c>
      <c r="AF89" s="3">
        <f>(R89-Pool!$D$6)/Pool!$E$6</f>
        <v/>
      </c>
      <c r="AG89" s="3">
        <f>(S89-Pool!$D$7)/Pool!$E$7</f>
        <v/>
      </c>
      <c r="AH89" s="3">
        <f>(AS89-Pool!$D$8)/Pool!$E$8</f>
        <v/>
      </c>
      <c r="AI89" s="3">
        <f>(AT89-Pool!$D$9)/Pool!$E$9</f>
        <v/>
      </c>
      <c r="AJ89" s="3">
        <f>-(T89-Pool!$D$10)/Pool!$E$10</f>
        <v/>
      </c>
      <c r="AL89">
        <f>MATCH(B89,'Player Data'!$A:$A,0)</f>
        <v/>
      </c>
      <c r="AM89" s="3">
        <f>1+IF(Settings!$F$10="ON",IFERROR(VLOOKUP(TRIM(F89),Settings!$D$12:$F$17,3,FALSE),0),0)</f>
        <v/>
      </c>
      <c r="AN89">
        <f>IFERROR(LEFT(C89,FIND(",",C89)-1),C89)</f>
        <v/>
      </c>
      <c r="AO89" s="6">
        <f>X89*(U89-Pool!$B$12)</f>
        <v/>
      </c>
      <c r="AP89" s="6">
        <f>Z89*(V89-Pool!$B$13)</f>
        <v/>
      </c>
      <c r="AQ89" s="3">
        <f>Settings!$B$2*(N89-Pool!$B$2)/Pool!$C$2+Settings!$B$3*(O89-Pool!$B$3)/Pool!$C$3+Settings!$B$4*(P89-Pool!$B$4)/Pool!$C$4+Settings!$B$5*(Q89-Pool!$B$5)/Pool!$C$5+Settings!$B$6*(R89-Pool!$B$6)/Pool!$C$6+Settings!$B$7*(S89-Pool!$B$7)/Pool!$C$7+Settings!$B$8*(AO89-Pool!$B$8)/Pool!$C$8+Settings!$B$9*(AP89-Pool!$B$9)/Pool!$C$9+Settings!$B$10*-(T89-Pool!$B$10)/Pool!$C$10</f>
        <v/>
      </c>
      <c r="AR89">
        <f>IF(RANK(AQ89,$AQ$2:$AQ$266)&lt;=Settings!$F$5,1,0)</f>
        <v/>
      </c>
      <c r="AS89" s="6">
        <f>X89*(U89-Pool!$D$12)</f>
        <v/>
      </c>
      <c r="AT89" s="6">
        <f>Z89*(V89-Pool!$D$13)</f>
        <v/>
      </c>
    </row>
    <row r="90">
      <c r="A90">
        <f>RANK(H90,$H$2:$H$266)</f>
        <v/>
      </c>
      <c r="B90" t="inlineStr">
        <is>
          <t>Jalen Suggs</t>
        </is>
      </c>
      <c r="C90">
        <f>INDEX('Player Data'!$C:$C,AL90)</f>
        <v/>
      </c>
      <c r="D90">
        <f>SUMPRODUCT(($AN$2:$AN$266=AN90)*($H$2:$H$266&gt;H90))+1</f>
        <v/>
      </c>
      <c r="E90">
        <f>INDEX('Player Data'!$B:$B,AL90)</f>
        <v/>
      </c>
      <c r="F90" s="2" t="n"/>
      <c r="G90" s="3">
        <f>Settings!$B$2*AB90+Settings!$B$3*AC90+Settings!$B$4*AD90+Settings!$B$5*AE90+Settings!$B$6*AF90+Settings!$B$7*AG90+Settings!$B$8*AH90+Settings!$B$9*AI90+Settings!$B$10*AJ90</f>
        <v/>
      </c>
      <c r="H90" s="3">
        <f>G90-LARGE($G$2:$G$266,Settings!$F$4)</f>
        <v/>
      </c>
      <c r="I90">
        <f>IF(INDEX('Player Data'!$R:$R,AL90)="","",INDEX('Player Data'!$R:$R,AL90))</f>
        <v/>
      </c>
      <c r="J90" s="4">
        <f>IF(I90="","",I90-A90)</f>
        <v/>
      </c>
      <c r="L90" s="5">
        <f>IF(Settings!$F$7="Yes",INDEX('Minutes &amp; Health'!$O:$O,AL90),Settings!$F$8)</f>
        <v/>
      </c>
      <c r="M90" s="6">
        <f>INDEX('Minutes &amp; Health'!$P:$P,AL90)</f>
        <v/>
      </c>
      <c r="N90" s="5">
        <f>INDEX('Player Data'!$F:$F,AL90)/INDEX('Player Data'!$E:$E,AL90)*M90*L90*AM90</f>
        <v/>
      </c>
      <c r="O90" s="5">
        <f>INDEX('Player Data'!$G:$G,AL90)/INDEX('Player Data'!$E:$E,AL90)*M90*L90*AM90</f>
        <v/>
      </c>
      <c r="P90" s="5">
        <f>INDEX('Player Data'!$H:$H,AL90)/INDEX('Player Data'!$E:$E,AL90)*M90*L90*AM90</f>
        <v/>
      </c>
      <c r="Q90" s="5">
        <f>INDEX('Player Data'!$I:$I,AL90)/INDEX('Player Data'!$E:$E,AL90)*M90*L90*AM90</f>
        <v/>
      </c>
      <c r="R90" s="5">
        <f>INDEX('Player Data'!$J:$J,AL90)/INDEX('Player Data'!$E:$E,AL90)*M90*L90*AM90</f>
        <v/>
      </c>
      <c r="S90" s="5">
        <f>INDEX('Player Data'!$K:$K,AL90)/INDEX('Player Data'!$E:$E,AL90)*M90*L90*AM90</f>
        <v/>
      </c>
      <c r="T90" s="5">
        <f>INDEX('Player Data'!$L:$L,AL90)/INDEX('Player Data'!$E:$E,AL90)*M90*L90*AM90</f>
        <v/>
      </c>
      <c r="U90" s="7">
        <f>INDEX('Player Data'!$M:$M,AL90)</f>
        <v/>
      </c>
      <c r="V90" s="7">
        <f>INDEX('Player Data'!$N:$N,AL90)</f>
        <v/>
      </c>
      <c r="W90" s="5">
        <f>X90*U90</f>
        <v/>
      </c>
      <c r="X90" s="5">
        <f>INDEX('Player Data'!$O:$O,AL90)/INDEX('Player Data'!$E:$E,AL90)*M90*L90*AM90</f>
        <v/>
      </c>
      <c r="Y90" s="5">
        <f>Z90*V90</f>
        <v/>
      </c>
      <c r="Z90" s="5">
        <f>INDEX('Player Data'!$P:$P,AL90)/INDEX('Player Data'!$E:$E,AL90)*M90*L90*AM90</f>
        <v/>
      </c>
      <c r="AB90" s="3">
        <f>(N90-Pool!$D$2)/Pool!$E$2</f>
        <v/>
      </c>
      <c r="AC90" s="3">
        <f>(O90-Pool!$D$3)/Pool!$E$3</f>
        <v/>
      </c>
      <c r="AD90" s="3">
        <f>(P90-Pool!$D$4)/Pool!$E$4</f>
        <v/>
      </c>
      <c r="AE90" s="3">
        <f>(Q90-Pool!$D$5)/Pool!$E$5</f>
        <v/>
      </c>
      <c r="AF90" s="3">
        <f>(R90-Pool!$D$6)/Pool!$E$6</f>
        <v/>
      </c>
      <c r="AG90" s="3">
        <f>(S90-Pool!$D$7)/Pool!$E$7</f>
        <v/>
      </c>
      <c r="AH90" s="3">
        <f>(AS90-Pool!$D$8)/Pool!$E$8</f>
        <v/>
      </c>
      <c r="AI90" s="3">
        <f>(AT90-Pool!$D$9)/Pool!$E$9</f>
        <v/>
      </c>
      <c r="AJ90" s="3">
        <f>-(T90-Pool!$D$10)/Pool!$E$10</f>
        <v/>
      </c>
      <c r="AL90">
        <f>MATCH(B90,'Player Data'!$A:$A,0)</f>
        <v/>
      </c>
      <c r="AM90" s="3">
        <f>1+IF(Settings!$F$10="ON",IFERROR(VLOOKUP(TRIM(F90),Settings!$D$12:$F$17,3,FALSE),0),0)</f>
        <v/>
      </c>
      <c r="AN90">
        <f>IFERROR(LEFT(C90,FIND(",",C90)-1),C90)</f>
        <v/>
      </c>
      <c r="AO90" s="6">
        <f>X90*(U90-Pool!$B$12)</f>
        <v/>
      </c>
      <c r="AP90" s="6">
        <f>Z90*(V90-Pool!$B$13)</f>
        <v/>
      </c>
      <c r="AQ90" s="3">
        <f>Settings!$B$2*(N90-Pool!$B$2)/Pool!$C$2+Settings!$B$3*(O90-Pool!$B$3)/Pool!$C$3+Settings!$B$4*(P90-Pool!$B$4)/Pool!$C$4+Settings!$B$5*(Q90-Pool!$B$5)/Pool!$C$5+Settings!$B$6*(R90-Pool!$B$6)/Pool!$C$6+Settings!$B$7*(S90-Pool!$B$7)/Pool!$C$7+Settings!$B$8*(AO90-Pool!$B$8)/Pool!$C$8+Settings!$B$9*(AP90-Pool!$B$9)/Pool!$C$9+Settings!$B$10*-(T90-Pool!$B$10)/Pool!$C$10</f>
        <v/>
      </c>
      <c r="AR90">
        <f>IF(RANK(AQ90,$AQ$2:$AQ$266)&lt;=Settings!$F$5,1,0)</f>
        <v/>
      </c>
      <c r="AS90" s="6">
        <f>X90*(U90-Pool!$D$12)</f>
        <v/>
      </c>
      <c r="AT90" s="6">
        <f>Z90*(V90-Pool!$D$13)</f>
        <v/>
      </c>
    </row>
    <row r="91">
      <c r="A91">
        <f>RANK(H91,$H$2:$H$266)</f>
        <v/>
      </c>
      <c r="B91" t="inlineStr">
        <is>
          <t>Ryan Rollins</t>
        </is>
      </c>
      <c r="C91">
        <f>INDEX('Player Data'!$C:$C,AL91)</f>
        <v/>
      </c>
      <c r="D91">
        <f>SUMPRODUCT(($AN$2:$AN$266=AN91)*($H$2:$H$266&gt;H91))+1</f>
        <v/>
      </c>
      <c r="E91">
        <f>INDEX('Player Data'!$B:$B,AL91)</f>
        <v/>
      </c>
      <c r="F91" s="2" t="inlineStr">
        <is>
          <t>+ +</t>
        </is>
      </c>
      <c r="G91" s="3">
        <f>Settings!$B$2*AB91+Settings!$B$3*AC91+Settings!$B$4*AD91+Settings!$B$5*AE91+Settings!$B$6*AF91+Settings!$B$7*AG91+Settings!$B$8*AH91+Settings!$B$9*AI91+Settings!$B$10*AJ91</f>
        <v/>
      </c>
      <c r="H91" s="3">
        <f>G91-LARGE($G$2:$G$266,Settings!$F$4)</f>
        <v/>
      </c>
      <c r="I91">
        <f>IF(INDEX('Player Data'!$R:$R,AL91)="","",INDEX('Player Data'!$R:$R,AL91))</f>
        <v/>
      </c>
      <c r="J91" s="4">
        <f>IF(I91="","",I91-A91)</f>
        <v/>
      </c>
      <c r="L91" s="5">
        <f>IF(Settings!$F$7="Yes",INDEX('Minutes &amp; Health'!$O:$O,AL91),Settings!$F$8)</f>
        <v/>
      </c>
      <c r="M91" s="6">
        <f>INDEX('Minutes &amp; Health'!$P:$P,AL91)</f>
        <v/>
      </c>
      <c r="N91" s="5">
        <f>INDEX('Player Data'!$F:$F,AL91)/INDEX('Player Data'!$E:$E,AL91)*M91*L91*AM91</f>
        <v/>
      </c>
      <c r="O91" s="5">
        <f>INDEX('Player Data'!$G:$G,AL91)/INDEX('Player Data'!$E:$E,AL91)*M91*L91*AM91</f>
        <v/>
      </c>
      <c r="P91" s="5">
        <f>INDEX('Player Data'!$H:$H,AL91)/INDEX('Player Data'!$E:$E,AL91)*M91*L91*AM91</f>
        <v/>
      </c>
      <c r="Q91" s="5">
        <f>INDEX('Player Data'!$I:$I,AL91)/INDEX('Player Data'!$E:$E,AL91)*M91*L91*AM91</f>
        <v/>
      </c>
      <c r="R91" s="5">
        <f>INDEX('Player Data'!$J:$J,AL91)/INDEX('Player Data'!$E:$E,AL91)*M91*L91*AM91</f>
        <v/>
      </c>
      <c r="S91" s="5">
        <f>INDEX('Player Data'!$K:$K,AL91)/INDEX('Player Data'!$E:$E,AL91)*M91*L91*AM91</f>
        <v/>
      </c>
      <c r="T91" s="5">
        <f>INDEX('Player Data'!$L:$L,AL91)/INDEX('Player Data'!$E:$E,AL91)*M91*L91*AM91</f>
        <v/>
      </c>
      <c r="U91" s="7">
        <f>INDEX('Player Data'!$M:$M,AL91)</f>
        <v/>
      </c>
      <c r="V91" s="7">
        <f>INDEX('Player Data'!$N:$N,AL91)</f>
        <v/>
      </c>
      <c r="W91" s="5">
        <f>X91*U91</f>
        <v/>
      </c>
      <c r="X91" s="5">
        <f>INDEX('Player Data'!$O:$O,AL91)/INDEX('Player Data'!$E:$E,AL91)*M91*L91*AM91</f>
        <v/>
      </c>
      <c r="Y91" s="5">
        <f>Z91*V91</f>
        <v/>
      </c>
      <c r="Z91" s="5">
        <f>INDEX('Player Data'!$P:$P,AL91)/INDEX('Player Data'!$E:$E,AL91)*M91*L91*AM91</f>
        <v/>
      </c>
      <c r="AB91" s="3">
        <f>(N91-Pool!$D$2)/Pool!$E$2</f>
        <v/>
      </c>
      <c r="AC91" s="3">
        <f>(O91-Pool!$D$3)/Pool!$E$3</f>
        <v/>
      </c>
      <c r="AD91" s="3">
        <f>(P91-Pool!$D$4)/Pool!$E$4</f>
        <v/>
      </c>
      <c r="AE91" s="3">
        <f>(Q91-Pool!$D$5)/Pool!$E$5</f>
        <v/>
      </c>
      <c r="AF91" s="3">
        <f>(R91-Pool!$D$6)/Pool!$E$6</f>
        <v/>
      </c>
      <c r="AG91" s="3">
        <f>(S91-Pool!$D$7)/Pool!$E$7</f>
        <v/>
      </c>
      <c r="AH91" s="3">
        <f>(AS91-Pool!$D$8)/Pool!$E$8</f>
        <v/>
      </c>
      <c r="AI91" s="3">
        <f>(AT91-Pool!$D$9)/Pool!$E$9</f>
        <v/>
      </c>
      <c r="AJ91" s="3">
        <f>-(T91-Pool!$D$10)/Pool!$E$10</f>
        <v/>
      </c>
      <c r="AL91">
        <f>MATCH(B91,'Player Data'!$A:$A,0)</f>
        <v/>
      </c>
      <c r="AM91" s="3">
        <f>1+IF(Settings!$F$10="ON",IFERROR(VLOOKUP(TRIM(F91),Settings!$D$12:$F$17,3,FALSE),0),0)</f>
        <v/>
      </c>
      <c r="AN91">
        <f>IFERROR(LEFT(C91,FIND(",",C91)-1),C91)</f>
        <v/>
      </c>
      <c r="AO91" s="6">
        <f>X91*(U91-Pool!$B$12)</f>
        <v/>
      </c>
      <c r="AP91" s="6">
        <f>Z91*(V91-Pool!$B$13)</f>
        <v/>
      </c>
      <c r="AQ91" s="3">
        <f>Settings!$B$2*(N91-Pool!$B$2)/Pool!$C$2+Settings!$B$3*(O91-Pool!$B$3)/Pool!$C$3+Settings!$B$4*(P91-Pool!$B$4)/Pool!$C$4+Settings!$B$5*(Q91-Pool!$B$5)/Pool!$C$5+Settings!$B$6*(R91-Pool!$B$6)/Pool!$C$6+Settings!$B$7*(S91-Pool!$B$7)/Pool!$C$7+Settings!$B$8*(AO91-Pool!$B$8)/Pool!$C$8+Settings!$B$9*(AP91-Pool!$B$9)/Pool!$C$9+Settings!$B$10*-(T91-Pool!$B$10)/Pool!$C$10</f>
        <v/>
      </c>
      <c r="AR91">
        <f>IF(RANK(AQ91,$AQ$2:$AQ$266)&lt;=Settings!$F$5,1,0)</f>
        <v/>
      </c>
      <c r="AS91" s="6">
        <f>X91*(U91-Pool!$D$12)</f>
        <v/>
      </c>
      <c r="AT91" s="6">
        <f>Z91*(V91-Pool!$D$13)</f>
        <v/>
      </c>
    </row>
    <row r="92">
      <c r="A92">
        <f>RANK(H92,$H$2:$H$266)</f>
        <v/>
      </c>
      <c r="B92" t="inlineStr">
        <is>
          <t>Cedric Coward</t>
        </is>
      </c>
      <c r="C92">
        <f>INDEX('Player Data'!$C:$C,AL92)</f>
        <v/>
      </c>
      <c r="D92">
        <f>SUMPRODUCT(($AN$2:$AN$266=AN92)*($H$2:$H$266&gt;H92))+1</f>
        <v/>
      </c>
      <c r="E92">
        <f>INDEX('Player Data'!$B:$B,AL92)</f>
        <v/>
      </c>
      <c r="F92" s="2" t="inlineStr">
        <is>
          <t>+ +</t>
        </is>
      </c>
      <c r="G92" s="3">
        <f>Settings!$B$2*AB92+Settings!$B$3*AC92+Settings!$B$4*AD92+Settings!$B$5*AE92+Settings!$B$6*AF92+Settings!$B$7*AG92+Settings!$B$8*AH92+Settings!$B$9*AI92+Settings!$B$10*AJ92</f>
        <v/>
      </c>
      <c r="H92" s="3">
        <f>G92-LARGE($G$2:$G$266,Settings!$F$4)</f>
        <v/>
      </c>
      <c r="I92">
        <f>IF(INDEX('Player Data'!$R:$R,AL92)="","",INDEX('Player Data'!$R:$R,AL92))</f>
        <v/>
      </c>
      <c r="J92" s="4">
        <f>IF(I92="","",I92-A92)</f>
        <v/>
      </c>
      <c r="L92" s="5">
        <f>IF(Settings!$F$7="Yes",INDEX('Minutes &amp; Health'!$O:$O,AL92),Settings!$F$8)</f>
        <v/>
      </c>
      <c r="M92" s="6">
        <f>INDEX('Minutes &amp; Health'!$P:$P,AL92)</f>
        <v/>
      </c>
      <c r="N92" s="5">
        <f>INDEX('Player Data'!$F:$F,AL92)/INDEX('Player Data'!$E:$E,AL92)*M92*L92*AM92</f>
        <v/>
      </c>
      <c r="O92" s="5">
        <f>INDEX('Player Data'!$G:$G,AL92)/INDEX('Player Data'!$E:$E,AL92)*M92*L92*AM92</f>
        <v/>
      </c>
      <c r="P92" s="5">
        <f>INDEX('Player Data'!$H:$H,AL92)/INDEX('Player Data'!$E:$E,AL92)*M92*L92*AM92</f>
        <v/>
      </c>
      <c r="Q92" s="5">
        <f>INDEX('Player Data'!$I:$I,AL92)/INDEX('Player Data'!$E:$E,AL92)*M92*L92*AM92</f>
        <v/>
      </c>
      <c r="R92" s="5">
        <f>INDEX('Player Data'!$J:$J,AL92)/INDEX('Player Data'!$E:$E,AL92)*M92*L92*AM92</f>
        <v/>
      </c>
      <c r="S92" s="5">
        <f>INDEX('Player Data'!$K:$K,AL92)/INDEX('Player Data'!$E:$E,AL92)*M92*L92*AM92</f>
        <v/>
      </c>
      <c r="T92" s="5">
        <f>INDEX('Player Data'!$L:$L,AL92)/INDEX('Player Data'!$E:$E,AL92)*M92*L92*AM92</f>
        <v/>
      </c>
      <c r="U92" s="7">
        <f>INDEX('Player Data'!$M:$M,AL92)</f>
        <v/>
      </c>
      <c r="V92" s="7">
        <f>INDEX('Player Data'!$N:$N,AL92)</f>
        <v/>
      </c>
      <c r="W92" s="5">
        <f>X92*U92</f>
        <v/>
      </c>
      <c r="X92" s="5">
        <f>INDEX('Player Data'!$O:$O,AL92)/INDEX('Player Data'!$E:$E,AL92)*M92*L92*AM92</f>
        <v/>
      </c>
      <c r="Y92" s="5">
        <f>Z92*V92</f>
        <v/>
      </c>
      <c r="Z92" s="5">
        <f>INDEX('Player Data'!$P:$P,AL92)/INDEX('Player Data'!$E:$E,AL92)*M92*L92*AM92</f>
        <v/>
      </c>
      <c r="AB92" s="3">
        <f>(N92-Pool!$D$2)/Pool!$E$2</f>
        <v/>
      </c>
      <c r="AC92" s="3">
        <f>(O92-Pool!$D$3)/Pool!$E$3</f>
        <v/>
      </c>
      <c r="AD92" s="3">
        <f>(P92-Pool!$D$4)/Pool!$E$4</f>
        <v/>
      </c>
      <c r="AE92" s="3">
        <f>(Q92-Pool!$D$5)/Pool!$E$5</f>
        <v/>
      </c>
      <c r="AF92" s="3">
        <f>(R92-Pool!$D$6)/Pool!$E$6</f>
        <v/>
      </c>
      <c r="AG92" s="3">
        <f>(S92-Pool!$D$7)/Pool!$E$7</f>
        <v/>
      </c>
      <c r="AH92" s="3">
        <f>(AS92-Pool!$D$8)/Pool!$E$8</f>
        <v/>
      </c>
      <c r="AI92" s="3">
        <f>(AT92-Pool!$D$9)/Pool!$E$9</f>
        <v/>
      </c>
      <c r="AJ92" s="3">
        <f>-(T92-Pool!$D$10)/Pool!$E$10</f>
        <v/>
      </c>
      <c r="AL92">
        <f>MATCH(B92,'Player Data'!$A:$A,0)</f>
        <v/>
      </c>
      <c r="AM92" s="3">
        <f>1+IF(Settings!$F$10="ON",IFERROR(VLOOKUP(TRIM(F92),Settings!$D$12:$F$17,3,FALSE),0),0)</f>
        <v/>
      </c>
      <c r="AN92">
        <f>IFERROR(LEFT(C92,FIND(",",C92)-1),C92)</f>
        <v/>
      </c>
      <c r="AO92" s="6">
        <f>X92*(U92-Pool!$B$12)</f>
        <v/>
      </c>
      <c r="AP92" s="6">
        <f>Z92*(V92-Pool!$B$13)</f>
        <v/>
      </c>
      <c r="AQ92" s="3">
        <f>Settings!$B$2*(N92-Pool!$B$2)/Pool!$C$2+Settings!$B$3*(O92-Pool!$B$3)/Pool!$C$3+Settings!$B$4*(P92-Pool!$B$4)/Pool!$C$4+Settings!$B$5*(Q92-Pool!$B$5)/Pool!$C$5+Settings!$B$6*(R92-Pool!$B$6)/Pool!$C$6+Settings!$B$7*(S92-Pool!$B$7)/Pool!$C$7+Settings!$B$8*(AO92-Pool!$B$8)/Pool!$C$8+Settings!$B$9*(AP92-Pool!$B$9)/Pool!$C$9+Settings!$B$10*-(T92-Pool!$B$10)/Pool!$C$10</f>
        <v/>
      </c>
      <c r="AR92">
        <f>IF(RANK(AQ92,$AQ$2:$AQ$266)&lt;=Settings!$F$5,1,0)</f>
        <v/>
      </c>
      <c r="AS92" s="6">
        <f>X92*(U92-Pool!$D$12)</f>
        <v/>
      </c>
      <c r="AT92" s="6">
        <f>Z92*(V92-Pool!$D$13)</f>
        <v/>
      </c>
    </row>
    <row r="93">
      <c r="A93">
        <f>RANK(H93,$H$2:$H$266)</f>
        <v/>
      </c>
      <c r="B93" t="inlineStr">
        <is>
          <t>Trae Young</t>
        </is>
      </c>
      <c r="C93">
        <f>INDEX('Player Data'!$C:$C,AL93)</f>
        <v/>
      </c>
      <c r="D93">
        <f>SUMPRODUCT(($AN$2:$AN$266=AN93)*($H$2:$H$266&gt;H93))+1</f>
        <v/>
      </c>
      <c r="E93">
        <f>INDEX('Player Data'!$B:$B,AL93)</f>
        <v/>
      </c>
      <c r="F93" s="2" t="n"/>
      <c r="G93" s="3">
        <f>Settings!$B$2*AB93+Settings!$B$3*AC93+Settings!$B$4*AD93+Settings!$B$5*AE93+Settings!$B$6*AF93+Settings!$B$7*AG93+Settings!$B$8*AH93+Settings!$B$9*AI93+Settings!$B$10*AJ93</f>
        <v/>
      </c>
      <c r="H93" s="3">
        <f>G93-LARGE($G$2:$G$266,Settings!$F$4)</f>
        <v/>
      </c>
      <c r="I93">
        <f>IF(INDEX('Player Data'!$R:$R,AL93)="","",INDEX('Player Data'!$R:$R,AL93))</f>
        <v/>
      </c>
      <c r="J93" s="4">
        <f>IF(I93="","",I93-A93)</f>
        <v/>
      </c>
      <c r="L93" s="5">
        <f>IF(Settings!$F$7="Yes",INDEX('Minutes &amp; Health'!$O:$O,AL93),Settings!$F$8)</f>
        <v/>
      </c>
      <c r="M93" s="6">
        <f>INDEX('Minutes &amp; Health'!$P:$P,AL93)</f>
        <v/>
      </c>
      <c r="N93" s="5">
        <f>INDEX('Player Data'!$F:$F,AL93)/INDEX('Player Data'!$E:$E,AL93)*M93*L93*AM93</f>
        <v/>
      </c>
      <c r="O93" s="5">
        <f>INDEX('Player Data'!$G:$G,AL93)/INDEX('Player Data'!$E:$E,AL93)*M93*L93*AM93</f>
        <v/>
      </c>
      <c r="P93" s="5">
        <f>INDEX('Player Data'!$H:$H,AL93)/INDEX('Player Data'!$E:$E,AL93)*M93*L93*AM93</f>
        <v/>
      </c>
      <c r="Q93" s="5">
        <f>INDEX('Player Data'!$I:$I,AL93)/INDEX('Player Data'!$E:$E,AL93)*M93*L93*AM93</f>
        <v/>
      </c>
      <c r="R93" s="5">
        <f>INDEX('Player Data'!$J:$J,AL93)/INDEX('Player Data'!$E:$E,AL93)*M93*L93*AM93</f>
        <v/>
      </c>
      <c r="S93" s="5">
        <f>INDEX('Player Data'!$K:$K,AL93)/INDEX('Player Data'!$E:$E,AL93)*M93*L93*AM93</f>
        <v/>
      </c>
      <c r="T93" s="5">
        <f>INDEX('Player Data'!$L:$L,AL93)/INDEX('Player Data'!$E:$E,AL93)*M93*L93*AM93</f>
        <v/>
      </c>
      <c r="U93" s="7">
        <f>INDEX('Player Data'!$M:$M,AL93)</f>
        <v/>
      </c>
      <c r="V93" s="7">
        <f>INDEX('Player Data'!$N:$N,AL93)</f>
        <v/>
      </c>
      <c r="W93" s="5">
        <f>X93*U93</f>
        <v/>
      </c>
      <c r="X93" s="5">
        <f>INDEX('Player Data'!$O:$O,AL93)/INDEX('Player Data'!$E:$E,AL93)*M93*L93*AM93</f>
        <v/>
      </c>
      <c r="Y93" s="5">
        <f>Z93*V93</f>
        <v/>
      </c>
      <c r="Z93" s="5">
        <f>INDEX('Player Data'!$P:$P,AL93)/INDEX('Player Data'!$E:$E,AL93)*M93*L93*AM93</f>
        <v/>
      </c>
      <c r="AB93" s="3">
        <f>(N93-Pool!$D$2)/Pool!$E$2</f>
        <v/>
      </c>
      <c r="AC93" s="3">
        <f>(O93-Pool!$D$3)/Pool!$E$3</f>
        <v/>
      </c>
      <c r="AD93" s="3">
        <f>(P93-Pool!$D$4)/Pool!$E$4</f>
        <v/>
      </c>
      <c r="AE93" s="3">
        <f>(Q93-Pool!$D$5)/Pool!$E$5</f>
        <v/>
      </c>
      <c r="AF93" s="3">
        <f>(R93-Pool!$D$6)/Pool!$E$6</f>
        <v/>
      </c>
      <c r="AG93" s="3">
        <f>(S93-Pool!$D$7)/Pool!$E$7</f>
        <v/>
      </c>
      <c r="AH93" s="3">
        <f>(AS93-Pool!$D$8)/Pool!$E$8</f>
        <v/>
      </c>
      <c r="AI93" s="3">
        <f>(AT93-Pool!$D$9)/Pool!$E$9</f>
        <v/>
      </c>
      <c r="AJ93" s="3">
        <f>-(T93-Pool!$D$10)/Pool!$E$10</f>
        <v/>
      </c>
      <c r="AL93">
        <f>MATCH(B93,'Player Data'!$A:$A,0)</f>
        <v/>
      </c>
      <c r="AM93" s="3">
        <f>1+IF(Settings!$F$10="ON",IFERROR(VLOOKUP(TRIM(F93),Settings!$D$12:$F$17,3,FALSE),0),0)</f>
        <v/>
      </c>
      <c r="AN93">
        <f>IFERROR(LEFT(C93,FIND(",",C93)-1),C93)</f>
        <v/>
      </c>
      <c r="AO93" s="6">
        <f>X93*(U93-Pool!$B$12)</f>
        <v/>
      </c>
      <c r="AP93" s="6">
        <f>Z93*(V93-Pool!$B$13)</f>
        <v/>
      </c>
      <c r="AQ93" s="3">
        <f>Settings!$B$2*(N93-Pool!$B$2)/Pool!$C$2+Settings!$B$3*(O93-Pool!$B$3)/Pool!$C$3+Settings!$B$4*(P93-Pool!$B$4)/Pool!$C$4+Settings!$B$5*(Q93-Pool!$B$5)/Pool!$C$5+Settings!$B$6*(R93-Pool!$B$6)/Pool!$C$6+Settings!$B$7*(S93-Pool!$B$7)/Pool!$C$7+Settings!$B$8*(AO93-Pool!$B$8)/Pool!$C$8+Settings!$B$9*(AP93-Pool!$B$9)/Pool!$C$9+Settings!$B$10*-(T93-Pool!$B$10)/Pool!$C$10</f>
        <v/>
      </c>
      <c r="AR93">
        <f>IF(RANK(AQ93,$AQ$2:$AQ$266)&lt;=Settings!$F$5,1,0)</f>
        <v/>
      </c>
      <c r="AS93" s="6">
        <f>X93*(U93-Pool!$D$12)</f>
        <v/>
      </c>
      <c r="AT93" s="6">
        <f>Z93*(V93-Pool!$D$13)</f>
        <v/>
      </c>
    </row>
    <row r="94">
      <c r="A94">
        <f>RANK(H94,$H$2:$H$266)</f>
        <v/>
      </c>
      <c r="B94" t="inlineStr">
        <is>
          <t>Dereck Lively II</t>
        </is>
      </c>
      <c r="C94">
        <f>INDEX('Player Data'!$C:$C,AL94)</f>
        <v/>
      </c>
      <c r="D94">
        <f>SUMPRODUCT(($AN$2:$AN$266=AN94)*($H$2:$H$266&gt;H94))+1</f>
        <v/>
      </c>
      <c r="E94">
        <f>INDEX('Player Data'!$B:$B,AL94)</f>
        <v/>
      </c>
      <c r="F94" s="2" t="inlineStr">
        <is>
          <t>+</t>
        </is>
      </c>
      <c r="G94" s="3">
        <f>Settings!$B$2*AB94+Settings!$B$3*AC94+Settings!$B$4*AD94+Settings!$B$5*AE94+Settings!$B$6*AF94+Settings!$B$7*AG94+Settings!$B$8*AH94+Settings!$B$9*AI94+Settings!$B$10*AJ94</f>
        <v/>
      </c>
      <c r="H94" s="3">
        <f>G94-LARGE($G$2:$G$266,Settings!$F$4)</f>
        <v/>
      </c>
      <c r="I94">
        <f>IF(INDEX('Player Data'!$R:$R,AL94)="","",INDEX('Player Data'!$R:$R,AL94))</f>
        <v/>
      </c>
      <c r="J94" s="4">
        <f>IF(I94="","",I94-A94)</f>
        <v/>
      </c>
      <c r="L94" s="5">
        <f>IF(Settings!$F$7="Yes",INDEX('Minutes &amp; Health'!$O:$O,AL94),Settings!$F$8)</f>
        <v/>
      </c>
      <c r="M94" s="6">
        <f>INDEX('Minutes &amp; Health'!$P:$P,AL94)</f>
        <v/>
      </c>
      <c r="N94" s="5">
        <f>INDEX('Player Data'!$F:$F,AL94)/INDEX('Player Data'!$E:$E,AL94)*M94*L94*AM94</f>
        <v/>
      </c>
      <c r="O94" s="5">
        <f>INDEX('Player Data'!$G:$G,AL94)/INDEX('Player Data'!$E:$E,AL94)*M94*L94*AM94</f>
        <v/>
      </c>
      <c r="P94" s="5">
        <f>INDEX('Player Data'!$H:$H,AL94)/INDEX('Player Data'!$E:$E,AL94)*M94*L94*AM94</f>
        <v/>
      </c>
      <c r="Q94" s="5">
        <f>INDEX('Player Data'!$I:$I,AL94)/INDEX('Player Data'!$E:$E,AL94)*M94*L94*AM94</f>
        <v/>
      </c>
      <c r="R94" s="5">
        <f>INDEX('Player Data'!$J:$J,AL94)/INDEX('Player Data'!$E:$E,AL94)*M94*L94*AM94</f>
        <v/>
      </c>
      <c r="S94" s="5">
        <f>INDEX('Player Data'!$K:$K,AL94)/INDEX('Player Data'!$E:$E,AL94)*M94*L94*AM94</f>
        <v/>
      </c>
      <c r="T94" s="5">
        <f>INDEX('Player Data'!$L:$L,AL94)/INDEX('Player Data'!$E:$E,AL94)*M94*L94*AM94</f>
        <v/>
      </c>
      <c r="U94" s="7">
        <f>INDEX('Player Data'!$M:$M,AL94)</f>
        <v/>
      </c>
      <c r="V94" s="7">
        <f>INDEX('Player Data'!$N:$N,AL94)</f>
        <v/>
      </c>
      <c r="W94" s="5">
        <f>X94*U94</f>
        <v/>
      </c>
      <c r="X94" s="5">
        <f>INDEX('Player Data'!$O:$O,AL94)/INDEX('Player Data'!$E:$E,AL94)*M94*L94*AM94</f>
        <v/>
      </c>
      <c r="Y94" s="5">
        <f>Z94*V94</f>
        <v/>
      </c>
      <c r="Z94" s="5">
        <f>INDEX('Player Data'!$P:$P,AL94)/INDEX('Player Data'!$E:$E,AL94)*M94*L94*AM94</f>
        <v/>
      </c>
      <c r="AB94" s="3">
        <f>(N94-Pool!$D$2)/Pool!$E$2</f>
        <v/>
      </c>
      <c r="AC94" s="3">
        <f>(O94-Pool!$D$3)/Pool!$E$3</f>
        <v/>
      </c>
      <c r="AD94" s="3">
        <f>(P94-Pool!$D$4)/Pool!$E$4</f>
        <v/>
      </c>
      <c r="AE94" s="3">
        <f>(Q94-Pool!$D$5)/Pool!$E$5</f>
        <v/>
      </c>
      <c r="AF94" s="3">
        <f>(R94-Pool!$D$6)/Pool!$E$6</f>
        <v/>
      </c>
      <c r="AG94" s="3">
        <f>(S94-Pool!$D$7)/Pool!$E$7</f>
        <v/>
      </c>
      <c r="AH94" s="3">
        <f>(AS94-Pool!$D$8)/Pool!$E$8</f>
        <v/>
      </c>
      <c r="AI94" s="3">
        <f>(AT94-Pool!$D$9)/Pool!$E$9</f>
        <v/>
      </c>
      <c r="AJ94" s="3">
        <f>-(T94-Pool!$D$10)/Pool!$E$10</f>
        <v/>
      </c>
      <c r="AL94">
        <f>MATCH(B94,'Player Data'!$A:$A,0)</f>
        <v/>
      </c>
      <c r="AM94" s="3">
        <f>1+IF(Settings!$F$10="ON",IFERROR(VLOOKUP(TRIM(F94),Settings!$D$12:$F$17,3,FALSE),0),0)</f>
        <v/>
      </c>
      <c r="AN94">
        <f>IFERROR(LEFT(C94,FIND(",",C94)-1),C94)</f>
        <v/>
      </c>
      <c r="AO94" s="6">
        <f>X94*(U94-Pool!$B$12)</f>
        <v/>
      </c>
      <c r="AP94" s="6">
        <f>Z94*(V94-Pool!$B$13)</f>
        <v/>
      </c>
      <c r="AQ94" s="3">
        <f>Settings!$B$2*(N94-Pool!$B$2)/Pool!$C$2+Settings!$B$3*(O94-Pool!$B$3)/Pool!$C$3+Settings!$B$4*(P94-Pool!$B$4)/Pool!$C$4+Settings!$B$5*(Q94-Pool!$B$5)/Pool!$C$5+Settings!$B$6*(R94-Pool!$B$6)/Pool!$C$6+Settings!$B$7*(S94-Pool!$B$7)/Pool!$C$7+Settings!$B$8*(AO94-Pool!$B$8)/Pool!$C$8+Settings!$B$9*(AP94-Pool!$B$9)/Pool!$C$9+Settings!$B$10*-(T94-Pool!$B$10)/Pool!$C$10</f>
        <v/>
      </c>
      <c r="AR94">
        <f>IF(RANK(AQ94,$AQ$2:$AQ$266)&lt;=Settings!$F$5,1,0)</f>
        <v/>
      </c>
      <c r="AS94" s="6">
        <f>X94*(U94-Pool!$D$12)</f>
        <v/>
      </c>
      <c r="AT94" s="6">
        <f>Z94*(V94-Pool!$D$13)</f>
        <v/>
      </c>
    </row>
    <row r="95">
      <c r="A95">
        <f>RANK(H95,$H$2:$H$266)</f>
        <v/>
      </c>
      <c r="B95" t="inlineStr">
        <is>
          <t>Dylan Harper</t>
        </is>
      </c>
      <c r="C95">
        <f>INDEX('Player Data'!$C:$C,AL95)</f>
        <v/>
      </c>
      <c r="D95">
        <f>SUMPRODUCT(($AN$2:$AN$266=AN95)*($H$2:$H$266&gt;H95))+1</f>
        <v/>
      </c>
      <c r="E95">
        <f>INDEX('Player Data'!$B:$B,AL95)</f>
        <v/>
      </c>
      <c r="F95" s="2" t="n"/>
      <c r="G95" s="3">
        <f>Settings!$B$2*AB95+Settings!$B$3*AC95+Settings!$B$4*AD95+Settings!$B$5*AE95+Settings!$B$6*AF95+Settings!$B$7*AG95+Settings!$B$8*AH95+Settings!$B$9*AI95+Settings!$B$10*AJ95</f>
        <v/>
      </c>
      <c r="H95" s="3">
        <f>G95-LARGE($G$2:$G$266,Settings!$F$4)</f>
        <v/>
      </c>
      <c r="I95">
        <f>IF(INDEX('Player Data'!$R:$R,AL95)="","",INDEX('Player Data'!$R:$R,AL95))</f>
        <v/>
      </c>
      <c r="J95" s="4">
        <f>IF(I95="","",I95-A95)</f>
        <v/>
      </c>
      <c r="L95" s="5">
        <f>IF(Settings!$F$7="Yes",INDEX('Minutes &amp; Health'!$O:$O,AL95),Settings!$F$8)</f>
        <v/>
      </c>
      <c r="M95" s="6">
        <f>INDEX('Minutes &amp; Health'!$P:$P,AL95)</f>
        <v/>
      </c>
      <c r="N95" s="5">
        <f>INDEX('Player Data'!$F:$F,AL95)/INDEX('Player Data'!$E:$E,AL95)*M95*L95*AM95</f>
        <v/>
      </c>
      <c r="O95" s="5">
        <f>INDEX('Player Data'!$G:$G,AL95)/INDEX('Player Data'!$E:$E,AL95)*M95*L95*AM95</f>
        <v/>
      </c>
      <c r="P95" s="5">
        <f>INDEX('Player Data'!$H:$H,AL95)/INDEX('Player Data'!$E:$E,AL95)*M95*L95*AM95</f>
        <v/>
      </c>
      <c r="Q95" s="5">
        <f>INDEX('Player Data'!$I:$I,AL95)/INDEX('Player Data'!$E:$E,AL95)*M95*L95*AM95</f>
        <v/>
      </c>
      <c r="R95" s="5">
        <f>INDEX('Player Data'!$J:$J,AL95)/INDEX('Player Data'!$E:$E,AL95)*M95*L95*AM95</f>
        <v/>
      </c>
      <c r="S95" s="5">
        <f>INDEX('Player Data'!$K:$K,AL95)/INDEX('Player Data'!$E:$E,AL95)*M95*L95*AM95</f>
        <v/>
      </c>
      <c r="T95" s="5">
        <f>INDEX('Player Data'!$L:$L,AL95)/INDEX('Player Data'!$E:$E,AL95)*M95*L95*AM95</f>
        <v/>
      </c>
      <c r="U95" s="7">
        <f>INDEX('Player Data'!$M:$M,AL95)</f>
        <v/>
      </c>
      <c r="V95" s="7">
        <f>INDEX('Player Data'!$N:$N,AL95)</f>
        <v/>
      </c>
      <c r="W95" s="5">
        <f>X95*U95</f>
        <v/>
      </c>
      <c r="X95" s="5">
        <f>INDEX('Player Data'!$O:$O,AL95)/INDEX('Player Data'!$E:$E,AL95)*M95*L95*AM95</f>
        <v/>
      </c>
      <c r="Y95" s="5">
        <f>Z95*V95</f>
        <v/>
      </c>
      <c r="Z95" s="5">
        <f>INDEX('Player Data'!$P:$P,AL95)/INDEX('Player Data'!$E:$E,AL95)*M95*L95*AM95</f>
        <v/>
      </c>
      <c r="AB95" s="3">
        <f>(N95-Pool!$D$2)/Pool!$E$2</f>
        <v/>
      </c>
      <c r="AC95" s="3">
        <f>(O95-Pool!$D$3)/Pool!$E$3</f>
        <v/>
      </c>
      <c r="AD95" s="3">
        <f>(P95-Pool!$D$4)/Pool!$E$4</f>
        <v/>
      </c>
      <c r="AE95" s="3">
        <f>(Q95-Pool!$D$5)/Pool!$E$5</f>
        <v/>
      </c>
      <c r="AF95" s="3">
        <f>(R95-Pool!$D$6)/Pool!$E$6</f>
        <v/>
      </c>
      <c r="AG95" s="3">
        <f>(S95-Pool!$D$7)/Pool!$E$7</f>
        <v/>
      </c>
      <c r="AH95" s="3">
        <f>(AS95-Pool!$D$8)/Pool!$E$8</f>
        <v/>
      </c>
      <c r="AI95" s="3">
        <f>(AT95-Pool!$D$9)/Pool!$E$9</f>
        <v/>
      </c>
      <c r="AJ95" s="3">
        <f>-(T95-Pool!$D$10)/Pool!$E$10</f>
        <v/>
      </c>
      <c r="AL95">
        <f>MATCH(B95,'Player Data'!$A:$A,0)</f>
        <v/>
      </c>
      <c r="AM95" s="3">
        <f>1+IF(Settings!$F$10="ON",IFERROR(VLOOKUP(TRIM(F95),Settings!$D$12:$F$17,3,FALSE),0),0)</f>
        <v/>
      </c>
      <c r="AN95">
        <f>IFERROR(LEFT(C95,FIND(",",C95)-1),C95)</f>
        <v/>
      </c>
      <c r="AO95" s="6">
        <f>X95*(U95-Pool!$B$12)</f>
        <v/>
      </c>
      <c r="AP95" s="6">
        <f>Z95*(V95-Pool!$B$13)</f>
        <v/>
      </c>
      <c r="AQ95" s="3">
        <f>Settings!$B$2*(N95-Pool!$B$2)/Pool!$C$2+Settings!$B$3*(O95-Pool!$B$3)/Pool!$C$3+Settings!$B$4*(P95-Pool!$B$4)/Pool!$C$4+Settings!$B$5*(Q95-Pool!$B$5)/Pool!$C$5+Settings!$B$6*(R95-Pool!$B$6)/Pool!$C$6+Settings!$B$7*(S95-Pool!$B$7)/Pool!$C$7+Settings!$B$8*(AO95-Pool!$B$8)/Pool!$C$8+Settings!$B$9*(AP95-Pool!$B$9)/Pool!$C$9+Settings!$B$10*-(T95-Pool!$B$10)/Pool!$C$10</f>
        <v/>
      </c>
      <c r="AR95">
        <f>IF(RANK(AQ95,$AQ$2:$AQ$266)&lt;=Settings!$F$5,1,0)</f>
        <v/>
      </c>
      <c r="AS95" s="6">
        <f>X95*(U95-Pool!$D$12)</f>
        <v/>
      </c>
      <c r="AT95" s="6">
        <f>Z95*(V95-Pool!$D$13)</f>
        <v/>
      </c>
    </row>
    <row r="96">
      <c r="A96">
        <f>RANK(H96,$H$2:$H$266)</f>
        <v/>
      </c>
      <c r="B96" t="inlineStr">
        <is>
          <t>Kon Knueppel</t>
        </is>
      </c>
      <c r="C96">
        <f>INDEX('Player Data'!$C:$C,AL96)</f>
        <v/>
      </c>
      <c r="D96">
        <f>SUMPRODUCT(($AN$2:$AN$266=AN96)*($H$2:$H$266&gt;H96))+1</f>
        <v/>
      </c>
      <c r="E96">
        <f>INDEX('Player Data'!$B:$B,AL96)</f>
        <v/>
      </c>
      <c r="F96" s="2" t="n"/>
      <c r="G96" s="3">
        <f>Settings!$B$2*AB96+Settings!$B$3*AC96+Settings!$B$4*AD96+Settings!$B$5*AE96+Settings!$B$6*AF96+Settings!$B$7*AG96+Settings!$B$8*AH96+Settings!$B$9*AI96+Settings!$B$10*AJ96</f>
        <v/>
      </c>
      <c r="H96" s="3">
        <f>G96-LARGE($G$2:$G$266,Settings!$F$4)</f>
        <v/>
      </c>
      <c r="I96">
        <f>IF(INDEX('Player Data'!$R:$R,AL96)="","",INDEX('Player Data'!$R:$R,AL96))</f>
        <v/>
      </c>
      <c r="J96" s="4">
        <f>IF(I96="","",I96-A96)</f>
        <v/>
      </c>
      <c r="L96" s="5">
        <f>IF(Settings!$F$7="Yes",INDEX('Minutes &amp; Health'!$O:$O,AL96),Settings!$F$8)</f>
        <v/>
      </c>
      <c r="M96" s="6">
        <f>INDEX('Minutes &amp; Health'!$P:$P,AL96)</f>
        <v/>
      </c>
      <c r="N96" s="5">
        <f>INDEX('Player Data'!$F:$F,AL96)/INDEX('Player Data'!$E:$E,AL96)*M96*L96*AM96</f>
        <v/>
      </c>
      <c r="O96" s="5">
        <f>INDEX('Player Data'!$G:$G,AL96)/INDEX('Player Data'!$E:$E,AL96)*M96*L96*AM96</f>
        <v/>
      </c>
      <c r="P96" s="5">
        <f>INDEX('Player Data'!$H:$H,AL96)/INDEX('Player Data'!$E:$E,AL96)*M96*L96*AM96</f>
        <v/>
      </c>
      <c r="Q96" s="5">
        <f>INDEX('Player Data'!$I:$I,AL96)/INDEX('Player Data'!$E:$E,AL96)*M96*L96*AM96</f>
        <v/>
      </c>
      <c r="R96" s="5">
        <f>INDEX('Player Data'!$J:$J,AL96)/INDEX('Player Data'!$E:$E,AL96)*M96*L96*AM96</f>
        <v/>
      </c>
      <c r="S96" s="5">
        <f>INDEX('Player Data'!$K:$K,AL96)/INDEX('Player Data'!$E:$E,AL96)*M96*L96*AM96</f>
        <v/>
      </c>
      <c r="T96" s="5">
        <f>INDEX('Player Data'!$L:$L,AL96)/INDEX('Player Data'!$E:$E,AL96)*M96*L96*AM96</f>
        <v/>
      </c>
      <c r="U96" s="7">
        <f>INDEX('Player Data'!$M:$M,AL96)</f>
        <v/>
      </c>
      <c r="V96" s="7">
        <f>INDEX('Player Data'!$N:$N,AL96)</f>
        <v/>
      </c>
      <c r="W96" s="5">
        <f>X96*U96</f>
        <v/>
      </c>
      <c r="X96" s="5">
        <f>INDEX('Player Data'!$O:$O,AL96)/INDEX('Player Data'!$E:$E,AL96)*M96*L96*AM96</f>
        <v/>
      </c>
      <c r="Y96" s="5">
        <f>Z96*V96</f>
        <v/>
      </c>
      <c r="Z96" s="5">
        <f>INDEX('Player Data'!$P:$P,AL96)/INDEX('Player Data'!$E:$E,AL96)*M96*L96*AM96</f>
        <v/>
      </c>
      <c r="AB96" s="3">
        <f>(N96-Pool!$D$2)/Pool!$E$2</f>
        <v/>
      </c>
      <c r="AC96" s="3">
        <f>(O96-Pool!$D$3)/Pool!$E$3</f>
        <v/>
      </c>
      <c r="AD96" s="3">
        <f>(P96-Pool!$D$4)/Pool!$E$4</f>
        <v/>
      </c>
      <c r="AE96" s="3">
        <f>(Q96-Pool!$D$5)/Pool!$E$5</f>
        <v/>
      </c>
      <c r="AF96" s="3">
        <f>(R96-Pool!$D$6)/Pool!$E$6</f>
        <v/>
      </c>
      <c r="AG96" s="3">
        <f>(S96-Pool!$D$7)/Pool!$E$7</f>
        <v/>
      </c>
      <c r="AH96" s="3">
        <f>(AS96-Pool!$D$8)/Pool!$E$8</f>
        <v/>
      </c>
      <c r="AI96" s="3">
        <f>(AT96-Pool!$D$9)/Pool!$E$9</f>
        <v/>
      </c>
      <c r="AJ96" s="3">
        <f>-(T96-Pool!$D$10)/Pool!$E$10</f>
        <v/>
      </c>
      <c r="AL96">
        <f>MATCH(B96,'Player Data'!$A:$A,0)</f>
        <v/>
      </c>
      <c r="AM96" s="3">
        <f>1+IF(Settings!$F$10="ON",IFERROR(VLOOKUP(TRIM(F96),Settings!$D$12:$F$17,3,FALSE),0),0)</f>
        <v/>
      </c>
      <c r="AN96">
        <f>IFERROR(LEFT(C96,FIND(",",C96)-1),C96)</f>
        <v/>
      </c>
      <c r="AO96" s="6">
        <f>X96*(U96-Pool!$B$12)</f>
        <v/>
      </c>
      <c r="AP96" s="6">
        <f>Z96*(V96-Pool!$B$13)</f>
        <v/>
      </c>
      <c r="AQ96" s="3">
        <f>Settings!$B$2*(N96-Pool!$B$2)/Pool!$C$2+Settings!$B$3*(O96-Pool!$B$3)/Pool!$C$3+Settings!$B$4*(P96-Pool!$B$4)/Pool!$C$4+Settings!$B$5*(Q96-Pool!$B$5)/Pool!$C$5+Settings!$B$6*(R96-Pool!$B$6)/Pool!$C$6+Settings!$B$7*(S96-Pool!$B$7)/Pool!$C$7+Settings!$B$8*(AO96-Pool!$B$8)/Pool!$C$8+Settings!$B$9*(AP96-Pool!$B$9)/Pool!$C$9+Settings!$B$10*-(T96-Pool!$B$10)/Pool!$C$10</f>
        <v/>
      </c>
      <c r="AR96">
        <f>IF(RANK(AQ96,$AQ$2:$AQ$266)&lt;=Settings!$F$5,1,0)</f>
        <v/>
      </c>
      <c r="AS96" s="6">
        <f>X96*(U96-Pool!$D$12)</f>
        <v/>
      </c>
      <c r="AT96" s="6">
        <f>Z96*(V96-Pool!$D$13)</f>
        <v/>
      </c>
    </row>
    <row r="97">
      <c r="A97">
        <f>RANK(H97,$H$2:$H$266)</f>
        <v/>
      </c>
      <c r="B97" t="inlineStr">
        <is>
          <t>Jakob Poeltl</t>
        </is>
      </c>
      <c r="C97">
        <f>INDEX('Player Data'!$C:$C,AL97)</f>
        <v/>
      </c>
      <c r="D97">
        <f>SUMPRODUCT(($AN$2:$AN$266=AN97)*($H$2:$H$266&gt;H97))+1</f>
        <v/>
      </c>
      <c r="E97">
        <f>INDEX('Player Data'!$B:$B,AL97)</f>
        <v/>
      </c>
      <c r="F97" s="2" t="inlineStr">
        <is>
          <t>-</t>
        </is>
      </c>
      <c r="G97" s="3">
        <f>Settings!$B$2*AB97+Settings!$B$3*AC97+Settings!$B$4*AD97+Settings!$B$5*AE97+Settings!$B$6*AF97+Settings!$B$7*AG97+Settings!$B$8*AH97+Settings!$B$9*AI97+Settings!$B$10*AJ97</f>
        <v/>
      </c>
      <c r="H97" s="3">
        <f>G97-LARGE($G$2:$G$266,Settings!$F$4)</f>
        <v/>
      </c>
      <c r="I97">
        <f>IF(INDEX('Player Data'!$R:$R,AL97)="","",INDEX('Player Data'!$R:$R,AL97))</f>
        <v/>
      </c>
      <c r="J97" s="4">
        <f>IF(I97="","",I97-A97)</f>
        <v/>
      </c>
      <c r="L97" s="5">
        <f>IF(Settings!$F$7="Yes",INDEX('Minutes &amp; Health'!$O:$O,AL97),Settings!$F$8)</f>
        <v/>
      </c>
      <c r="M97" s="6">
        <f>INDEX('Minutes &amp; Health'!$P:$P,AL97)</f>
        <v/>
      </c>
      <c r="N97" s="5">
        <f>INDEX('Player Data'!$F:$F,AL97)/INDEX('Player Data'!$E:$E,AL97)*M97*L97*AM97</f>
        <v/>
      </c>
      <c r="O97" s="5">
        <f>INDEX('Player Data'!$G:$G,AL97)/INDEX('Player Data'!$E:$E,AL97)*M97*L97*AM97</f>
        <v/>
      </c>
      <c r="P97" s="5">
        <f>INDEX('Player Data'!$H:$H,AL97)/INDEX('Player Data'!$E:$E,AL97)*M97*L97*AM97</f>
        <v/>
      </c>
      <c r="Q97" s="5">
        <f>INDEX('Player Data'!$I:$I,AL97)/INDEX('Player Data'!$E:$E,AL97)*M97*L97*AM97</f>
        <v/>
      </c>
      <c r="R97" s="5">
        <f>INDEX('Player Data'!$J:$J,AL97)/INDEX('Player Data'!$E:$E,AL97)*M97*L97*AM97</f>
        <v/>
      </c>
      <c r="S97" s="5">
        <f>INDEX('Player Data'!$K:$K,AL97)/INDEX('Player Data'!$E:$E,AL97)*M97*L97*AM97</f>
        <v/>
      </c>
      <c r="T97" s="5">
        <f>INDEX('Player Data'!$L:$L,AL97)/INDEX('Player Data'!$E:$E,AL97)*M97*L97*AM97</f>
        <v/>
      </c>
      <c r="U97" s="7">
        <f>INDEX('Player Data'!$M:$M,AL97)</f>
        <v/>
      </c>
      <c r="V97" s="7">
        <f>INDEX('Player Data'!$N:$N,AL97)</f>
        <v/>
      </c>
      <c r="W97" s="5">
        <f>X97*U97</f>
        <v/>
      </c>
      <c r="X97" s="5">
        <f>INDEX('Player Data'!$O:$O,AL97)/INDEX('Player Data'!$E:$E,AL97)*M97*L97*AM97</f>
        <v/>
      </c>
      <c r="Y97" s="5">
        <f>Z97*V97</f>
        <v/>
      </c>
      <c r="Z97" s="5">
        <f>INDEX('Player Data'!$P:$P,AL97)/INDEX('Player Data'!$E:$E,AL97)*M97*L97*AM97</f>
        <v/>
      </c>
      <c r="AB97" s="3">
        <f>(N97-Pool!$D$2)/Pool!$E$2</f>
        <v/>
      </c>
      <c r="AC97" s="3">
        <f>(O97-Pool!$D$3)/Pool!$E$3</f>
        <v/>
      </c>
      <c r="AD97" s="3">
        <f>(P97-Pool!$D$4)/Pool!$E$4</f>
        <v/>
      </c>
      <c r="AE97" s="3">
        <f>(Q97-Pool!$D$5)/Pool!$E$5</f>
        <v/>
      </c>
      <c r="AF97" s="3">
        <f>(R97-Pool!$D$6)/Pool!$E$6</f>
        <v/>
      </c>
      <c r="AG97" s="3">
        <f>(S97-Pool!$D$7)/Pool!$E$7</f>
        <v/>
      </c>
      <c r="AH97" s="3">
        <f>(AS97-Pool!$D$8)/Pool!$E$8</f>
        <v/>
      </c>
      <c r="AI97" s="3">
        <f>(AT97-Pool!$D$9)/Pool!$E$9</f>
        <v/>
      </c>
      <c r="AJ97" s="3">
        <f>-(T97-Pool!$D$10)/Pool!$E$10</f>
        <v/>
      </c>
      <c r="AL97">
        <f>MATCH(B97,'Player Data'!$A:$A,0)</f>
        <v/>
      </c>
      <c r="AM97" s="3">
        <f>1+IF(Settings!$F$10="ON",IFERROR(VLOOKUP(TRIM(F97),Settings!$D$12:$F$17,3,FALSE),0),0)</f>
        <v/>
      </c>
      <c r="AN97">
        <f>IFERROR(LEFT(C97,FIND(",",C97)-1),C97)</f>
        <v/>
      </c>
      <c r="AO97" s="6">
        <f>X97*(U97-Pool!$B$12)</f>
        <v/>
      </c>
      <c r="AP97" s="6">
        <f>Z97*(V97-Pool!$B$13)</f>
        <v/>
      </c>
      <c r="AQ97" s="3">
        <f>Settings!$B$2*(N97-Pool!$B$2)/Pool!$C$2+Settings!$B$3*(O97-Pool!$B$3)/Pool!$C$3+Settings!$B$4*(P97-Pool!$B$4)/Pool!$C$4+Settings!$B$5*(Q97-Pool!$B$5)/Pool!$C$5+Settings!$B$6*(R97-Pool!$B$6)/Pool!$C$6+Settings!$B$7*(S97-Pool!$B$7)/Pool!$C$7+Settings!$B$8*(AO97-Pool!$B$8)/Pool!$C$8+Settings!$B$9*(AP97-Pool!$B$9)/Pool!$C$9+Settings!$B$10*-(T97-Pool!$B$10)/Pool!$C$10</f>
        <v/>
      </c>
      <c r="AR97">
        <f>IF(RANK(AQ97,$AQ$2:$AQ$266)&lt;=Settings!$F$5,1,0)</f>
        <v/>
      </c>
      <c r="AS97" s="6">
        <f>X97*(U97-Pool!$D$12)</f>
        <v/>
      </c>
      <c r="AT97" s="6">
        <f>Z97*(V97-Pool!$D$13)</f>
        <v/>
      </c>
    </row>
    <row r="98">
      <c r="A98">
        <f>RANK(H98,$H$2:$H$266)</f>
        <v/>
      </c>
      <c r="B98" t="inlineStr">
        <is>
          <t>Cameron Johnson</t>
        </is>
      </c>
      <c r="C98">
        <f>INDEX('Player Data'!$C:$C,AL98)</f>
        <v/>
      </c>
      <c r="D98">
        <f>SUMPRODUCT(($AN$2:$AN$266=AN98)*($H$2:$H$266&gt;H98))+1</f>
        <v/>
      </c>
      <c r="E98">
        <f>INDEX('Player Data'!$B:$B,AL98)</f>
        <v/>
      </c>
      <c r="F98" s="2" t="n"/>
      <c r="G98" s="3">
        <f>Settings!$B$2*AB98+Settings!$B$3*AC98+Settings!$B$4*AD98+Settings!$B$5*AE98+Settings!$B$6*AF98+Settings!$B$7*AG98+Settings!$B$8*AH98+Settings!$B$9*AI98+Settings!$B$10*AJ98</f>
        <v/>
      </c>
      <c r="H98" s="3">
        <f>G98-LARGE($G$2:$G$266,Settings!$F$4)</f>
        <v/>
      </c>
      <c r="I98">
        <f>IF(INDEX('Player Data'!$R:$R,AL98)="","",INDEX('Player Data'!$R:$R,AL98))</f>
        <v/>
      </c>
      <c r="J98" s="4">
        <f>IF(I98="","",I98-A98)</f>
        <v/>
      </c>
      <c r="L98" s="5">
        <f>IF(Settings!$F$7="Yes",INDEX('Minutes &amp; Health'!$O:$O,AL98),Settings!$F$8)</f>
        <v/>
      </c>
      <c r="M98" s="6">
        <f>INDEX('Minutes &amp; Health'!$P:$P,AL98)</f>
        <v/>
      </c>
      <c r="N98" s="5">
        <f>INDEX('Player Data'!$F:$F,AL98)/INDEX('Player Data'!$E:$E,AL98)*M98*L98*AM98</f>
        <v/>
      </c>
      <c r="O98" s="5">
        <f>INDEX('Player Data'!$G:$G,AL98)/INDEX('Player Data'!$E:$E,AL98)*M98*L98*AM98</f>
        <v/>
      </c>
      <c r="P98" s="5">
        <f>INDEX('Player Data'!$H:$H,AL98)/INDEX('Player Data'!$E:$E,AL98)*M98*L98*AM98</f>
        <v/>
      </c>
      <c r="Q98" s="5">
        <f>INDEX('Player Data'!$I:$I,AL98)/INDEX('Player Data'!$E:$E,AL98)*M98*L98*AM98</f>
        <v/>
      </c>
      <c r="R98" s="5">
        <f>INDEX('Player Data'!$J:$J,AL98)/INDEX('Player Data'!$E:$E,AL98)*M98*L98*AM98</f>
        <v/>
      </c>
      <c r="S98" s="5">
        <f>INDEX('Player Data'!$K:$K,AL98)/INDEX('Player Data'!$E:$E,AL98)*M98*L98*AM98</f>
        <v/>
      </c>
      <c r="T98" s="5">
        <f>INDEX('Player Data'!$L:$L,AL98)/INDEX('Player Data'!$E:$E,AL98)*M98*L98*AM98</f>
        <v/>
      </c>
      <c r="U98" s="7">
        <f>INDEX('Player Data'!$M:$M,AL98)</f>
        <v/>
      </c>
      <c r="V98" s="7">
        <f>INDEX('Player Data'!$N:$N,AL98)</f>
        <v/>
      </c>
      <c r="W98" s="5">
        <f>X98*U98</f>
        <v/>
      </c>
      <c r="X98" s="5">
        <f>INDEX('Player Data'!$O:$O,AL98)/INDEX('Player Data'!$E:$E,AL98)*M98*L98*AM98</f>
        <v/>
      </c>
      <c r="Y98" s="5">
        <f>Z98*V98</f>
        <v/>
      </c>
      <c r="Z98" s="5">
        <f>INDEX('Player Data'!$P:$P,AL98)/INDEX('Player Data'!$E:$E,AL98)*M98*L98*AM98</f>
        <v/>
      </c>
      <c r="AB98" s="3">
        <f>(N98-Pool!$D$2)/Pool!$E$2</f>
        <v/>
      </c>
      <c r="AC98" s="3">
        <f>(O98-Pool!$D$3)/Pool!$E$3</f>
        <v/>
      </c>
      <c r="AD98" s="3">
        <f>(P98-Pool!$D$4)/Pool!$E$4</f>
        <v/>
      </c>
      <c r="AE98" s="3">
        <f>(Q98-Pool!$D$5)/Pool!$E$5</f>
        <v/>
      </c>
      <c r="AF98" s="3">
        <f>(R98-Pool!$D$6)/Pool!$E$6</f>
        <v/>
      </c>
      <c r="AG98" s="3">
        <f>(S98-Pool!$D$7)/Pool!$E$7</f>
        <v/>
      </c>
      <c r="AH98" s="3">
        <f>(AS98-Pool!$D$8)/Pool!$E$8</f>
        <v/>
      </c>
      <c r="AI98" s="3">
        <f>(AT98-Pool!$D$9)/Pool!$E$9</f>
        <v/>
      </c>
      <c r="AJ98" s="3">
        <f>-(T98-Pool!$D$10)/Pool!$E$10</f>
        <v/>
      </c>
      <c r="AL98">
        <f>MATCH(B98,'Player Data'!$A:$A,0)</f>
        <v/>
      </c>
      <c r="AM98" s="3">
        <f>1+IF(Settings!$F$10="ON",IFERROR(VLOOKUP(TRIM(F98),Settings!$D$12:$F$17,3,FALSE),0),0)</f>
        <v/>
      </c>
      <c r="AN98">
        <f>IFERROR(LEFT(C98,FIND(",",C98)-1),C98)</f>
        <v/>
      </c>
      <c r="AO98" s="6">
        <f>X98*(U98-Pool!$B$12)</f>
        <v/>
      </c>
      <c r="AP98" s="6">
        <f>Z98*(V98-Pool!$B$13)</f>
        <v/>
      </c>
      <c r="AQ98" s="3">
        <f>Settings!$B$2*(N98-Pool!$B$2)/Pool!$C$2+Settings!$B$3*(O98-Pool!$B$3)/Pool!$C$3+Settings!$B$4*(P98-Pool!$B$4)/Pool!$C$4+Settings!$B$5*(Q98-Pool!$B$5)/Pool!$C$5+Settings!$B$6*(R98-Pool!$B$6)/Pool!$C$6+Settings!$B$7*(S98-Pool!$B$7)/Pool!$C$7+Settings!$B$8*(AO98-Pool!$B$8)/Pool!$C$8+Settings!$B$9*(AP98-Pool!$B$9)/Pool!$C$9+Settings!$B$10*-(T98-Pool!$B$10)/Pool!$C$10</f>
        <v/>
      </c>
      <c r="AR98">
        <f>IF(RANK(AQ98,$AQ$2:$AQ$266)&lt;=Settings!$F$5,1,0)</f>
        <v/>
      </c>
      <c r="AS98" s="6">
        <f>X98*(U98-Pool!$D$12)</f>
        <v/>
      </c>
      <c r="AT98" s="6">
        <f>Z98*(V98-Pool!$D$13)</f>
        <v/>
      </c>
    </row>
    <row r="99">
      <c r="A99">
        <f>RANK(H99,$H$2:$H$266)</f>
        <v/>
      </c>
      <c r="B99" t="inlineStr">
        <is>
          <t>Zach Edey</t>
        </is>
      </c>
      <c r="C99">
        <f>INDEX('Player Data'!$C:$C,AL99)</f>
        <v/>
      </c>
      <c r="D99">
        <f>SUMPRODUCT(($AN$2:$AN$266=AN99)*($H$2:$H$266&gt;H99))+1</f>
        <v/>
      </c>
      <c r="E99">
        <f>INDEX('Player Data'!$B:$B,AL99)</f>
        <v/>
      </c>
      <c r="F99" s="2" t="n"/>
      <c r="G99" s="3">
        <f>Settings!$B$2*AB99+Settings!$B$3*AC99+Settings!$B$4*AD99+Settings!$B$5*AE99+Settings!$B$6*AF99+Settings!$B$7*AG99+Settings!$B$8*AH99+Settings!$B$9*AI99+Settings!$B$10*AJ99</f>
        <v/>
      </c>
      <c r="H99" s="3">
        <f>G99-LARGE($G$2:$G$266,Settings!$F$4)</f>
        <v/>
      </c>
      <c r="I99">
        <f>IF(INDEX('Player Data'!$R:$R,AL99)="","",INDEX('Player Data'!$R:$R,AL99))</f>
        <v/>
      </c>
      <c r="J99" s="4">
        <f>IF(I99="","",I99-A99)</f>
        <v/>
      </c>
      <c r="L99" s="5">
        <f>IF(Settings!$F$7="Yes",INDEX('Minutes &amp; Health'!$O:$O,AL99),Settings!$F$8)</f>
        <v/>
      </c>
      <c r="M99" s="6">
        <f>INDEX('Minutes &amp; Health'!$P:$P,AL99)</f>
        <v/>
      </c>
      <c r="N99" s="5">
        <f>INDEX('Player Data'!$F:$F,AL99)/INDEX('Player Data'!$E:$E,AL99)*M99*L99*AM99</f>
        <v/>
      </c>
      <c r="O99" s="5">
        <f>INDEX('Player Data'!$G:$G,AL99)/INDEX('Player Data'!$E:$E,AL99)*M99*L99*AM99</f>
        <v/>
      </c>
      <c r="P99" s="5">
        <f>INDEX('Player Data'!$H:$H,AL99)/INDEX('Player Data'!$E:$E,AL99)*M99*L99*AM99</f>
        <v/>
      </c>
      <c r="Q99" s="5">
        <f>INDEX('Player Data'!$I:$I,AL99)/INDEX('Player Data'!$E:$E,AL99)*M99*L99*AM99</f>
        <v/>
      </c>
      <c r="R99" s="5">
        <f>INDEX('Player Data'!$J:$J,AL99)/INDEX('Player Data'!$E:$E,AL99)*M99*L99*AM99</f>
        <v/>
      </c>
      <c r="S99" s="5">
        <f>INDEX('Player Data'!$K:$K,AL99)/INDEX('Player Data'!$E:$E,AL99)*M99*L99*AM99</f>
        <v/>
      </c>
      <c r="T99" s="5">
        <f>INDEX('Player Data'!$L:$L,AL99)/INDEX('Player Data'!$E:$E,AL99)*M99*L99*AM99</f>
        <v/>
      </c>
      <c r="U99" s="7">
        <f>INDEX('Player Data'!$M:$M,AL99)</f>
        <v/>
      </c>
      <c r="V99" s="7">
        <f>INDEX('Player Data'!$N:$N,AL99)</f>
        <v/>
      </c>
      <c r="W99" s="5">
        <f>X99*U99</f>
        <v/>
      </c>
      <c r="X99" s="5">
        <f>INDEX('Player Data'!$O:$O,AL99)/INDEX('Player Data'!$E:$E,AL99)*M99*L99*AM99</f>
        <v/>
      </c>
      <c r="Y99" s="5">
        <f>Z99*V99</f>
        <v/>
      </c>
      <c r="Z99" s="5">
        <f>INDEX('Player Data'!$P:$P,AL99)/INDEX('Player Data'!$E:$E,AL99)*M99*L99*AM99</f>
        <v/>
      </c>
      <c r="AB99" s="3">
        <f>(N99-Pool!$D$2)/Pool!$E$2</f>
        <v/>
      </c>
      <c r="AC99" s="3">
        <f>(O99-Pool!$D$3)/Pool!$E$3</f>
        <v/>
      </c>
      <c r="AD99" s="3">
        <f>(P99-Pool!$D$4)/Pool!$E$4</f>
        <v/>
      </c>
      <c r="AE99" s="3">
        <f>(Q99-Pool!$D$5)/Pool!$E$5</f>
        <v/>
      </c>
      <c r="AF99" s="3">
        <f>(R99-Pool!$D$6)/Pool!$E$6</f>
        <v/>
      </c>
      <c r="AG99" s="3">
        <f>(S99-Pool!$D$7)/Pool!$E$7</f>
        <v/>
      </c>
      <c r="AH99" s="3">
        <f>(AS99-Pool!$D$8)/Pool!$E$8</f>
        <v/>
      </c>
      <c r="AI99" s="3">
        <f>(AT99-Pool!$D$9)/Pool!$E$9</f>
        <v/>
      </c>
      <c r="AJ99" s="3">
        <f>-(T99-Pool!$D$10)/Pool!$E$10</f>
        <v/>
      </c>
      <c r="AL99">
        <f>MATCH(B99,'Player Data'!$A:$A,0)</f>
        <v/>
      </c>
      <c r="AM99" s="3">
        <f>1+IF(Settings!$F$10="ON",IFERROR(VLOOKUP(TRIM(F99),Settings!$D$12:$F$17,3,FALSE),0),0)</f>
        <v/>
      </c>
      <c r="AN99">
        <f>IFERROR(LEFT(C99,FIND(",",C99)-1),C99)</f>
        <v/>
      </c>
      <c r="AO99" s="6">
        <f>X99*(U99-Pool!$B$12)</f>
        <v/>
      </c>
      <c r="AP99" s="6">
        <f>Z99*(V99-Pool!$B$13)</f>
        <v/>
      </c>
      <c r="AQ99" s="3">
        <f>Settings!$B$2*(N99-Pool!$B$2)/Pool!$C$2+Settings!$B$3*(O99-Pool!$B$3)/Pool!$C$3+Settings!$B$4*(P99-Pool!$B$4)/Pool!$C$4+Settings!$B$5*(Q99-Pool!$B$5)/Pool!$C$5+Settings!$B$6*(R99-Pool!$B$6)/Pool!$C$6+Settings!$B$7*(S99-Pool!$B$7)/Pool!$C$7+Settings!$B$8*(AO99-Pool!$B$8)/Pool!$C$8+Settings!$B$9*(AP99-Pool!$B$9)/Pool!$C$9+Settings!$B$10*-(T99-Pool!$B$10)/Pool!$C$10</f>
        <v/>
      </c>
      <c r="AR99">
        <f>IF(RANK(AQ99,$AQ$2:$AQ$266)&lt;=Settings!$F$5,1,0)</f>
        <v/>
      </c>
      <c r="AS99" s="6">
        <f>X99*(U99-Pool!$D$12)</f>
        <v/>
      </c>
      <c r="AT99" s="6">
        <f>Z99*(V99-Pool!$D$13)</f>
        <v/>
      </c>
    </row>
    <row r="100">
      <c r="A100">
        <f>RANK(H100,$H$2:$H$266)</f>
        <v/>
      </c>
      <c r="B100" t="inlineStr">
        <is>
          <t>DeMar DeRozan</t>
        </is>
      </c>
      <c r="C100">
        <f>INDEX('Player Data'!$C:$C,AL100)</f>
        <v/>
      </c>
      <c r="D100">
        <f>SUMPRODUCT(($AN$2:$AN$266=AN100)*($H$2:$H$266&gt;H100))+1</f>
        <v/>
      </c>
      <c r="E100">
        <f>INDEX('Player Data'!$B:$B,AL100)</f>
        <v/>
      </c>
      <c r="F100" s="2" t="n"/>
      <c r="G100" s="3">
        <f>Settings!$B$2*AB100+Settings!$B$3*AC100+Settings!$B$4*AD100+Settings!$B$5*AE100+Settings!$B$6*AF100+Settings!$B$7*AG100+Settings!$B$8*AH100+Settings!$B$9*AI100+Settings!$B$10*AJ100</f>
        <v/>
      </c>
      <c r="H100" s="3">
        <f>G100-LARGE($G$2:$G$266,Settings!$F$4)</f>
        <v/>
      </c>
      <c r="I100">
        <f>IF(INDEX('Player Data'!$R:$R,AL100)="","",INDEX('Player Data'!$R:$R,AL100))</f>
        <v/>
      </c>
      <c r="J100" s="4">
        <f>IF(I100="","",I100-A100)</f>
        <v/>
      </c>
      <c r="L100" s="5">
        <f>IF(Settings!$F$7="Yes",INDEX('Minutes &amp; Health'!$O:$O,AL100),Settings!$F$8)</f>
        <v/>
      </c>
      <c r="M100" s="6">
        <f>INDEX('Minutes &amp; Health'!$P:$P,AL100)</f>
        <v/>
      </c>
      <c r="N100" s="5">
        <f>INDEX('Player Data'!$F:$F,AL100)/INDEX('Player Data'!$E:$E,AL100)*M100*L100*AM100</f>
        <v/>
      </c>
      <c r="O100" s="5">
        <f>INDEX('Player Data'!$G:$G,AL100)/INDEX('Player Data'!$E:$E,AL100)*M100*L100*AM100</f>
        <v/>
      </c>
      <c r="P100" s="5">
        <f>INDEX('Player Data'!$H:$H,AL100)/INDEX('Player Data'!$E:$E,AL100)*M100*L100*AM100</f>
        <v/>
      </c>
      <c r="Q100" s="5">
        <f>INDEX('Player Data'!$I:$I,AL100)/INDEX('Player Data'!$E:$E,AL100)*M100*L100*AM100</f>
        <v/>
      </c>
      <c r="R100" s="5">
        <f>INDEX('Player Data'!$J:$J,AL100)/INDEX('Player Data'!$E:$E,AL100)*M100*L100*AM100</f>
        <v/>
      </c>
      <c r="S100" s="5">
        <f>INDEX('Player Data'!$K:$K,AL100)/INDEX('Player Data'!$E:$E,AL100)*M100*L100*AM100</f>
        <v/>
      </c>
      <c r="T100" s="5">
        <f>INDEX('Player Data'!$L:$L,AL100)/INDEX('Player Data'!$E:$E,AL100)*M100*L100*AM100</f>
        <v/>
      </c>
      <c r="U100" s="7">
        <f>INDEX('Player Data'!$M:$M,AL100)</f>
        <v/>
      </c>
      <c r="V100" s="7">
        <f>INDEX('Player Data'!$N:$N,AL100)</f>
        <v/>
      </c>
      <c r="W100" s="5">
        <f>X100*U100</f>
        <v/>
      </c>
      <c r="X100" s="5">
        <f>INDEX('Player Data'!$O:$O,AL100)/INDEX('Player Data'!$E:$E,AL100)*M100*L100*AM100</f>
        <v/>
      </c>
      <c r="Y100" s="5">
        <f>Z100*V100</f>
        <v/>
      </c>
      <c r="Z100" s="5">
        <f>INDEX('Player Data'!$P:$P,AL100)/INDEX('Player Data'!$E:$E,AL100)*M100*L100*AM100</f>
        <v/>
      </c>
      <c r="AB100" s="3">
        <f>(N100-Pool!$D$2)/Pool!$E$2</f>
        <v/>
      </c>
      <c r="AC100" s="3">
        <f>(O100-Pool!$D$3)/Pool!$E$3</f>
        <v/>
      </c>
      <c r="AD100" s="3">
        <f>(P100-Pool!$D$4)/Pool!$E$4</f>
        <v/>
      </c>
      <c r="AE100" s="3">
        <f>(Q100-Pool!$D$5)/Pool!$E$5</f>
        <v/>
      </c>
      <c r="AF100" s="3">
        <f>(R100-Pool!$D$6)/Pool!$E$6</f>
        <v/>
      </c>
      <c r="AG100" s="3">
        <f>(S100-Pool!$D$7)/Pool!$E$7</f>
        <v/>
      </c>
      <c r="AH100" s="3">
        <f>(AS100-Pool!$D$8)/Pool!$E$8</f>
        <v/>
      </c>
      <c r="AI100" s="3">
        <f>(AT100-Pool!$D$9)/Pool!$E$9</f>
        <v/>
      </c>
      <c r="AJ100" s="3">
        <f>-(T100-Pool!$D$10)/Pool!$E$10</f>
        <v/>
      </c>
      <c r="AL100">
        <f>MATCH(B100,'Player Data'!$A:$A,0)</f>
        <v/>
      </c>
      <c r="AM100" s="3">
        <f>1+IF(Settings!$F$10="ON",IFERROR(VLOOKUP(TRIM(F100),Settings!$D$12:$F$17,3,FALSE),0),0)</f>
        <v/>
      </c>
      <c r="AN100">
        <f>IFERROR(LEFT(C100,FIND(",",C100)-1),C100)</f>
        <v/>
      </c>
      <c r="AO100" s="6">
        <f>X100*(U100-Pool!$B$12)</f>
        <v/>
      </c>
      <c r="AP100" s="6">
        <f>Z100*(V100-Pool!$B$13)</f>
        <v/>
      </c>
      <c r="AQ100" s="3">
        <f>Settings!$B$2*(N100-Pool!$B$2)/Pool!$C$2+Settings!$B$3*(O100-Pool!$B$3)/Pool!$C$3+Settings!$B$4*(P100-Pool!$B$4)/Pool!$C$4+Settings!$B$5*(Q100-Pool!$B$5)/Pool!$C$5+Settings!$B$6*(R100-Pool!$B$6)/Pool!$C$6+Settings!$B$7*(S100-Pool!$B$7)/Pool!$C$7+Settings!$B$8*(AO100-Pool!$B$8)/Pool!$C$8+Settings!$B$9*(AP100-Pool!$B$9)/Pool!$C$9+Settings!$B$10*-(T100-Pool!$B$10)/Pool!$C$10</f>
        <v/>
      </c>
      <c r="AR100">
        <f>IF(RANK(AQ100,$AQ$2:$AQ$266)&lt;=Settings!$F$5,1,0)</f>
        <v/>
      </c>
      <c r="AS100" s="6">
        <f>X100*(U100-Pool!$D$12)</f>
        <v/>
      </c>
      <c r="AT100" s="6">
        <f>Z100*(V100-Pool!$D$13)</f>
        <v/>
      </c>
    </row>
    <row r="101">
      <c r="A101">
        <f>RANK(H101,$H$2:$H$266)</f>
        <v/>
      </c>
      <c r="B101" t="inlineStr">
        <is>
          <t>Alex Sarr</t>
        </is>
      </c>
      <c r="C101">
        <f>INDEX('Player Data'!$C:$C,AL101)</f>
        <v/>
      </c>
      <c r="D101">
        <f>SUMPRODUCT(($AN$2:$AN$266=AN101)*($H$2:$H$266&gt;H101))+1</f>
        <v/>
      </c>
      <c r="E101">
        <f>INDEX('Player Data'!$B:$B,AL101)</f>
        <v/>
      </c>
      <c r="F101" s="2" t="n"/>
      <c r="G101" s="3">
        <f>Settings!$B$2*AB101+Settings!$B$3*AC101+Settings!$B$4*AD101+Settings!$B$5*AE101+Settings!$B$6*AF101+Settings!$B$7*AG101+Settings!$B$8*AH101+Settings!$B$9*AI101+Settings!$B$10*AJ101</f>
        <v/>
      </c>
      <c r="H101" s="3">
        <f>G101-LARGE($G$2:$G$266,Settings!$F$4)</f>
        <v/>
      </c>
      <c r="I101">
        <f>IF(INDEX('Player Data'!$R:$R,AL101)="","",INDEX('Player Data'!$R:$R,AL101))</f>
        <v/>
      </c>
      <c r="J101" s="4">
        <f>IF(I101="","",I101-A101)</f>
        <v/>
      </c>
      <c r="L101" s="5">
        <f>IF(Settings!$F$7="Yes",INDEX('Minutes &amp; Health'!$O:$O,AL101),Settings!$F$8)</f>
        <v/>
      </c>
      <c r="M101" s="6">
        <f>INDEX('Minutes &amp; Health'!$P:$P,AL101)</f>
        <v/>
      </c>
      <c r="N101" s="5">
        <f>INDEX('Player Data'!$F:$F,AL101)/INDEX('Player Data'!$E:$E,AL101)*M101*L101*AM101</f>
        <v/>
      </c>
      <c r="O101" s="5">
        <f>INDEX('Player Data'!$G:$G,AL101)/INDEX('Player Data'!$E:$E,AL101)*M101*L101*AM101</f>
        <v/>
      </c>
      <c r="P101" s="5">
        <f>INDEX('Player Data'!$H:$H,AL101)/INDEX('Player Data'!$E:$E,AL101)*M101*L101*AM101</f>
        <v/>
      </c>
      <c r="Q101" s="5">
        <f>INDEX('Player Data'!$I:$I,AL101)/INDEX('Player Data'!$E:$E,AL101)*M101*L101*AM101</f>
        <v/>
      </c>
      <c r="R101" s="5">
        <f>INDEX('Player Data'!$J:$J,AL101)/INDEX('Player Data'!$E:$E,AL101)*M101*L101*AM101</f>
        <v/>
      </c>
      <c r="S101" s="5">
        <f>INDEX('Player Data'!$K:$K,AL101)/INDEX('Player Data'!$E:$E,AL101)*M101*L101*AM101</f>
        <v/>
      </c>
      <c r="T101" s="5">
        <f>INDEX('Player Data'!$L:$L,AL101)/INDEX('Player Data'!$E:$E,AL101)*M101*L101*AM101</f>
        <v/>
      </c>
      <c r="U101" s="7">
        <f>INDEX('Player Data'!$M:$M,AL101)</f>
        <v/>
      </c>
      <c r="V101" s="7">
        <f>INDEX('Player Data'!$N:$N,AL101)</f>
        <v/>
      </c>
      <c r="W101" s="5">
        <f>X101*U101</f>
        <v/>
      </c>
      <c r="X101" s="5">
        <f>INDEX('Player Data'!$O:$O,AL101)/INDEX('Player Data'!$E:$E,AL101)*M101*L101*AM101</f>
        <v/>
      </c>
      <c r="Y101" s="5">
        <f>Z101*V101</f>
        <v/>
      </c>
      <c r="Z101" s="5">
        <f>INDEX('Player Data'!$P:$P,AL101)/INDEX('Player Data'!$E:$E,AL101)*M101*L101*AM101</f>
        <v/>
      </c>
      <c r="AB101" s="3">
        <f>(N101-Pool!$D$2)/Pool!$E$2</f>
        <v/>
      </c>
      <c r="AC101" s="3">
        <f>(O101-Pool!$D$3)/Pool!$E$3</f>
        <v/>
      </c>
      <c r="AD101" s="3">
        <f>(P101-Pool!$D$4)/Pool!$E$4</f>
        <v/>
      </c>
      <c r="AE101" s="3">
        <f>(Q101-Pool!$D$5)/Pool!$E$5</f>
        <v/>
      </c>
      <c r="AF101" s="3">
        <f>(R101-Pool!$D$6)/Pool!$E$6</f>
        <v/>
      </c>
      <c r="AG101" s="3">
        <f>(S101-Pool!$D$7)/Pool!$E$7</f>
        <v/>
      </c>
      <c r="AH101" s="3">
        <f>(AS101-Pool!$D$8)/Pool!$E$8</f>
        <v/>
      </c>
      <c r="AI101" s="3">
        <f>(AT101-Pool!$D$9)/Pool!$E$9</f>
        <v/>
      </c>
      <c r="AJ101" s="3">
        <f>-(T101-Pool!$D$10)/Pool!$E$10</f>
        <v/>
      </c>
      <c r="AL101">
        <f>MATCH(B101,'Player Data'!$A:$A,0)</f>
        <v/>
      </c>
      <c r="AM101" s="3">
        <f>1+IF(Settings!$F$10="ON",IFERROR(VLOOKUP(TRIM(F101),Settings!$D$12:$F$17,3,FALSE),0),0)</f>
        <v/>
      </c>
      <c r="AN101">
        <f>IFERROR(LEFT(C101,FIND(",",C101)-1),C101)</f>
        <v/>
      </c>
      <c r="AO101" s="6">
        <f>X101*(U101-Pool!$B$12)</f>
        <v/>
      </c>
      <c r="AP101" s="6">
        <f>Z101*(V101-Pool!$B$13)</f>
        <v/>
      </c>
      <c r="AQ101" s="3">
        <f>Settings!$B$2*(N101-Pool!$B$2)/Pool!$C$2+Settings!$B$3*(O101-Pool!$B$3)/Pool!$C$3+Settings!$B$4*(P101-Pool!$B$4)/Pool!$C$4+Settings!$B$5*(Q101-Pool!$B$5)/Pool!$C$5+Settings!$B$6*(R101-Pool!$B$6)/Pool!$C$6+Settings!$B$7*(S101-Pool!$B$7)/Pool!$C$7+Settings!$B$8*(AO101-Pool!$B$8)/Pool!$C$8+Settings!$B$9*(AP101-Pool!$B$9)/Pool!$C$9+Settings!$B$10*-(T101-Pool!$B$10)/Pool!$C$10</f>
        <v/>
      </c>
      <c r="AR101">
        <f>IF(RANK(AQ101,$AQ$2:$AQ$266)&lt;=Settings!$F$5,1,0)</f>
        <v/>
      </c>
      <c r="AS101" s="6">
        <f>X101*(U101-Pool!$D$12)</f>
        <v/>
      </c>
      <c r="AT101" s="6">
        <f>Z101*(V101-Pool!$D$13)</f>
        <v/>
      </c>
    </row>
    <row r="102">
      <c r="A102">
        <f>RANK(H102,$H$2:$H$266)</f>
        <v/>
      </c>
      <c r="B102" t="inlineStr">
        <is>
          <t>Myles Turner</t>
        </is>
      </c>
      <c r="C102">
        <f>INDEX('Player Data'!$C:$C,AL102)</f>
        <v/>
      </c>
      <c r="D102">
        <f>SUMPRODUCT(($AN$2:$AN$266=AN102)*($H$2:$H$266&gt;H102))+1</f>
        <v/>
      </c>
      <c r="E102">
        <f>INDEX('Player Data'!$B:$B,AL102)</f>
        <v/>
      </c>
      <c r="F102" s="2" t="n"/>
      <c r="G102" s="3">
        <f>Settings!$B$2*AB102+Settings!$B$3*AC102+Settings!$B$4*AD102+Settings!$B$5*AE102+Settings!$B$6*AF102+Settings!$B$7*AG102+Settings!$B$8*AH102+Settings!$B$9*AI102+Settings!$B$10*AJ102</f>
        <v/>
      </c>
      <c r="H102" s="3">
        <f>G102-LARGE($G$2:$G$266,Settings!$F$4)</f>
        <v/>
      </c>
      <c r="I102">
        <f>IF(INDEX('Player Data'!$R:$R,AL102)="","",INDEX('Player Data'!$R:$R,AL102))</f>
        <v/>
      </c>
      <c r="J102" s="4">
        <f>IF(I102="","",I102-A102)</f>
        <v/>
      </c>
      <c r="L102" s="5">
        <f>IF(Settings!$F$7="Yes",INDEX('Minutes &amp; Health'!$O:$O,AL102),Settings!$F$8)</f>
        <v/>
      </c>
      <c r="M102" s="6">
        <f>INDEX('Minutes &amp; Health'!$P:$P,AL102)</f>
        <v/>
      </c>
      <c r="N102" s="5">
        <f>INDEX('Player Data'!$F:$F,AL102)/INDEX('Player Data'!$E:$E,AL102)*M102*L102*AM102</f>
        <v/>
      </c>
      <c r="O102" s="5">
        <f>INDEX('Player Data'!$G:$G,AL102)/INDEX('Player Data'!$E:$E,AL102)*M102*L102*AM102</f>
        <v/>
      </c>
      <c r="P102" s="5">
        <f>INDEX('Player Data'!$H:$H,AL102)/INDEX('Player Data'!$E:$E,AL102)*M102*L102*AM102</f>
        <v/>
      </c>
      <c r="Q102" s="5">
        <f>INDEX('Player Data'!$I:$I,AL102)/INDEX('Player Data'!$E:$E,AL102)*M102*L102*AM102</f>
        <v/>
      </c>
      <c r="R102" s="5">
        <f>INDEX('Player Data'!$J:$J,AL102)/INDEX('Player Data'!$E:$E,AL102)*M102*L102*AM102</f>
        <v/>
      </c>
      <c r="S102" s="5">
        <f>INDEX('Player Data'!$K:$K,AL102)/INDEX('Player Data'!$E:$E,AL102)*M102*L102*AM102</f>
        <v/>
      </c>
      <c r="T102" s="5">
        <f>INDEX('Player Data'!$L:$L,AL102)/INDEX('Player Data'!$E:$E,AL102)*M102*L102*AM102</f>
        <v/>
      </c>
      <c r="U102" s="7">
        <f>INDEX('Player Data'!$M:$M,AL102)</f>
        <v/>
      </c>
      <c r="V102" s="7">
        <f>INDEX('Player Data'!$N:$N,AL102)</f>
        <v/>
      </c>
      <c r="W102" s="5">
        <f>X102*U102</f>
        <v/>
      </c>
      <c r="X102" s="5">
        <f>INDEX('Player Data'!$O:$O,AL102)/INDEX('Player Data'!$E:$E,AL102)*M102*L102*AM102</f>
        <v/>
      </c>
      <c r="Y102" s="5">
        <f>Z102*V102</f>
        <v/>
      </c>
      <c r="Z102" s="5">
        <f>INDEX('Player Data'!$P:$P,AL102)/INDEX('Player Data'!$E:$E,AL102)*M102*L102*AM102</f>
        <v/>
      </c>
      <c r="AB102" s="3">
        <f>(N102-Pool!$D$2)/Pool!$E$2</f>
        <v/>
      </c>
      <c r="AC102" s="3">
        <f>(O102-Pool!$D$3)/Pool!$E$3</f>
        <v/>
      </c>
      <c r="AD102" s="3">
        <f>(P102-Pool!$D$4)/Pool!$E$4</f>
        <v/>
      </c>
      <c r="AE102" s="3">
        <f>(Q102-Pool!$D$5)/Pool!$E$5</f>
        <v/>
      </c>
      <c r="AF102" s="3">
        <f>(R102-Pool!$D$6)/Pool!$E$6</f>
        <v/>
      </c>
      <c r="AG102" s="3">
        <f>(S102-Pool!$D$7)/Pool!$E$7</f>
        <v/>
      </c>
      <c r="AH102" s="3">
        <f>(AS102-Pool!$D$8)/Pool!$E$8</f>
        <v/>
      </c>
      <c r="AI102" s="3">
        <f>(AT102-Pool!$D$9)/Pool!$E$9</f>
        <v/>
      </c>
      <c r="AJ102" s="3">
        <f>-(T102-Pool!$D$10)/Pool!$E$10</f>
        <v/>
      </c>
      <c r="AL102">
        <f>MATCH(B102,'Player Data'!$A:$A,0)</f>
        <v/>
      </c>
      <c r="AM102" s="3">
        <f>1+IF(Settings!$F$10="ON",IFERROR(VLOOKUP(TRIM(F102),Settings!$D$12:$F$17,3,FALSE),0),0)</f>
        <v/>
      </c>
      <c r="AN102">
        <f>IFERROR(LEFT(C102,FIND(",",C102)-1),C102)</f>
        <v/>
      </c>
      <c r="AO102" s="6">
        <f>X102*(U102-Pool!$B$12)</f>
        <v/>
      </c>
      <c r="AP102" s="6">
        <f>Z102*(V102-Pool!$B$13)</f>
        <v/>
      </c>
      <c r="AQ102" s="3">
        <f>Settings!$B$2*(N102-Pool!$B$2)/Pool!$C$2+Settings!$B$3*(O102-Pool!$B$3)/Pool!$C$3+Settings!$B$4*(P102-Pool!$B$4)/Pool!$C$4+Settings!$B$5*(Q102-Pool!$B$5)/Pool!$C$5+Settings!$B$6*(R102-Pool!$B$6)/Pool!$C$6+Settings!$B$7*(S102-Pool!$B$7)/Pool!$C$7+Settings!$B$8*(AO102-Pool!$B$8)/Pool!$C$8+Settings!$B$9*(AP102-Pool!$B$9)/Pool!$C$9+Settings!$B$10*-(T102-Pool!$B$10)/Pool!$C$10</f>
        <v/>
      </c>
      <c r="AR102">
        <f>IF(RANK(AQ102,$AQ$2:$AQ$266)&lt;=Settings!$F$5,1,0)</f>
        <v/>
      </c>
      <c r="AS102" s="6">
        <f>X102*(U102-Pool!$D$12)</f>
        <v/>
      </c>
      <c r="AT102" s="6">
        <f>Z102*(V102-Pool!$D$13)</f>
        <v/>
      </c>
    </row>
    <row r="103">
      <c r="A103">
        <f>RANK(H103,$H$2:$H$266)</f>
        <v/>
      </c>
      <c r="B103" t="inlineStr">
        <is>
          <t>CJ McCollum</t>
        </is>
      </c>
      <c r="C103">
        <f>INDEX('Player Data'!$C:$C,AL103)</f>
        <v/>
      </c>
      <c r="D103">
        <f>SUMPRODUCT(($AN$2:$AN$266=AN103)*($H$2:$H$266&gt;H103))+1</f>
        <v/>
      </c>
      <c r="E103">
        <f>INDEX('Player Data'!$B:$B,AL103)</f>
        <v/>
      </c>
      <c r="F103" s="2" t="n"/>
      <c r="G103" s="3">
        <f>Settings!$B$2*AB103+Settings!$B$3*AC103+Settings!$B$4*AD103+Settings!$B$5*AE103+Settings!$B$6*AF103+Settings!$B$7*AG103+Settings!$B$8*AH103+Settings!$B$9*AI103+Settings!$B$10*AJ103</f>
        <v/>
      </c>
      <c r="H103" s="3">
        <f>G103-LARGE($G$2:$G$266,Settings!$F$4)</f>
        <v/>
      </c>
      <c r="I103">
        <f>IF(INDEX('Player Data'!$R:$R,AL103)="","",INDEX('Player Data'!$R:$R,AL103))</f>
        <v/>
      </c>
      <c r="J103" s="4">
        <f>IF(I103="","",I103-A103)</f>
        <v/>
      </c>
      <c r="L103" s="5">
        <f>IF(Settings!$F$7="Yes",INDEX('Minutes &amp; Health'!$O:$O,AL103),Settings!$F$8)</f>
        <v/>
      </c>
      <c r="M103" s="6">
        <f>INDEX('Minutes &amp; Health'!$P:$P,AL103)</f>
        <v/>
      </c>
      <c r="N103" s="5">
        <f>INDEX('Player Data'!$F:$F,AL103)/INDEX('Player Data'!$E:$E,AL103)*M103*L103*AM103</f>
        <v/>
      </c>
      <c r="O103" s="5">
        <f>INDEX('Player Data'!$G:$G,AL103)/INDEX('Player Data'!$E:$E,AL103)*M103*L103*AM103</f>
        <v/>
      </c>
      <c r="P103" s="5">
        <f>INDEX('Player Data'!$H:$H,AL103)/INDEX('Player Data'!$E:$E,AL103)*M103*L103*AM103</f>
        <v/>
      </c>
      <c r="Q103" s="5">
        <f>INDEX('Player Data'!$I:$I,AL103)/INDEX('Player Data'!$E:$E,AL103)*M103*L103*AM103</f>
        <v/>
      </c>
      <c r="R103" s="5">
        <f>INDEX('Player Data'!$J:$J,AL103)/INDEX('Player Data'!$E:$E,AL103)*M103*L103*AM103</f>
        <v/>
      </c>
      <c r="S103" s="5">
        <f>INDEX('Player Data'!$K:$K,AL103)/INDEX('Player Data'!$E:$E,AL103)*M103*L103*AM103</f>
        <v/>
      </c>
      <c r="T103" s="5">
        <f>INDEX('Player Data'!$L:$L,AL103)/INDEX('Player Data'!$E:$E,AL103)*M103*L103*AM103</f>
        <v/>
      </c>
      <c r="U103" s="7">
        <f>INDEX('Player Data'!$M:$M,AL103)</f>
        <v/>
      </c>
      <c r="V103" s="7">
        <f>INDEX('Player Data'!$N:$N,AL103)</f>
        <v/>
      </c>
      <c r="W103" s="5">
        <f>X103*U103</f>
        <v/>
      </c>
      <c r="X103" s="5">
        <f>INDEX('Player Data'!$O:$O,AL103)/INDEX('Player Data'!$E:$E,AL103)*M103*L103*AM103</f>
        <v/>
      </c>
      <c r="Y103" s="5">
        <f>Z103*V103</f>
        <v/>
      </c>
      <c r="Z103" s="5">
        <f>INDEX('Player Data'!$P:$P,AL103)/INDEX('Player Data'!$E:$E,AL103)*M103*L103*AM103</f>
        <v/>
      </c>
      <c r="AB103" s="3">
        <f>(N103-Pool!$D$2)/Pool!$E$2</f>
        <v/>
      </c>
      <c r="AC103" s="3">
        <f>(O103-Pool!$D$3)/Pool!$E$3</f>
        <v/>
      </c>
      <c r="AD103" s="3">
        <f>(P103-Pool!$D$4)/Pool!$E$4</f>
        <v/>
      </c>
      <c r="AE103" s="3">
        <f>(Q103-Pool!$D$5)/Pool!$E$5</f>
        <v/>
      </c>
      <c r="AF103" s="3">
        <f>(R103-Pool!$D$6)/Pool!$E$6</f>
        <v/>
      </c>
      <c r="AG103" s="3">
        <f>(S103-Pool!$D$7)/Pool!$E$7</f>
        <v/>
      </c>
      <c r="AH103" s="3">
        <f>(AS103-Pool!$D$8)/Pool!$E$8</f>
        <v/>
      </c>
      <c r="AI103" s="3">
        <f>(AT103-Pool!$D$9)/Pool!$E$9</f>
        <v/>
      </c>
      <c r="AJ103" s="3">
        <f>-(T103-Pool!$D$10)/Pool!$E$10</f>
        <v/>
      </c>
      <c r="AL103">
        <f>MATCH(B103,'Player Data'!$A:$A,0)</f>
        <v/>
      </c>
      <c r="AM103" s="3">
        <f>1+IF(Settings!$F$10="ON",IFERROR(VLOOKUP(TRIM(F103),Settings!$D$12:$F$17,3,FALSE),0),0)</f>
        <v/>
      </c>
      <c r="AN103">
        <f>IFERROR(LEFT(C103,FIND(",",C103)-1),C103)</f>
        <v/>
      </c>
      <c r="AO103" s="6">
        <f>X103*(U103-Pool!$B$12)</f>
        <v/>
      </c>
      <c r="AP103" s="6">
        <f>Z103*(V103-Pool!$B$13)</f>
        <v/>
      </c>
      <c r="AQ103" s="3">
        <f>Settings!$B$2*(N103-Pool!$B$2)/Pool!$C$2+Settings!$B$3*(O103-Pool!$B$3)/Pool!$C$3+Settings!$B$4*(P103-Pool!$B$4)/Pool!$C$4+Settings!$B$5*(Q103-Pool!$B$5)/Pool!$C$5+Settings!$B$6*(R103-Pool!$B$6)/Pool!$C$6+Settings!$B$7*(S103-Pool!$B$7)/Pool!$C$7+Settings!$B$8*(AO103-Pool!$B$8)/Pool!$C$8+Settings!$B$9*(AP103-Pool!$B$9)/Pool!$C$9+Settings!$B$10*-(T103-Pool!$B$10)/Pool!$C$10</f>
        <v/>
      </c>
      <c r="AR103">
        <f>IF(RANK(AQ103,$AQ$2:$AQ$266)&lt;=Settings!$F$5,1,0)</f>
        <v/>
      </c>
      <c r="AS103" s="6">
        <f>X103*(U103-Pool!$D$12)</f>
        <v/>
      </c>
      <c r="AT103" s="6">
        <f>Z103*(V103-Pool!$D$13)</f>
        <v/>
      </c>
    </row>
    <row r="104">
      <c r="A104">
        <f>RANK(H104,$H$2:$H$266)</f>
        <v/>
      </c>
      <c r="B104" t="inlineStr">
        <is>
          <t>Jabari Smith Jr.</t>
        </is>
      </c>
      <c r="C104">
        <f>INDEX('Player Data'!$C:$C,AL104)</f>
        <v/>
      </c>
      <c r="D104">
        <f>SUMPRODUCT(($AN$2:$AN$266=AN104)*($H$2:$H$266&gt;H104))+1</f>
        <v/>
      </c>
      <c r="E104">
        <f>INDEX('Player Data'!$B:$B,AL104)</f>
        <v/>
      </c>
      <c r="F104" s="2" t="n"/>
      <c r="G104" s="3">
        <f>Settings!$B$2*AB104+Settings!$B$3*AC104+Settings!$B$4*AD104+Settings!$B$5*AE104+Settings!$B$6*AF104+Settings!$B$7*AG104+Settings!$B$8*AH104+Settings!$B$9*AI104+Settings!$B$10*AJ104</f>
        <v/>
      </c>
      <c r="H104" s="3">
        <f>G104-LARGE($G$2:$G$266,Settings!$F$4)</f>
        <v/>
      </c>
      <c r="I104">
        <f>IF(INDEX('Player Data'!$R:$R,AL104)="","",INDEX('Player Data'!$R:$R,AL104))</f>
        <v/>
      </c>
      <c r="J104" s="4">
        <f>IF(I104="","",I104-A104)</f>
        <v/>
      </c>
      <c r="L104" s="5">
        <f>IF(Settings!$F$7="Yes",INDEX('Minutes &amp; Health'!$O:$O,AL104),Settings!$F$8)</f>
        <v/>
      </c>
      <c r="M104" s="6">
        <f>INDEX('Minutes &amp; Health'!$P:$P,AL104)</f>
        <v/>
      </c>
      <c r="N104" s="5">
        <f>INDEX('Player Data'!$F:$F,AL104)/INDEX('Player Data'!$E:$E,AL104)*M104*L104*AM104</f>
        <v/>
      </c>
      <c r="O104" s="5">
        <f>INDEX('Player Data'!$G:$G,AL104)/INDEX('Player Data'!$E:$E,AL104)*M104*L104*AM104</f>
        <v/>
      </c>
      <c r="P104" s="5">
        <f>INDEX('Player Data'!$H:$H,AL104)/INDEX('Player Data'!$E:$E,AL104)*M104*L104*AM104</f>
        <v/>
      </c>
      <c r="Q104" s="5">
        <f>INDEX('Player Data'!$I:$I,AL104)/INDEX('Player Data'!$E:$E,AL104)*M104*L104*AM104</f>
        <v/>
      </c>
      <c r="R104" s="5">
        <f>INDEX('Player Data'!$J:$J,AL104)/INDEX('Player Data'!$E:$E,AL104)*M104*L104*AM104</f>
        <v/>
      </c>
      <c r="S104" s="5">
        <f>INDEX('Player Data'!$K:$K,AL104)/INDEX('Player Data'!$E:$E,AL104)*M104*L104*AM104</f>
        <v/>
      </c>
      <c r="T104" s="5">
        <f>INDEX('Player Data'!$L:$L,AL104)/INDEX('Player Data'!$E:$E,AL104)*M104*L104*AM104</f>
        <v/>
      </c>
      <c r="U104" s="7">
        <f>INDEX('Player Data'!$M:$M,AL104)</f>
        <v/>
      </c>
      <c r="V104" s="7">
        <f>INDEX('Player Data'!$N:$N,AL104)</f>
        <v/>
      </c>
      <c r="W104" s="5">
        <f>X104*U104</f>
        <v/>
      </c>
      <c r="X104" s="5">
        <f>INDEX('Player Data'!$O:$O,AL104)/INDEX('Player Data'!$E:$E,AL104)*M104*L104*AM104</f>
        <v/>
      </c>
      <c r="Y104" s="5">
        <f>Z104*V104</f>
        <v/>
      </c>
      <c r="Z104" s="5">
        <f>INDEX('Player Data'!$P:$P,AL104)/INDEX('Player Data'!$E:$E,AL104)*M104*L104*AM104</f>
        <v/>
      </c>
      <c r="AB104" s="3">
        <f>(N104-Pool!$D$2)/Pool!$E$2</f>
        <v/>
      </c>
      <c r="AC104" s="3">
        <f>(O104-Pool!$D$3)/Pool!$E$3</f>
        <v/>
      </c>
      <c r="AD104" s="3">
        <f>(P104-Pool!$D$4)/Pool!$E$4</f>
        <v/>
      </c>
      <c r="AE104" s="3">
        <f>(Q104-Pool!$D$5)/Pool!$E$5</f>
        <v/>
      </c>
      <c r="AF104" s="3">
        <f>(R104-Pool!$D$6)/Pool!$E$6</f>
        <v/>
      </c>
      <c r="AG104" s="3">
        <f>(S104-Pool!$D$7)/Pool!$E$7</f>
        <v/>
      </c>
      <c r="AH104" s="3">
        <f>(AS104-Pool!$D$8)/Pool!$E$8</f>
        <v/>
      </c>
      <c r="AI104" s="3">
        <f>(AT104-Pool!$D$9)/Pool!$E$9</f>
        <v/>
      </c>
      <c r="AJ104" s="3">
        <f>-(T104-Pool!$D$10)/Pool!$E$10</f>
        <v/>
      </c>
      <c r="AL104">
        <f>MATCH(B104,'Player Data'!$A:$A,0)</f>
        <v/>
      </c>
      <c r="AM104" s="3">
        <f>1+IF(Settings!$F$10="ON",IFERROR(VLOOKUP(TRIM(F104),Settings!$D$12:$F$17,3,FALSE),0),0)</f>
        <v/>
      </c>
      <c r="AN104">
        <f>IFERROR(LEFT(C104,FIND(",",C104)-1),C104)</f>
        <v/>
      </c>
      <c r="AO104" s="6">
        <f>X104*(U104-Pool!$B$12)</f>
        <v/>
      </c>
      <c r="AP104" s="6">
        <f>Z104*(V104-Pool!$B$13)</f>
        <v/>
      </c>
      <c r="AQ104" s="3">
        <f>Settings!$B$2*(N104-Pool!$B$2)/Pool!$C$2+Settings!$B$3*(O104-Pool!$B$3)/Pool!$C$3+Settings!$B$4*(P104-Pool!$B$4)/Pool!$C$4+Settings!$B$5*(Q104-Pool!$B$5)/Pool!$C$5+Settings!$B$6*(R104-Pool!$B$6)/Pool!$C$6+Settings!$B$7*(S104-Pool!$B$7)/Pool!$C$7+Settings!$B$8*(AO104-Pool!$B$8)/Pool!$C$8+Settings!$B$9*(AP104-Pool!$B$9)/Pool!$C$9+Settings!$B$10*-(T104-Pool!$B$10)/Pool!$C$10</f>
        <v/>
      </c>
      <c r="AR104">
        <f>IF(RANK(AQ104,$AQ$2:$AQ$266)&lt;=Settings!$F$5,1,0)</f>
        <v/>
      </c>
      <c r="AS104" s="6">
        <f>X104*(U104-Pool!$D$12)</f>
        <v/>
      </c>
      <c r="AT104" s="6">
        <f>Z104*(V104-Pool!$D$13)</f>
        <v/>
      </c>
    </row>
    <row r="105">
      <c r="A105">
        <f>RANK(H105,$H$2:$H$266)</f>
        <v/>
      </c>
      <c r="B105" t="inlineStr">
        <is>
          <t>Peyton Watson</t>
        </is>
      </c>
      <c r="C105">
        <f>INDEX('Player Data'!$C:$C,AL105)</f>
        <v/>
      </c>
      <c r="D105">
        <f>SUMPRODUCT(($AN$2:$AN$266=AN105)*($H$2:$H$266&gt;H105))+1</f>
        <v/>
      </c>
      <c r="E105">
        <f>INDEX('Player Data'!$B:$B,AL105)</f>
        <v/>
      </c>
      <c r="F105" s="2" t="n"/>
      <c r="G105" s="3">
        <f>Settings!$B$2*AB105+Settings!$B$3*AC105+Settings!$B$4*AD105+Settings!$B$5*AE105+Settings!$B$6*AF105+Settings!$B$7*AG105+Settings!$B$8*AH105+Settings!$B$9*AI105+Settings!$B$10*AJ105</f>
        <v/>
      </c>
      <c r="H105" s="3">
        <f>G105-LARGE($G$2:$G$266,Settings!$F$4)</f>
        <v/>
      </c>
      <c r="I105">
        <f>IF(INDEX('Player Data'!$R:$R,AL105)="","",INDEX('Player Data'!$R:$R,AL105))</f>
        <v/>
      </c>
      <c r="J105" s="4">
        <f>IF(I105="","",I105-A105)</f>
        <v/>
      </c>
      <c r="L105" s="5">
        <f>IF(Settings!$F$7="Yes",INDEX('Minutes &amp; Health'!$O:$O,AL105),Settings!$F$8)</f>
        <v/>
      </c>
      <c r="M105" s="6">
        <f>INDEX('Minutes &amp; Health'!$P:$P,AL105)</f>
        <v/>
      </c>
      <c r="N105" s="5">
        <f>INDEX('Player Data'!$F:$F,AL105)/INDEX('Player Data'!$E:$E,AL105)*M105*L105*AM105</f>
        <v/>
      </c>
      <c r="O105" s="5">
        <f>INDEX('Player Data'!$G:$G,AL105)/INDEX('Player Data'!$E:$E,AL105)*M105*L105*AM105</f>
        <v/>
      </c>
      <c r="P105" s="5">
        <f>INDEX('Player Data'!$H:$H,AL105)/INDEX('Player Data'!$E:$E,AL105)*M105*L105*AM105</f>
        <v/>
      </c>
      <c r="Q105" s="5">
        <f>INDEX('Player Data'!$I:$I,AL105)/INDEX('Player Data'!$E:$E,AL105)*M105*L105*AM105</f>
        <v/>
      </c>
      <c r="R105" s="5">
        <f>INDEX('Player Data'!$J:$J,AL105)/INDEX('Player Data'!$E:$E,AL105)*M105*L105*AM105</f>
        <v/>
      </c>
      <c r="S105" s="5">
        <f>INDEX('Player Data'!$K:$K,AL105)/INDEX('Player Data'!$E:$E,AL105)*M105*L105*AM105</f>
        <v/>
      </c>
      <c r="T105" s="5">
        <f>INDEX('Player Data'!$L:$L,AL105)/INDEX('Player Data'!$E:$E,AL105)*M105*L105*AM105</f>
        <v/>
      </c>
      <c r="U105" s="7">
        <f>INDEX('Player Data'!$M:$M,AL105)</f>
        <v/>
      </c>
      <c r="V105" s="7">
        <f>INDEX('Player Data'!$N:$N,AL105)</f>
        <v/>
      </c>
      <c r="W105" s="5">
        <f>X105*U105</f>
        <v/>
      </c>
      <c r="X105" s="5">
        <f>INDEX('Player Data'!$O:$O,AL105)/INDEX('Player Data'!$E:$E,AL105)*M105*L105*AM105</f>
        <v/>
      </c>
      <c r="Y105" s="5">
        <f>Z105*V105</f>
        <v/>
      </c>
      <c r="Z105" s="5">
        <f>INDEX('Player Data'!$P:$P,AL105)/INDEX('Player Data'!$E:$E,AL105)*M105*L105*AM105</f>
        <v/>
      </c>
      <c r="AB105" s="3">
        <f>(N105-Pool!$D$2)/Pool!$E$2</f>
        <v/>
      </c>
      <c r="AC105" s="3">
        <f>(O105-Pool!$D$3)/Pool!$E$3</f>
        <v/>
      </c>
      <c r="AD105" s="3">
        <f>(P105-Pool!$D$4)/Pool!$E$4</f>
        <v/>
      </c>
      <c r="AE105" s="3">
        <f>(Q105-Pool!$D$5)/Pool!$E$5</f>
        <v/>
      </c>
      <c r="AF105" s="3">
        <f>(R105-Pool!$D$6)/Pool!$E$6</f>
        <v/>
      </c>
      <c r="AG105" s="3">
        <f>(S105-Pool!$D$7)/Pool!$E$7</f>
        <v/>
      </c>
      <c r="AH105" s="3">
        <f>(AS105-Pool!$D$8)/Pool!$E$8</f>
        <v/>
      </c>
      <c r="AI105" s="3">
        <f>(AT105-Pool!$D$9)/Pool!$E$9</f>
        <v/>
      </c>
      <c r="AJ105" s="3">
        <f>-(T105-Pool!$D$10)/Pool!$E$10</f>
        <v/>
      </c>
      <c r="AL105">
        <f>MATCH(B105,'Player Data'!$A:$A,0)</f>
        <v/>
      </c>
      <c r="AM105" s="3">
        <f>1+IF(Settings!$F$10="ON",IFERROR(VLOOKUP(TRIM(F105),Settings!$D$12:$F$17,3,FALSE),0),0)</f>
        <v/>
      </c>
      <c r="AN105">
        <f>IFERROR(LEFT(C105,FIND(",",C105)-1),C105)</f>
        <v/>
      </c>
      <c r="AO105" s="6">
        <f>X105*(U105-Pool!$B$12)</f>
        <v/>
      </c>
      <c r="AP105" s="6">
        <f>Z105*(V105-Pool!$B$13)</f>
        <v/>
      </c>
      <c r="AQ105" s="3">
        <f>Settings!$B$2*(N105-Pool!$B$2)/Pool!$C$2+Settings!$B$3*(O105-Pool!$B$3)/Pool!$C$3+Settings!$B$4*(P105-Pool!$B$4)/Pool!$C$4+Settings!$B$5*(Q105-Pool!$B$5)/Pool!$C$5+Settings!$B$6*(R105-Pool!$B$6)/Pool!$C$6+Settings!$B$7*(S105-Pool!$B$7)/Pool!$C$7+Settings!$B$8*(AO105-Pool!$B$8)/Pool!$C$8+Settings!$B$9*(AP105-Pool!$B$9)/Pool!$C$9+Settings!$B$10*-(T105-Pool!$B$10)/Pool!$C$10</f>
        <v/>
      </c>
      <c r="AR105">
        <f>IF(RANK(AQ105,$AQ$2:$AQ$266)&lt;=Settings!$F$5,1,0)</f>
        <v/>
      </c>
      <c r="AS105" s="6">
        <f>X105*(U105-Pool!$D$12)</f>
        <v/>
      </c>
      <c r="AT105" s="6">
        <f>Z105*(V105-Pool!$D$13)</f>
        <v/>
      </c>
    </row>
    <row r="106">
      <c r="A106">
        <f>RANK(H106,$H$2:$H$266)</f>
        <v/>
      </c>
      <c r="B106" t="inlineStr">
        <is>
          <t>Walker Kessler</t>
        </is>
      </c>
      <c r="C106">
        <f>INDEX('Player Data'!$C:$C,AL106)</f>
        <v/>
      </c>
      <c r="D106">
        <f>SUMPRODUCT(($AN$2:$AN$266=AN106)*($H$2:$H$266&gt;H106))+1</f>
        <v/>
      </c>
      <c r="E106">
        <f>INDEX('Player Data'!$B:$B,AL106)</f>
        <v/>
      </c>
      <c r="F106" s="2" t="n"/>
      <c r="G106" s="3">
        <f>Settings!$B$2*AB106+Settings!$B$3*AC106+Settings!$B$4*AD106+Settings!$B$5*AE106+Settings!$B$6*AF106+Settings!$B$7*AG106+Settings!$B$8*AH106+Settings!$B$9*AI106+Settings!$B$10*AJ106</f>
        <v/>
      </c>
      <c r="H106" s="3">
        <f>G106-LARGE($G$2:$G$266,Settings!$F$4)</f>
        <v/>
      </c>
      <c r="I106">
        <f>IF(INDEX('Player Data'!$R:$R,AL106)="","",INDEX('Player Data'!$R:$R,AL106))</f>
        <v/>
      </c>
      <c r="J106" s="4">
        <f>IF(I106="","",I106-A106)</f>
        <v/>
      </c>
      <c r="L106" s="5">
        <f>IF(Settings!$F$7="Yes",INDEX('Minutes &amp; Health'!$O:$O,AL106),Settings!$F$8)</f>
        <v/>
      </c>
      <c r="M106" s="6">
        <f>INDEX('Minutes &amp; Health'!$P:$P,AL106)</f>
        <v/>
      </c>
      <c r="N106" s="5">
        <f>INDEX('Player Data'!$F:$F,AL106)/INDEX('Player Data'!$E:$E,AL106)*M106*L106*AM106</f>
        <v/>
      </c>
      <c r="O106" s="5">
        <f>INDEX('Player Data'!$G:$G,AL106)/INDEX('Player Data'!$E:$E,AL106)*M106*L106*AM106</f>
        <v/>
      </c>
      <c r="P106" s="5">
        <f>INDEX('Player Data'!$H:$H,AL106)/INDEX('Player Data'!$E:$E,AL106)*M106*L106*AM106</f>
        <v/>
      </c>
      <c r="Q106" s="5">
        <f>INDEX('Player Data'!$I:$I,AL106)/INDEX('Player Data'!$E:$E,AL106)*M106*L106*AM106</f>
        <v/>
      </c>
      <c r="R106" s="5">
        <f>INDEX('Player Data'!$J:$J,AL106)/INDEX('Player Data'!$E:$E,AL106)*M106*L106*AM106</f>
        <v/>
      </c>
      <c r="S106" s="5">
        <f>INDEX('Player Data'!$K:$K,AL106)/INDEX('Player Data'!$E:$E,AL106)*M106*L106*AM106</f>
        <v/>
      </c>
      <c r="T106" s="5">
        <f>INDEX('Player Data'!$L:$L,AL106)/INDEX('Player Data'!$E:$E,AL106)*M106*L106*AM106</f>
        <v/>
      </c>
      <c r="U106" s="7">
        <f>INDEX('Player Data'!$M:$M,AL106)</f>
        <v/>
      </c>
      <c r="V106" s="7">
        <f>INDEX('Player Data'!$N:$N,AL106)</f>
        <v/>
      </c>
      <c r="W106" s="5">
        <f>X106*U106</f>
        <v/>
      </c>
      <c r="X106" s="5">
        <f>INDEX('Player Data'!$O:$O,AL106)/INDEX('Player Data'!$E:$E,AL106)*M106*L106*AM106</f>
        <v/>
      </c>
      <c r="Y106" s="5">
        <f>Z106*V106</f>
        <v/>
      </c>
      <c r="Z106" s="5">
        <f>INDEX('Player Data'!$P:$P,AL106)/INDEX('Player Data'!$E:$E,AL106)*M106*L106*AM106</f>
        <v/>
      </c>
      <c r="AB106" s="3">
        <f>(N106-Pool!$D$2)/Pool!$E$2</f>
        <v/>
      </c>
      <c r="AC106" s="3">
        <f>(O106-Pool!$D$3)/Pool!$E$3</f>
        <v/>
      </c>
      <c r="AD106" s="3">
        <f>(P106-Pool!$D$4)/Pool!$E$4</f>
        <v/>
      </c>
      <c r="AE106" s="3">
        <f>(Q106-Pool!$D$5)/Pool!$E$5</f>
        <v/>
      </c>
      <c r="AF106" s="3">
        <f>(R106-Pool!$D$6)/Pool!$E$6</f>
        <v/>
      </c>
      <c r="AG106" s="3">
        <f>(S106-Pool!$D$7)/Pool!$E$7</f>
        <v/>
      </c>
      <c r="AH106" s="3">
        <f>(AS106-Pool!$D$8)/Pool!$E$8</f>
        <v/>
      </c>
      <c r="AI106" s="3">
        <f>(AT106-Pool!$D$9)/Pool!$E$9</f>
        <v/>
      </c>
      <c r="AJ106" s="3">
        <f>-(T106-Pool!$D$10)/Pool!$E$10</f>
        <v/>
      </c>
      <c r="AL106">
        <f>MATCH(B106,'Player Data'!$A:$A,0)</f>
        <v/>
      </c>
      <c r="AM106" s="3">
        <f>1+IF(Settings!$F$10="ON",IFERROR(VLOOKUP(TRIM(F106),Settings!$D$12:$F$17,3,FALSE),0),0)</f>
        <v/>
      </c>
      <c r="AN106">
        <f>IFERROR(LEFT(C106,FIND(",",C106)-1),C106)</f>
        <v/>
      </c>
      <c r="AO106" s="6">
        <f>X106*(U106-Pool!$B$12)</f>
        <v/>
      </c>
      <c r="AP106" s="6">
        <f>Z106*(V106-Pool!$B$13)</f>
        <v/>
      </c>
      <c r="AQ106" s="3">
        <f>Settings!$B$2*(N106-Pool!$B$2)/Pool!$C$2+Settings!$B$3*(O106-Pool!$B$3)/Pool!$C$3+Settings!$B$4*(P106-Pool!$B$4)/Pool!$C$4+Settings!$B$5*(Q106-Pool!$B$5)/Pool!$C$5+Settings!$B$6*(R106-Pool!$B$6)/Pool!$C$6+Settings!$B$7*(S106-Pool!$B$7)/Pool!$C$7+Settings!$B$8*(AO106-Pool!$B$8)/Pool!$C$8+Settings!$B$9*(AP106-Pool!$B$9)/Pool!$C$9+Settings!$B$10*-(T106-Pool!$B$10)/Pool!$C$10</f>
        <v/>
      </c>
      <c r="AR106">
        <f>IF(RANK(AQ106,$AQ$2:$AQ$266)&lt;=Settings!$F$5,1,0)</f>
        <v/>
      </c>
      <c r="AS106" s="6">
        <f>X106*(U106-Pool!$D$12)</f>
        <v/>
      </c>
      <c r="AT106" s="6">
        <f>Z106*(V106-Pool!$D$13)</f>
        <v/>
      </c>
    </row>
    <row r="107">
      <c r="A107">
        <f>RANK(H107,$H$2:$H$266)</f>
        <v/>
      </c>
      <c r="B107" t="inlineStr">
        <is>
          <t>Zach LaVine</t>
        </is>
      </c>
      <c r="C107">
        <f>INDEX('Player Data'!$C:$C,AL107)</f>
        <v/>
      </c>
      <c r="D107">
        <f>SUMPRODUCT(($AN$2:$AN$266=AN107)*($H$2:$H$266&gt;H107))+1</f>
        <v/>
      </c>
      <c r="E107">
        <f>INDEX('Player Data'!$B:$B,AL107)</f>
        <v/>
      </c>
      <c r="F107" s="2" t="n"/>
      <c r="G107" s="3">
        <f>Settings!$B$2*AB107+Settings!$B$3*AC107+Settings!$B$4*AD107+Settings!$B$5*AE107+Settings!$B$6*AF107+Settings!$B$7*AG107+Settings!$B$8*AH107+Settings!$B$9*AI107+Settings!$B$10*AJ107</f>
        <v/>
      </c>
      <c r="H107" s="3">
        <f>G107-LARGE($G$2:$G$266,Settings!$F$4)</f>
        <v/>
      </c>
      <c r="I107">
        <f>IF(INDEX('Player Data'!$R:$R,AL107)="","",INDEX('Player Data'!$R:$R,AL107))</f>
        <v/>
      </c>
      <c r="J107" s="4">
        <f>IF(I107="","",I107-A107)</f>
        <v/>
      </c>
      <c r="L107" s="5">
        <f>IF(Settings!$F$7="Yes",INDEX('Minutes &amp; Health'!$O:$O,AL107),Settings!$F$8)</f>
        <v/>
      </c>
      <c r="M107" s="6">
        <f>INDEX('Minutes &amp; Health'!$P:$P,AL107)</f>
        <v/>
      </c>
      <c r="N107" s="5">
        <f>INDEX('Player Data'!$F:$F,AL107)/INDEX('Player Data'!$E:$E,AL107)*M107*L107*AM107</f>
        <v/>
      </c>
      <c r="O107" s="5">
        <f>INDEX('Player Data'!$G:$G,AL107)/INDEX('Player Data'!$E:$E,AL107)*M107*L107*AM107</f>
        <v/>
      </c>
      <c r="P107" s="5">
        <f>INDEX('Player Data'!$H:$H,AL107)/INDEX('Player Data'!$E:$E,AL107)*M107*L107*AM107</f>
        <v/>
      </c>
      <c r="Q107" s="5">
        <f>INDEX('Player Data'!$I:$I,AL107)/INDEX('Player Data'!$E:$E,AL107)*M107*L107*AM107</f>
        <v/>
      </c>
      <c r="R107" s="5">
        <f>INDEX('Player Data'!$J:$J,AL107)/INDEX('Player Data'!$E:$E,AL107)*M107*L107*AM107</f>
        <v/>
      </c>
      <c r="S107" s="5">
        <f>INDEX('Player Data'!$K:$K,AL107)/INDEX('Player Data'!$E:$E,AL107)*M107*L107*AM107</f>
        <v/>
      </c>
      <c r="T107" s="5">
        <f>INDEX('Player Data'!$L:$L,AL107)/INDEX('Player Data'!$E:$E,AL107)*M107*L107*AM107</f>
        <v/>
      </c>
      <c r="U107" s="7">
        <f>INDEX('Player Data'!$M:$M,AL107)</f>
        <v/>
      </c>
      <c r="V107" s="7">
        <f>INDEX('Player Data'!$N:$N,AL107)</f>
        <v/>
      </c>
      <c r="W107" s="5">
        <f>X107*U107</f>
        <v/>
      </c>
      <c r="X107" s="5">
        <f>INDEX('Player Data'!$O:$O,AL107)/INDEX('Player Data'!$E:$E,AL107)*M107*L107*AM107</f>
        <v/>
      </c>
      <c r="Y107" s="5">
        <f>Z107*V107</f>
        <v/>
      </c>
      <c r="Z107" s="5">
        <f>INDEX('Player Data'!$P:$P,AL107)/INDEX('Player Data'!$E:$E,AL107)*M107*L107*AM107</f>
        <v/>
      </c>
      <c r="AB107" s="3">
        <f>(N107-Pool!$D$2)/Pool!$E$2</f>
        <v/>
      </c>
      <c r="AC107" s="3">
        <f>(O107-Pool!$D$3)/Pool!$E$3</f>
        <v/>
      </c>
      <c r="AD107" s="3">
        <f>(P107-Pool!$D$4)/Pool!$E$4</f>
        <v/>
      </c>
      <c r="AE107" s="3">
        <f>(Q107-Pool!$D$5)/Pool!$E$5</f>
        <v/>
      </c>
      <c r="AF107" s="3">
        <f>(R107-Pool!$D$6)/Pool!$E$6</f>
        <v/>
      </c>
      <c r="AG107" s="3">
        <f>(S107-Pool!$D$7)/Pool!$E$7</f>
        <v/>
      </c>
      <c r="AH107" s="3">
        <f>(AS107-Pool!$D$8)/Pool!$E$8</f>
        <v/>
      </c>
      <c r="AI107" s="3">
        <f>(AT107-Pool!$D$9)/Pool!$E$9</f>
        <v/>
      </c>
      <c r="AJ107" s="3">
        <f>-(T107-Pool!$D$10)/Pool!$E$10</f>
        <v/>
      </c>
      <c r="AL107">
        <f>MATCH(B107,'Player Data'!$A:$A,0)</f>
        <v/>
      </c>
      <c r="AM107" s="3">
        <f>1+IF(Settings!$F$10="ON",IFERROR(VLOOKUP(TRIM(F107),Settings!$D$12:$F$17,3,FALSE),0),0)</f>
        <v/>
      </c>
      <c r="AN107">
        <f>IFERROR(LEFT(C107,FIND(",",C107)-1),C107)</f>
        <v/>
      </c>
      <c r="AO107" s="6">
        <f>X107*(U107-Pool!$B$12)</f>
        <v/>
      </c>
      <c r="AP107" s="6">
        <f>Z107*(V107-Pool!$B$13)</f>
        <v/>
      </c>
      <c r="AQ107" s="3">
        <f>Settings!$B$2*(N107-Pool!$B$2)/Pool!$C$2+Settings!$B$3*(O107-Pool!$B$3)/Pool!$C$3+Settings!$B$4*(P107-Pool!$B$4)/Pool!$C$4+Settings!$B$5*(Q107-Pool!$B$5)/Pool!$C$5+Settings!$B$6*(R107-Pool!$B$6)/Pool!$C$6+Settings!$B$7*(S107-Pool!$B$7)/Pool!$C$7+Settings!$B$8*(AO107-Pool!$B$8)/Pool!$C$8+Settings!$B$9*(AP107-Pool!$B$9)/Pool!$C$9+Settings!$B$10*-(T107-Pool!$B$10)/Pool!$C$10</f>
        <v/>
      </c>
      <c r="AR107">
        <f>IF(RANK(AQ107,$AQ$2:$AQ$266)&lt;=Settings!$F$5,1,0)</f>
        <v/>
      </c>
      <c r="AS107" s="6">
        <f>X107*(U107-Pool!$D$12)</f>
        <v/>
      </c>
      <c r="AT107" s="6">
        <f>Z107*(V107-Pool!$D$13)</f>
        <v/>
      </c>
    </row>
    <row r="108">
      <c r="A108">
        <f>RANK(H108,$H$2:$H$266)</f>
        <v/>
      </c>
      <c r="B108" t="inlineStr">
        <is>
          <t>Toumani Camara</t>
        </is>
      </c>
      <c r="C108">
        <f>INDEX('Player Data'!$C:$C,AL108)</f>
        <v/>
      </c>
      <c r="D108">
        <f>SUMPRODUCT(($AN$2:$AN$266=AN108)*($H$2:$H$266&gt;H108))+1</f>
        <v/>
      </c>
      <c r="E108">
        <f>INDEX('Player Data'!$B:$B,AL108)</f>
        <v/>
      </c>
      <c r="F108" s="2" t="n"/>
      <c r="G108" s="3">
        <f>Settings!$B$2*AB108+Settings!$B$3*AC108+Settings!$B$4*AD108+Settings!$B$5*AE108+Settings!$B$6*AF108+Settings!$B$7*AG108+Settings!$B$8*AH108+Settings!$B$9*AI108+Settings!$B$10*AJ108</f>
        <v/>
      </c>
      <c r="H108" s="3">
        <f>G108-LARGE($G$2:$G$266,Settings!$F$4)</f>
        <v/>
      </c>
      <c r="I108">
        <f>IF(INDEX('Player Data'!$R:$R,AL108)="","",INDEX('Player Data'!$R:$R,AL108))</f>
        <v/>
      </c>
      <c r="J108" s="4">
        <f>IF(I108="","",I108-A108)</f>
        <v/>
      </c>
      <c r="L108" s="5">
        <f>IF(Settings!$F$7="Yes",INDEX('Minutes &amp; Health'!$O:$O,AL108),Settings!$F$8)</f>
        <v/>
      </c>
      <c r="M108" s="6">
        <f>INDEX('Minutes &amp; Health'!$P:$P,AL108)</f>
        <v/>
      </c>
      <c r="N108" s="5">
        <f>INDEX('Player Data'!$F:$F,AL108)/INDEX('Player Data'!$E:$E,AL108)*M108*L108*AM108</f>
        <v/>
      </c>
      <c r="O108" s="5">
        <f>INDEX('Player Data'!$G:$G,AL108)/INDEX('Player Data'!$E:$E,AL108)*M108*L108*AM108</f>
        <v/>
      </c>
      <c r="P108" s="5">
        <f>INDEX('Player Data'!$H:$H,AL108)/INDEX('Player Data'!$E:$E,AL108)*M108*L108*AM108</f>
        <v/>
      </c>
      <c r="Q108" s="5">
        <f>INDEX('Player Data'!$I:$I,AL108)/INDEX('Player Data'!$E:$E,AL108)*M108*L108*AM108</f>
        <v/>
      </c>
      <c r="R108" s="5">
        <f>INDEX('Player Data'!$J:$J,AL108)/INDEX('Player Data'!$E:$E,AL108)*M108*L108*AM108</f>
        <v/>
      </c>
      <c r="S108" s="5">
        <f>INDEX('Player Data'!$K:$K,AL108)/INDEX('Player Data'!$E:$E,AL108)*M108*L108*AM108</f>
        <v/>
      </c>
      <c r="T108" s="5">
        <f>INDEX('Player Data'!$L:$L,AL108)/INDEX('Player Data'!$E:$E,AL108)*M108*L108*AM108</f>
        <v/>
      </c>
      <c r="U108" s="7">
        <f>INDEX('Player Data'!$M:$M,AL108)</f>
        <v/>
      </c>
      <c r="V108" s="7">
        <f>INDEX('Player Data'!$N:$N,AL108)</f>
        <v/>
      </c>
      <c r="W108" s="5">
        <f>X108*U108</f>
        <v/>
      </c>
      <c r="X108" s="5">
        <f>INDEX('Player Data'!$O:$O,AL108)/INDEX('Player Data'!$E:$E,AL108)*M108*L108*AM108</f>
        <v/>
      </c>
      <c r="Y108" s="5">
        <f>Z108*V108</f>
        <v/>
      </c>
      <c r="Z108" s="5">
        <f>INDEX('Player Data'!$P:$P,AL108)/INDEX('Player Data'!$E:$E,AL108)*M108*L108*AM108</f>
        <v/>
      </c>
      <c r="AB108" s="3">
        <f>(N108-Pool!$D$2)/Pool!$E$2</f>
        <v/>
      </c>
      <c r="AC108" s="3">
        <f>(O108-Pool!$D$3)/Pool!$E$3</f>
        <v/>
      </c>
      <c r="AD108" s="3">
        <f>(P108-Pool!$D$4)/Pool!$E$4</f>
        <v/>
      </c>
      <c r="AE108" s="3">
        <f>(Q108-Pool!$D$5)/Pool!$E$5</f>
        <v/>
      </c>
      <c r="AF108" s="3">
        <f>(R108-Pool!$D$6)/Pool!$E$6</f>
        <v/>
      </c>
      <c r="AG108" s="3">
        <f>(S108-Pool!$D$7)/Pool!$E$7</f>
        <v/>
      </c>
      <c r="AH108" s="3">
        <f>(AS108-Pool!$D$8)/Pool!$E$8</f>
        <v/>
      </c>
      <c r="AI108" s="3">
        <f>(AT108-Pool!$D$9)/Pool!$E$9</f>
        <v/>
      </c>
      <c r="AJ108" s="3">
        <f>-(T108-Pool!$D$10)/Pool!$E$10</f>
        <v/>
      </c>
      <c r="AL108">
        <f>MATCH(B108,'Player Data'!$A:$A,0)</f>
        <v/>
      </c>
      <c r="AM108" s="3">
        <f>1+IF(Settings!$F$10="ON",IFERROR(VLOOKUP(TRIM(F108),Settings!$D$12:$F$17,3,FALSE),0),0)</f>
        <v/>
      </c>
      <c r="AN108">
        <f>IFERROR(LEFT(C108,FIND(",",C108)-1),C108)</f>
        <v/>
      </c>
      <c r="AO108" s="6">
        <f>X108*(U108-Pool!$B$12)</f>
        <v/>
      </c>
      <c r="AP108" s="6">
        <f>Z108*(V108-Pool!$B$13)</f>
        <v/>
      </c>
      <c r="AQ108" s="3">
        <f>Settings!$B$2*(N108-Pool!$B$2)/Pool!$C$2+Settings!$B$3*(O108-Pool!$B$3)/Pool!$C$3+Settings!$B$4*(P108-Pool!$B$4)/Pool!$C$4+Settings!$B$5*(Q108-Pool!$B$5)/Pool!$C$5+Settings!$B$6*(R108-Pool!$B$6)/Pool!$C$6+Settings!$B$7*(S108-Pool!$B$7)/Pool!$C$7+Settings!$B$8*(AO108-Pool!$B$8)/Pool!$C$8+Settings!$B$9*(AP108-Pool!$B$9)/Pool!$C$9+Settings!$B$10*-(T108-Pool!$B$10)/Pool!$C$10</f>
        <v/>
      </c>
      <c r="AR108">
        <f>IF(RANK(AQ108,$AQ$2:$AQ$266)&lt;=Settings!$F$5,1,0)</f>
        <v/>
      </c>
      <c r="AS108" s="6">
        <f>X108*(U108-Pool!$D$12)</f>
        <v/>
      </c>
      <c r="AT108" s="6">
        <f>Z108*(V108-Pool!$D$13)</f>
        <v/>
      </c>
    </row>
    <row r="109">
      <c r="A109">
        <f>RANK(H109,$H$2:$H$266)</f>
        <v/>
      </c>
      <c r="B109" t="inlineStr">
        <is>
          <t>Isaiah Hartenstein</t>
        </is>
      </c>
      <c r="C109">
        <f>INDEX('Player Data'!$C:$C,AL109)</f>
        <v/>
      </c>
      <c r="D109">
        <f>SUMPRODUCT(($AN$2:$AN$266=AN109)*($H$2:$H$266&gt;H109))+1</f>
        <v/>
      </c>
      <c r="E109">
        <f>INDEX('Player Data'!$B:$B,AL109)</f>
        <v/>
      </c>
      <c r="F109" s="2" t="n"/>
      <c r="G109" s="3">
        <f>Settings!$B$2*AB109+Settings!$B$3*AC109+Settings!$B$4*AD109+Settings!$B$5*AE109+Settings!$B$6*AF109+Settings!$B$7*AG109+Settings!$B$8*AH109+Settings!$B$9*AI109+Settings!$B$10*AJ109</f>
        <v/>
      </c>
      <c r="H109" s="3">
        <f>G109-LARGE($G$2:$G$266,Settings!$F$4)</f>
        <v/>
      </c>
      <c r="I109">
        <f>IF(INDEX('Player Data'!$R:$R,AL109)="","",INDEX('Player Data'!$R:$R,AL109))</f>
        <v/>
      </c>
      <c r="J109" s="4">
        <f>IF(I109="","",I109-A109)</f>
        <v/>
      </c>
      <c r="L109" s="5">
        <f>IF(Settings!$F$7="Yes",INDEX('Minutes &amp; Health'!$O:$O,AL109),Settings!$F$8)</f>
        <v/>
      </c>
      <c r="M109" s="6">
        <f>INDEX('Minutes &amp; Health'!$P:$P,AL109)</f>
        <v/>
      </c>
      <c r="N109" s="5">
        <f>INDEX('Player Data'!$F:$F,AL109)/INDEX('Player Data'!$E:$E,AL109)*M109*L109*AM109</f>
        <v/>
      </c>
      <c r="O109" s="5">
        <f>INDEX('Player Data'!$G:$G,AL109)/INDEX('Player Data'!$E:$E,AL109)*M109*L109*AM109</f>
        <v/>
      </c>
      <c r="P109" s="5">
        <f>INDEX('Player Data'!$H:$H,AL109)/INDEX('Player Data'!$E:$E,AL109)*M109*L109*AM109</f>
        <v/>
      </c>
      <c r="Q109" s="5">
        <f>INDEX('Player Data'!$I:$I,AL109)/INDEX('Player Data'!$E:$E,AL109)*M109*L109*AM109</f>
        <v/>
      </c>
      <c r="R109" s="5">
        <f>INDEX('Player Data'!$J:$J,AL109)/INDEX('Player Data'!$E:$E,AL109)*M109*L109*AM109</f>
        <v/>
      </c>
      <c r="S109" s="5">
        <f>INDEX('Player Data'!$K:$K,AL109)/INDEX('Player Data'!$E:$E,AL109)*M109*L109*AM109</f>
        <v/>
      </c>
      <c r="T109" s="5">
        <f>INDEX('Player Data'!$L:$L,AL109)/INDEX('Player Data'!$E:$E,AL109)*M109*L109*AM109</f>
        <v/>
      </c>
      <c r="U109" s="7">
        <f>INDEX('Player Data'!$M:$M,AL109)</f>
        <v/>
      </c>
      <c r="V109" s="7">
        <f>INDEX('Player Data'!$N:$N,AL109)</f>
        <v/>
      </c>
      <c r="W109" s="5">
        <f>X109*U109</f>
        <v/>
      </c>
      <c r="X109" s="5">
        <f>INDEX('Player Data'!$O:$O,AL109)/INDEX('Player Data'!$E:$E,AL109)*M109*L109*AM109</f>
        <v/>
      </c>
      <c r="Y109" s="5">
        <f>Z109*V109</f>
        <v/>
      </c>
      <c r="Z109" s="5">
        <f>INDEX('Player Data'!$P:$P,AL109)/INDEX('Player Data'!$E:$E,AL109)*M109*L109*AM109</f>
        <v/>
      </c>
      <c r="AB109" s="3">
        <f>(N109-Pool!$D$2)/Pool!$E$2</f>
        <v/>
      </c>
      <c r="AC109" s="3">
        <f>(O109-Pool!$D$3)/Pool!$E$3</f>
        <v/>
      </c>
      <c r="AD109" s="3">
        <f>(P109-Pool!$D$4)/Pool!$E$4</f>
        <v/>
      </c>
      <c r="AE109" s="3">
        <f>(Q109-Pool!$D$5)/Pool!$E$5</f>
        <v/>
      </c>
      <c r="AF109" s="3">
        <f>(R109-Pool!$D$6)/Pool!$E$6</f>
        <v/>
      </c>
      <c r="AG109" s="3">
        <f>(S109-Pool!$D$7)/Pool!$E$7</f>
        <v/>
      </c>
      <c r="AH109" s="3">
        <f>(AS109-Pool!$D$8)/Pool!$E$8</f>
        <v/>
      </c>
      <c r="AI109" s="3">
        <f>(AT109-Pool!$D$9)/Pool!$E$9</f>
        <v/>
      </c>
      <c r="AJ109" s="3">
        <f>-(T109-Pool!$D$10)/Pool!$E$10</f>
        <v/>
      </c>
      <c r="AL109">
        <f>MATCH(B109,'Player Data'!$A:$A,0)</f>
        <v/>
      </c>
      <c r="AM109" s="3">
        <f>1+IF(Settings!$F$10="ON",IFERROR(VLOOKUP(TRIM(F109),Settings!$D$12:$F$17,3,FALSE),0),0)</f>
        <v/>
      </c>
      <c r="AN109">
        <f>IFERROR(LEFT(C109,FIND(",",C109)-1),C109)</f>
        <v/>
      </c>
      <c r="AO109" s="6">
        <f>X109*(U109-Pool!$B$12)</f>
        <v/>
      </c>
      <c r="AP109" s="6">
        <f>Z109*(V109-Pool!$B$13)</f>
        <v/>
      </c>
      <c r="AQ109" s="3">
        <f>Settings!$B$2*(N109-Pool!$B$2)/Pool!$C$2+Settings!$B$3*(O109-Pool!$B$3)/Pool!$C$3+Settings!$B$4*(P109-Pool!$B$4)/Pool!$C$4+Settings!$B$5*(Q109-Pool!$B$5)/Pool!$C$5+Settings!$B$6*(R109-Pool!$B$6)/Pool!$C$6+Settings!$B$7*(S109-Pool!$B$7)/Pool!$C$7+Settings!$B$8*(AO109-Pool!$B$8)/Pool!$C$8+Settings!$B$9*(AP109-Pool!$B$9)/Pool!$C$9+Settings!$B$10*-(T109-Pool!$B$10)/Pool!$C$10</f>
        <v/>
      </c>
      <c r="AR109">
        <f>IF(RANK(AQ109,$AQ$2:$AQ$266)&lt;=Settings!$F$5,1,0)</f>
        <v/>
      </c>
      <c r="AS109" s="6">
        <f>X109*(U109-Pool!$D$12)</f>
        <v/>
      </c>
      <c r="AT109" s="6">
        <f>Z109*(V109-Pool!$D$13)</f>
        <v/>
      </c>
    </row>
    <row r="110">
      <c r="A110">
        <f>RANK(H110,$H$2:$H$266)</f>
        <v/>
      </c>
      <c r="B110" t="inlineStr">
        <is>
          <t>Joel Embiid</t>
        </is>
      </c>
      <c r="C110">
        <f>INDEX('Player Data'!$C:$C,AL110)</f>
        <v/>
      </c>
      <c r="D110">
        <f>SUMPRODUCT(($AN$2:$AN$266=AN110)*($H$2:$H$266&gt;H110))+1</f>
        <v/>
      </c>
      <c r="E110">
        <f>INDEX('Player Data'!$B:$B,AL110)</f>
        <v/>
      </c>
      <c r="F110" s="2" t="n"/>
      <c r="G110" s="3">
        <f>Settings!$B$2*AB110+Settings!$B$3*AC110+Settings!$B$4*AD110+Settings!$B$5*AE110+Settings!$B$6*AF110+Settings!$B$7*AG110+Settings!$B$8*AH110+Settings!$B$9*AI110+Settings!$B$10*AJ110</f>
        <v/>
      </c>
      <c r="H110" s="3">
        <f>G110-LARGE($G$2:$G$266,Settings!$F$4)</f>
        <v/>
      </c>
      <c r="I110">
        <f>IF(INDEX('Player Data'!$R:$R,AL110)="","",INDEX('Player Data'!$R:$R,AL110))</f>
        <v/>
      </c>
      <c r="J110" s="4">
        <f>IF(I110="","",I110-A110)</f>
        <v/>
      </c>
      <c r="L110" s="5">
        <f>IF(Settings!$F$7="Yes",INDEX('Minutes &amp; Health'!$O:$O,AL110),Settings!$F$8)</f>
        <v/>
      </c>
      <c r="M110" s="6">
        <f>INDEX('Minutes &amp; Health'!$P:$P,AL110)</f>
        <v/>
      </c>
      <c r="N110" s="5">
        <f>INDEX('Player Data'!$F:$F,AL110)/INDEX('Player Data'!$E:$E,AL110)*M110*L110*AM110</f>
        <v/>
      </c>
      <c r="O110" s="5">
        <f>INDEX('Player Data'!$G:$G,AL110)/INDEX('Player Data'!$E:$E,AL110)*M110*L110*AM110</f>
        <v/>
      </c>
      <c r="P110" s="5">
        <f>INDEX('Player Data'!$H:$H,AL110)/INDEX('Player Data'!$E:$E,AL110)*M110*L110*AM110</f>
        <v/>
      </c>
      <c r="Q110" s="5">
        <f>INDEX('Player Data'!$I:$I,AL110)/INDEX('Player Data'!$E:$E,AL110)*M110*L110*AM110</f>
        <v/>
      </c>
      <c r="R110" s="5">
        <f>INDEX('Player Data'!$J:$J,AL110)/INDEX('Player Data'!$E:$E,AL110)*M110*L110*AM110</f>
        <v/>
      </c>
      <c r="S110" s="5">
        <f>INDEX('Player Data'!$K:$K,AL110)/INDEX('Player Data'!$E:$E,AL110)*M110*L110*AM110</f>
        <v/>
      </c>
      <c r="T110" s="5">
        <f>INDEX('Player Data'!$L:$L,AL110)/INDEX('Player Data'!$E:$E,AL110)*M110*L110*AM110</f>
        <v/>
      </c>
      <c r="U110" s="7">
        <f>INDEX('Player Data'!$M:$M,AL110)</f>
        <v/>
      </c>
      <c r="V110" s="7">
        <f>INDEX('Player Data'!$N:$N,AL110)</f>
        <v/>
      </c>
      <c r="W110" s="5">
        <f>X110*U110</f>
        <v/>
      </c>
      <c r="X110" s="5">
        <f>INDEX('Player Data'!$O:$O,AL110)/INDEX('Player Data'!$E:$E,AL110)*M110*L110*AM110</f>
        <v/>
      </c>
      <c r="Y110" s="5">
        <f>Z110*V110</f>
        <v/>
      </c>
      <c r="Z110" s="5">
        <f>INDEX('Player Data'!$P:$P,AL110)/INDEX('Player Data'!$E:$E,AL110)*M110*L110*AM110</f>
        <v/>
      </c>
      <c r="AB110" s="3">
        <f>(N110-Pool!$D$2)/Pool!$E$2</f>
        <v/>
      </c>
      <c r="AC110" s="3">
        <f>(O110-Pool!$D$3)/Pool!$E$3</f>
        <v/>
      </c>
      <c r="AD110" s="3">
        <f>(P110-Pool!$D$4)/Pool!$E$4</f>
        <v/>
      </c>
      <c r="AE110" s="3">
        <f>(Q110-Pool!$D$5)/Pool!$E$5</f>
        <v/>
      </c>
      <c r="AF110" s="3">
        <f>(R110-Pool!$D$6)/Pool!$E$6</f>
        <v/>
      </c>
      <c r="AG110" s="3">
        <f>(S110-Pool!$D$7)/Pool!$E$7</f>
        <v/>
      </c>
      <c r="AH110" s="3">
        <f>(AS110-Pool!$D$8)/Pool!$E$8</f>
        <v/>
      </c>
      <c r="AI110" s="3">
        <f>(AT110-Pool!$D$9)/Pool!$E$9</f>
        <v/>
      </c>
      <c r="AJ110" s="3">
        <f>-(T110-Pool!$D$10)/Pool!$E$10</f>
        <v/>
      </c>
      <c r="AL110">
        <f>MATCH(B110,'Player Data'!$A:$A,0)</f>
        <v/>
      </c>
      <c r="AM110" s="3">
        <f>1+IF(Settings!$F$10="ON",IFERROR(VLOOKUP(TRIM(F110),Settings!$D$12:$F$17,3,FALSE),0),0)</f>
        <v/>
      </c>
      <c r="AN110">
        <f>IFERROR(LEFT(C110,FIND(",",C110)-1),C110)</f>
        <v/>
      </c>
      <c r="AO110" s="6">
        <f>X110*(U110-Pool!$B$12)</f>
        <v/>
      </c>
      <c r="AP110" s="6">
        <f>Z110*(V110-Pool!$B$13)</f>
        <v/>
      </c>
      <c r="AQ110" s="3">
        <f>Settings!$B$2*(N110-Pool!$B$2)/Pool!$C$2+Settings!$B$3*(O110-Pool!$B$3)/Pool!$C$3+Settings!$B$4*(P110-Pool!$B$4)/Pool!$C$4+Settings!$B$5*(Q110-Pool!$B$5)/Pool!$C$5+Settings!$B$6*(R110-Pool!$B$6)/Pool!$C$6+Settings!$B$7*(S110-Pool!$B$7)/Pool!$C$7+Settings!$B$8*(AO110-Pool!$B$8)/Pool!$C$8+Settings!$B$9*(AP110-Pool!$B$9)/Pool!$C$9+Settings!$B$10*-(T110-Pool!$B$10)/Pool!$C$10</f>
        <v/>
      </c>
      <c r="AR110">
        <f>IF(RANK(AQ110,$AQ$2:$AQ$266)&lt;=Settings!$F$5,1,0)</f>
        <v/>
      </c>
      <c r="AS110" s="6">
        <f>X110*(U110-Pool!$D$12)</f>
        <v/>
      </c>
      <c r="AT110" s="6">
        <f>Z110*(V110-Pool!$D$13)</f>
        <v/>
      </c>
    </row>
    <row r="111">
      <c r="A111">
        <f>RANK(H111,$H$2:$H$266)</f>
        <v/>
      </c>
      <c r="B111" t="inlineStr">
        <is>
          <t>Paolo Banchero</t>
        </is>
      </c>
      <c r="C111">
        <f>INDEX('Player Data'!$C:$C,AL111)</f>
        <v/>
      </c>
      <c r="D111">
        <f>SUMPRODUCT(($AN$2:$AN$266=AN111)*($H$2:$H$266&gt;H111))+1</f>
        <v/>
      </c>
      <c r="E111">
        <f>INDEX('Player Data'!$B:$B,AL111)</f>
        <v/>
      </c>
      <c r="F111" s="2" t="n"/>
      <c r="G111" s="3">
        <f>Settings!$B$2*AB111+Settings!$B$3*AC111+Settings!$B$4*AD111+Settings!$B$5*AE111+Settings!$B$6*AF111+Settings!$B$7*AG111+Settings!$B$8*AH111+Settings!$B$9*AI111+Settings!$B$10*AJ111</f>
        <v/>
      </c>
      <c r="H111" s="3">
        <f>G111-LARGE($G$2:$G$266,Settings!$F$4)</f>
        <v/>
      </c>
      <c r="I111">
        <f>IF(INDEX('Player Data'!$R:$R,AL111)="","",INDEX('Player Data'!$R:$R,AL111))</f>
        <v/>
      </c>
      <c r="J111" s="4">
        <f>IF(I111="","",I111-A111)</f>
        <v/>
      </c>
      <c r="L111" s="5">
        <f>IF(Settings!$F$7="Yes",INDEX('Minutes &amp; Health'!$O:$O,AL111),Settings!$F$8)</f>
        <v/>
      </c>
      <c r="M111" s="6">
        <f>INDEX('Minutes &amp; Health'!$P:$P,AL111)</f>
        <v/>
      </c>
      <c r="N111" s="5">
        <f>INDEX('Player Data'!$F:$F,AL111)/INDEX('Player Data'!$E:$E,AL111)*M111*L111*AM111</f>
        <v/>
      </c>
      <c r="O111" s="5">
        <f>INDEX('Player Data'!$G:$G,AL111)/INDEX('Player Data'!$E:$E,AL111)*M111*L111*AM111</f>
        <v/>
      </c>
      <c r="P111" s="5">
        <f>INDEX('Player Data'!$H:$H,AL111)/INDEX('Player Data'!$E:$E,AL111)*M111*L111*AM111</f>
        <v/>
      </c>
      <c r="Q111" s="5">
        <f>INDEX('Player Data'!$I:$I,AL111)/INDEX('Player Data'!$E:$E,AL111)*M111*L111*AM111</f>
        <v/>
      </c>
      <c r="R111" s="5">
        <f>INDEX('Player Data'!$J:$J,AL111)/INDEX('Player Data'!$E:$E,AL111)*M111*L111*AM111</f>
        <v/>
      </c>
      <c r="S111" s="5">
        <f>INDEX('Player Data'!$K:$K,AL111)/INDEX('Player Data'!$E:$E,AL111)*M111*L111*AM111</f>
        <v/>
      </c>
      <c r="T111" s="5">
        <f>INDEX('Player Data'!$L:$L,AL111)/INDEX('Player Data'!$E:$E,AL111)*M111*L111*AM111</f>
        <v/>
      </c>
      <c r="U111" s="7">
        <f>INDEX('Player Data'!$M:$M,AL111)</f>
        <v/>
      </c>
      <c r="V111" s="7">
        <f>INDEX('Player Data'!$N:$N,AL111)</f>
        <v/>
      </c>
      <c r="W111" s="5">
        <f>X111*U111</f>
        <v/>
      </c>
      <c r="X111" s="5">
        <f>INDEX('Player Data'!$O:$O,AL111)/INDEX('Player Data'!$E:$E,AL111)*M111*L111*AM111</f>
        <v/>
      </c>
      <c r="Y111" s="5">
        <f>Z111*V111</f>
        <v/>
      </c>
      <c r="Z111" s="5">
        <f>INDEX('Player Data'!$P:$P,AL111)/INDEX('Player Data'!$E:$E,AL111)*M111*L111*AM111</f>
        <v/>
      </c>
      <c r="AB111" s="3">
        <f>(N111-Pool!$D$2)/Pool!$E$2</f>
        <v/>
      </c>
      <c r="AC111" s="3">
        <f>(O111-Pool!$D$3)/Pool!$E$3</f>
        <v/>
      </c>
      <c r="AD111" s="3">
        <f>(P111-Pool!$D$4)/Pool!$E$4</f>
        <v/>
      </c>
      <c r="AE111" s="3">
        <f>(Q111-Pool!$D$5)/Pool!$E$5</f>
        <v/>
      </c>
      <c r="AF111" s="3">
        <f>(R111-Pool!$D$6)/Pool!$E$6</f>
        <v/>
      </c>
      <c r="AG111" s="3">
        <f>(S111-Pool!$D$7)/Pool!$E$7</f>
        <v/>
      </c>
      <c r="AH111" s="3">
        <f>(AS111-Pool!$D$8)/Pool!$E$8</f>
        <v/>
      </c>
      <c r="AI111" s="3">
        <f>(AT111-Pool!$D$9)/Pool!$E$9</f>
        <v/>
      </c>
      <c r="AJ111" s="3">
        <f>-(T111-Pool!$D$10)/Pool!$E$10</f>
        <v/>
      </c>
      <c r="AL111">
        <f>MATCH(B111,'Player Data'!$A:$A,0)</f>
        <v/>
      </c>
      <c r="AM111" s="3">
        <f>1+IF(Settings!$F$10="ON",IFERROR(VLOOKUP(TRIM(F111),Settings!$D$12:$F$17,3,FALSE),0),0)</f>
        <v/>
      </c>
      <c r="AN111">
        <f>IFERROR(LEFT(C111,FIND(",",C111)-1),C111)</f>
        <v/>
      </c>
      <c r="AO111" s="6">
        <f>X111*(U111-Pool!$B$12)</f>
        <v/>
      </c>
      <c r="AP111" s="6">
        <f>Z111*(V111-Pool!$B$13)</f>
        <v/>
      </c>
      <c r="AQ111" s="3">
        <f>Settings!$B$2*(N111-Pool!$B$2)/Pool!$C$2+Settings!$B$3*(O111-Pool!$B$3)/Pool!$C$3+Settings!$B$4*(P111-Pool!$B$4)/Pool!$C$4+Settings!$B$5*(Q111-Pool!$B$5)/Pool!$C$5+Settings!$B$6*(R111-Pool!$B$6)/Pool!$C$6+Settings!$B$7*(S111-Pool!$B$7)/Pool!$C$7+Settings!$B$8*(AO111-Pool!$B$8)/Pool!$C$8+Settings!$B$9*(AP111-Pool!$B$9)/Pool!$C$9+Settings!$B$10*-(T111-Pool!$B$10)/Pool!$C$10</f>
        <v/>
      </c>
      <c r="AR111">
        <f>IF(RANK(AQ111,$AQ$2:$AQ$266)&lt;=Settings!$F$5,1,0)</f>
        <v/>
      </c>
      <c r="AS111" s="6">
        <f>X111*(U111-Pool!$D$12)</f>
        <v/>
      </c>
      <c r="AT111" s="6">
        <f>Z111*(V111-Pool!$D$13)</f>
        <v/>
      </c>
    </row>
    <row r="112">
      <c r="A112">
        <f>RANK(H112,$H$2:$H$266)</f>
        <v/>
      </c>
      <c r="B112" t="inlineStr">
        <is>
          <t>Collin Gillespie</t>
        </is>
      </c>
      <c r="C112">
        <f>INDEX('Player Data'!$C:$C,AL112)</f>
        <v/>
      </c>
      <c r="D112">
        <f>SUMPRODUCT(($AN$2:$AN$266=AN112)*($H$2:$H$266&gt;H112))+1</f>
        <v/>
      </c>
      <c r="E112">
        <f>INDEX('Player Data'!$B:$B,AL112)</f>
        <v/>
      </c>
      <c r="F112" s="2" t="n"/>
      <c r="G112" s="3">
        <f>Settings!$B$2*AB112+Settings!$B$3*AC112+Settings!$B$4*AD112+Settings!$B$5*AE112+Settings!$B$6*AF112+Settings!$B$7*AG112+Settings!$B$8*AH112+Settings!$B$9*AI112+Settings!$B$10*AJ112</f>
        <v/>
      </c>
      <c r="H112" s="3">
        <f>G112-LARGE($G$2:$G$266,Settings!$F$4)</f>
        <v/>
      </c>
      <c r="I112">
        <f>IF(INDEX('Player Data'!$R:$R,AL112)="","",INDEX('Player Data'!$R:$R,AL112))</f>
        <v/>
      </c>
      <c r="J112" s="4">
        <f>IF(I112="","",I112-A112)</f>
        <v/>
      </c>
      <c r="L112" s="5">
        <f>IF(Settings!$F$7="Yes",INDEX('Minutes &amp; Health'!$O:$O,AL112),Settings!$F$8)</f>
        <v/>
      </c>
      <c r="M112" s="6">
        <f>INDEX('Minutes &amp; Health'!$P:$P,AL112)</f>
        <v/>
      </c>
      <c r="N112" s="5">
        <f>INDEX('Player Data'!$F:$F,AL112)/INDEX('Player Data'!$E:$E,AL112)*M112*L112*AM112</f>
        <v/>
      </c>
      <c r="O112" s="5">
        <f>INDEX('Player Data'!$G:$G,AL112)/INDEX('Player Data'!$E:$E,AL112)*M112*L112*AM112</f>
        <v/>
      </c>
      <c r="P112" s="5">
        <f>INDEX('Player Data'!$H:$H,AL112)/INDEX('Player Data'!$E:$E,AL112)*M112*L112*AM112</f>
        <v/>
      </c>
      <c r="Q112" s="5">
        <f>INDEX('Player Data'!$I:$I,AL112)/INDEX('Player Data'!$E:$E,AL112)*M112*L112*AM112</f>
        <v/>
      </c>
      <c r="R112" s="5">
        <f>INDEX('Player Data'!$J:$J,AL112)/INDEX('Player Data'!$E:$E,AL112)*M112*L112*AM112</f>
        <v/>
      </c>
      <c r="S112" s="5">
        <f>INDEX('Player Data'!$K:$K,AL112)/INDEX('Player Data'!$E:$E,AL112)*M112*L112*AM112</f>
        <v/>
      </c>
      <c r="T112" s="5">
        <f>INDEX('Player Data'!$L:$L,AL112)/INDEX('Player Data'!$E:$E,AL112)*M112*L112*AM112</f>
        <v/>
      </c>
      <c r="U112" s="7">
        <f>INDEX('Player Data'!$M:$M,AL112)</f>
        <v/>
      </c>
      <c r="V112" s="7">
        <f>INDEX('Player Data'!$N:$N,AL112)</f>
        <v/>
      </c>
      <c r="W112" s="5">
        <f>X112*U112</f>
        <v/>
      </c>
      <c r="X112" s="5">
        <f>INDEX('Player Data'!$O:$O,AL112)/INDEX('Player Data'!$E:$E,AL112)*M112*L112*AM112</f>
        <v/>
      </c>
      <c r="Y112" s="5">
        <f>Z112*V112</f>
        <v/>
      </c>
      <c r="Z112" s="5">
        <f>INDEX('Player Data'!$P:$P,AL112)/INDEX('Player Data'!$E:$E,AL112)*M112*L112*AM112</f>
        <v/>
      </c>
      <c r="AB112" s="3">
        <f>(N112-Pool!$D$2)/Pool!$E$2</f>
        <v/>
      </c>
      <c r="AC112" s="3">
        <f>(O112-Pool!$D$3)/Pool!$E$3</f>
        <v/>
      </c>
      <c r="AD112" s="3">
        <f>(P112-Pool!$D$4)/Pool!$E$4</f>
        <v/>
      </c>
      <c r="AE112" s="3">
        <f>(Q112-Pool!$D$5)/Pool!$E$5</f>
        <v/>
      </c>
      <c r="AF112" s="3">
        <f>(R112-Pool!$D$6)/Pool!$E$6</f>
        <v/>
      </c>
      <c r="AG112" s="3">
        <f>(S112-Pool!$D$7)/Pool!$E$7</f>
        <v/>
      </c>
      <c r="AH112" s="3">
        <f>(AS112-Pool!$D$8)/Pool!$E$8</f>
        <v/>
      </c>
      <c r="AI112" s="3">
        <f>(AT112-Pool!$D$9)/Pool!$E$9</f>
        <v/>
      </c>
      <c r="AJ112" s="3">
        <f>-(T112-Pool!$D$10)/Pool!$E$10</f>
        <v/>
      </c>
      <c r="AL112">
        <f>MATCH(B112,'Player Data'!$A:$A,0)</f>
        <v/>
      </c>
      <c r="AM112" s="3">
        <f>1+IF(Settings!$F$10="ON",IFERROR(VLOOKUP(TRIM(F112),Settings!$D$12:$F$17,3,FALSE),0),0)</f>
        <v/>
      </c>
      <c r="AN112">
        <f>IFERROR(LEFT(C112,FIND(",",C112)-1),C112)</f>
        <v/>
      </c>
      <c r="AO112" s="6">
        <f>X112*(U112-Pool!$B$12)</f>
        <v/>
      </c>
      <c r="AP112" s="6">
        <f>Z112*(V112-Pool!$B$13)</f>
        <v/>
      </c>
      <c r="AQ112" s="3">
        <f>Settings!$B$2*(N112-Pool!$B$2)/Pool!$C$2+Settings!$B$3*(O112-Pool!$B$3)/Pool!$C$3+Settings!$B$4*(P112-Pool!$B$4)/Pool!$C$4+Settings!$B$5*(Q112-Pool!$B$5)/Pool!$C$5+Settings!$B$6*(R112-Pool!$B$6)/Pool!$C$6+Settings!$B$7*(S112-Pool!$B$7)/Pool!$C$7+Settings!$B$8*(AO112-Pool!$B$8)/Pool!$C$8+Settings!$B$9*(AP112-Pool!$B$9)/Pool!$C$9+Settings!$B$10*-(T112-Pool!$B$10)/Pool!$C$10</f>
        <v/>
      </c>
      <c r="AR112">
        <f>IF(RANK(AQ112,$AQ$2:$AQ$266)&lt;=Settings!$F$5,1,0)</f>
        <v/>
      </c>
      <c r="AS112" s="6">
        <f>X112*(U112-Pool!$D$12)</f>
        <v/>
      </c>
      <c r="AT112" s="6">
        <f>Z112*(V112-Pool!$D$13)</f>
        <v/>
      </c>
    </row>
    <row r="113">
      <c r="A113">
        <f>RANK(H113,$H$2:$H$266)</f>
        <v/>
      </c>
      <c r="B113" t="inlineStr">
        <is>
          <t>Neemias Queta</t>
        </is>
      </c>
      <c r="C113">
        <f>INDEX('Player Data'!$C:$C,AL113)</f>
        <v/>
      </c>
      <c r="D113">
        <f>SUMPRODUCT(($AN$2:$AN$266=AN113)*($H$2:$H$266&gt;H113))+1</f>
        <v/>
      </c>
      <c r="E113">
        <f>INDEX('Player Data'!$B:$B,AL113)</f>
        <v/>
      </c>
      <c r="F113" s="2" t="n"/>
      <c r="G113" s="3">
        <f>Settings!$B$2*AB113+Settings!$B$3*AC113+Settings!$B$4*AD113+Settings!$B$5*AE113+Settings!$B$6*AF113+Settings!$B$7*AG113+Settings!$B$8*AH113+Settings!$B$9*AI113+Settings!$B$10*AJ113</f>
        <v/>
      </c>
      <c r="H113" s="3">
        <f>G113-LARGE($G$2:$G$266,Settings!$F$4)</f>
        <v/>
      </c>
      <c r="I113">
        <f>IF(INDEX('Player Data'!$R:$R,AL113)="","",INDEX('Player Data'!$R:$R,AL113))</f>
        <v/>
      </c>
      <c r="J113" s="4">
        <f>IF(I113="","",I113-A113)</f>
        <v/>
      </c>
      <c r="L113" s="5">
        <f>IF(Settings!$F$7="Yes",INDEX('Minutes &amp; Health'!$O:$O,AL113),Settings!$F$8)</f>
        <v/>
      </c>
      <c r="M113" s="6">
        <f>INDEX('Minutes &amp; Health'!$P:$P,AL113)</f>
        <v/>
      </c>
      <c r="N113" s="5">
        <f>INDEX('Player Data'!$F:$F,AL113)/INDEX('Player Data'!$E:$E,AL113)*M113*L113*AM113</f>
        <v/>
      </c>
      <c r="O113" s="5">
        <f>INDEX('Player Data'!$G:$G,AL113)/INDEX('Player Data'!$E:$E,AL113)*M113*L113*AM113</f>
        <v/>
      </c>
      <c r="P113" s="5">
        <f>INDEX('Player Data'!$H:$H,AL113)/INDEX('Player Data'!$E:$E,AL113)*M113*L113*AM113</f>
        <v/>
      </c>
      <c r="Q113" s="5">
        <f>INDEX('Player Data'!$I:$I,AL113)/INDEX('Player Data'!$E:$E,AL113)*M113*L113*AM113</f>
        <v/>
      </c>
      <c r="R113" s="5">
        <f>INDEX('Player Data'!$J:$J,AL113)/INDEX('Player Data'!$E:$E,AL113)*M113*L113*AM113</f>
        <v/>
      </c>
      <c r="S113" s="5">
        <f>INDEX('Player Data'!$K:$K,AL113)/INDEX('Player Data'!$E:$E,AL113)*M113*L113*AM113</f>
        <v/>
      </c>
      <c r="T113" s="5">
        <f>INDEX('Player Data'!$L:$L,AL113)/INDEX('Player Data'!$E:$E,AL113)*M113*L113*AM113</f>
        <v/>
      </c>
      <c r="U113" s="7">
        <f>INDEX('Player Data'!$M:$M,AL113)</f>
        <v/>
      </c>
      <c r="V113" s="7">
        <f>INDEX('Player Data'!$N:$N,AL113)</f>
        <v/>
      </c>
      <c r="W113" s="5">
        <f>X113*U113</f>
        <v/>
      </c>
      <c r="X113" s="5">
        <f>INDEX('Player Data'!$O:$O,AL113)/INDEX('Player Data'!$E:$E,AL113)*M113*L113*AM113</f>
        <v/>
      </c>
      <c r="Y113" s="5">
        <f>Z113*V113</f>
        <v/>
      </c>
      <c r="Z113" s="5">
        <f>INDEX('Player Data'!$P:$P,AL113)/INDEX('Player Data'!$E:$E,AL113)*M113*L113*AM113</f>
        <v/>
      </c>
      <c r="AB113" s="3">
        <f>(N113-Pool!$D$2)/Pool!$E$2</f>
        <v/>
      </c>
      <c r="AC113" s="3">
        <f>(O113-Pool!$D$3)/Pool!$E$3</f>
        <v/>
      </c>
      <c r="AD113" s="3">
        <f>(P113-Pool!$D$4)/Pool!$E$4</f>
        <v/>
      </c>
      <c r="AE113" s="3">
        <f>(Q113-Pool!$D$5)/Pool!$E$5</f>
        <v/>
      </c>
      <c r="AF113" s="3">
        <f>(R113-Pool!$D$6)/Pool!$E$6</f>
        <v/>
      </c>
      <c r="AG113" s="3">
        <f>(S113-Pool!$D$7)/Pool!$E$7</f>
        <v/>
      </c>
      <c r="AH113" s="3">
        <f>(AS113-Pool!$D$8)/Pool!$E$8</f>
        <v/>
      </c>
      <c r="AI113" s="3">
        <f>(AT113-Pool!$D$9)/Pool!$E$9</f>
        <v/>
      </c>
      <c r="AJ113" s="3">
        <f>-(T113-Pool!$D$10)/Pool!$E$10</f>
        <v/>
      </c>
      <c r="AL113">
        <f>MATCH(B113,'Player Data'!$A:$A,0)</f>
        <v/>
      </c>
      <c r="AM113" s="3">
        <f>1+IF(Settings!$F$10="ON",IFERROR(VLOOKUP(TRIM(F113),Settings!$D$12:$F$17,3,FALSE),0),0)</f>
        <v/>
      </c>
      <c r="AN113">
        <f>IFERROR(LEFT(C113,FIND(",",C113)-1),C113)</f>
        <v/>
      </c>
      <c r="AO113" s="6">
        <f>X113*(U113-Pool!$B$12)</f>
        <v/>
      </c>
      <c r="AP113" s="6">
        <f>Z113*(V113-Pool!$B$13)</f>
        <v/>
      </c>
      <c r="AQ113" s="3">
        <f>Settings!$B$2*(N113-Pool!$B$2)/Pool!$C$2+Settings!$B$3*(O113-Pool!$B$3)/Pool!$C$3+Settings!$B$4*(P113-Pool!$B$4)/Pool!$C$4+Settings!$B$5*(Q113-Pool!$B$5)/Pool!$C$5+Settings!$B$6*(R113-Pool!$B$6)/Pool!$C$6+Settings!$B$7*(S113-Pool!$B$7)/Pool!$C$7+Settings!$B$8*(AO113-Pool!$B$8)/Pool!$C$8+Settings!$B$9*(AP113-Pool!$B$9)/Pool!$C$9+Settings!$B$10*-(T113-Pool!$B$10)/Pool!$C$10</f>
        <v/>
      </c>
      <c r="AR113">
        <f>IF(RANK(AQ113,$AQ$2:$AQ$266)&lt;=Settings!$F$5,1,0)</f>
        <v/>
      </c>
      <c r="AS113" s="6">
        <f>X113*(U113-Pool!$D$12)</f>
        <v/>
      </c>
      <c r="AT113" s="6">
        <f>Z113*(V113-Pool!$D$13)</f>
        <v/>
      </c>
    </row>
    <row r="114">
      <c r="A114">
        <f>RANK(H114,$H$2:$H$266)</f>
        <v/>
      </c>
      <c r="B114" t="inlineStr">
        <is>
          <t>Jalen Green</t>
        </is>
      </c>
      <c r="C114">
        <f>INDEX('Player Data'!$C:$C,AL114)</f>
        <v/>
      </c>
      <c r="D114">
        <f>SUMPRODUCT(($AN$2:$AN$266=AN114)*($H$2:$H$266&gt;H114))+1</f>
        <v/>
      </c>
      <c r="E114">
        <f>INDEX('Player Data'!$B:$B,AL114)</f>
        <v/>
      </c>
      <c r="F114" s="2" t="n"/>
      <c r="G114" s="3">
        <f>Settings!$B$2*AB114+Settings!$B$3*AC114+Settings!$B$4*AD114+Settings!$B$5*AE114+Settings!$B$6*AF114+Settings!$B$7*AG114+Settings!$B$8*AH114+Settings!$B$9*AI114+Settings!$B$10*AJ114</f>
        <v/>
      </c>
      <c r="H114" s="3">
        <f>G114-LARGE($G$2:$G$266,Settings!$F$4)</f>
        <v/>
      </c>
      <c r="I114">
        <f>IF(INDEX('Player Data'!$R:$R,AL114)="","",INDEX('Player Data'!$R:$R,AL114))</f>
        <v/>
      </c>
      <c r="J114" s="4">
        <f>IF(I114="","",I114-A114)</f>
        <v/>
      </c>
      <c r="L114" s="5">
        <f>IF(Settings!$F$7="Yes",INDEX('Minutes &amp; Health'!$O:$O,AL114),Settings!$F$8)</f>
        <v/>
      </c>
      <c r="M114" s="6">
        <f>INDEX('Minutes &amp; Health'!$P:$P,AL114)</f>
        <v/>
      </c>
      <c r="N114" s="5">
        <f>INDEX('Player Data'!$F:$F,AL114)/INDEX('Player Data'!$E:$E,AL114)*M114*L114*AM114</f>
        <v/>
      </c>
      <c r="O114" s="5">
        <f>INDEX('Player Data'!$G:$G,AL114)/INDEX('Player Data'!$E:$E,AL114)*M114*L114*AM114</f>
        <v/>
      </c>
      <c r="P114" s="5">
        <f>INDEX('Player Data'!$H:$H,AL114)/INDEX('Player Data'!$E:$E,AL114)*M114*L114*AM114</f>
        <v/>
      </c>
      <c r="Q114" s="5">
        <f>INDEX('Player Data'!$I:$I,AL114)/INDEX('Player Data'!$E:$E,AL114)*M114*L114*AM114</f>
        <v/>
      </c>
      <c r="R114" s="5">
        <f>INDEX('Player Data'!$J:$J,AL114)/INDEX('Player Data'!$E:$E,AL114)*M114*L114*AM114</f>
        <v/>
      </c>
      <c r="S114" s="5">
        <f>INDEX('Player Data'!$K:$K,AL114)/INDEX('Player Data'!$E:$E,AL114)*M114*L114*AM114</f>
        <v/>
      </c>
      <c r="T114" s="5">
        <f>INDEX('Player Data'!$L:$L,AL114)/INDEX('Player Data'!$E:$E,AL114)*M114*L114*AM114</f>
        <v/>
      </c>
      <c r="U114" s="7">
        <f>INDEX('Player Data'!$M:$M,AL114)</f>
        <v/>
      </c>
      <c r="V114" s="7">
        <f>INDEX('Player Data'!$N:$N,AL114)</f>
        <v/>
      </c>
      <c r="W114" s="5">
        <f>X114*U114</f>
        <v/>
      </c>
      <c r="X114" s="5">
        <f>INDEX('Player Data'!$O:$O,AL114)/INDEX('Player Data'!$E:$E,AL114)*M114*L114*AM114</f>
        <v/>
      </c>
      <c r="Y114" s="5">
        <f>Z114*V114</f>
        <v/>
      </c>
      <c r="Z114" s="5">
        <f>INDEX('Player Data'!$P:$P,AL114)/INDEX('Player Data'!$E:$E,AL114)*M114*L114*AM114</f>
        <v/>
      </c>
      <c r="AB114" s="3">
        <f>(N114-Pool!$D$2)/Pool!$E$2</f>
        <v/>
      </c>
      <c r="AC114" s="3">
        <f>(O114-Pool!$D$3)/Pool!$E$3</f>
        <v/>
      </c>
      <c r="AD114" s="3">
        <f>(P114-Pool!$D$4)/Pool!$E$4</f>
        <v/>
      </c>
      <c r="AE114" s="3">
        <f>(Q114-Pool!$D$5)/Pool!$E$5</f>
        <v/>
      </c>
      <c r="AF114" s="3">
        <f>(R114-Pool!$D$6)/Pool!$E$6</f>
        <v/>
      </c>
      <c r="AG114" s="3">
        <f>(S114-Pool!$D$7)/Pool!$E$7</f>
        <v/>
      </c>
      <c r="AH114" s="3">
        <f>(AS114-Pool!$D$8)/Pool!$E$8</f>
        <v/>
      </c>
      <c r="AI114" s="3">
        <f>(AT114-Pool!$D$9)/Pool!$E$9</f>
        <v/>
      </c>
      <c r="AJ114" s="3">
        <f>-(T114-Pool!$D$10)/Pool!$E$10</f>
        <v/>
      </c>
      <c r="AL114">
        <f>MATCH(B114,'Player Data'!$A:$A,0)</f>
        <v/>
      </c>
      <c r="AM114" s="3">
        <f>1+IF(Settings!$F$10="ON",IFERROR(VLOOKUP(TRIM(F114),Settings!$D$12:$F$17,3,FALSE),0),0)</f>
        <v/>
      </c>
      <c r="AN114">
        <f>IFERROR(LEFT(C114,FIND(",",C114)-1),C114)</f>
        <v/>
      </c>
      <c r="AO114" s="6">
        <f>X114*(U114-Pool!$B$12)</f>
        <v/>
      </c>
      <c r="AP114" s="6">
        <f>Z114*(V114-Pool!$B$13)</f>
        <v/>
      </c>
      <c r="AQ114" s="3">
        <f>Settings!$B$2*(N114-Pool!$B$2)/Pool!$C$2+Settings!$B$3*(O114-Pool!$B$3)/Pool!$C$3+Settings!$B$4*(P114-Pool!$B$4)/Pool!$C$4+Settings!$B$5*(Q114-Pool!$B$5)/Pool!$C$5+Settings!$B$6*(R114-Pool!$B$6)/Pool!$C$6+Settings!$B$7*(S114-Pool!$B$7)/Pool!$C$7+Settings!$B$8*(AO114-Pool!$B$8)/Pool!$C$8+Settings!$B$9*(AP114-Pool!$B$9)/Pool!$C$9+Settings!$B$10*-(T114-Pool!$B$10)/Pool!$C$10</f>
        <v/>
      </c>
      <c r="AR114">
        <f>IF(RANK(AQ114,$AQ$2:$AQ$266)&lt;=Settings!$F$5,1,0)</f>
        <v/>
      </c>
      <c r="AS114" s="6">
        <f>X114*(U114-Pool!$D$12)</f>
        <v/>
      </c>
      <c r="AT114" s="6">
        <f>Z114*(V114-Pool!$D$13)</f>
        <v/>
      </c>
    </row>
    <row r="115">
      <c r="A115">
        <f>RANK(H115,$H$2:$H$266)</f>
        <v/>
      </c>
      <c r="B115" t="inlineStr">
        <is>
          <t>Derik Queen</t>
        </is>
      </c>
      <c r="C115">
        <f>INDEX('Player Data'!$C:$C,AL115)</f>
        <v/>
      </c>
      <c r="D115">
        <f>SUMPRODUCT(($AN$2:$AN$266=AN115)*($H$2:$H$266&gt;H115))+1</f>
        <v/>
      </c>
      <c r="E115">
        <f>INDEX('Player Data'!$B:$B,AL115)</f>
        <v/>
      </c>
      <c r="F115" s="2" t="n"/>
      <c r="G115" s="3">
        <f>Settings!$B$2*AB115+Settings!$B$3*AC115+Settings!$B$4*AD115+Settings!$B$5*AE115+Settings!$B$6*AF115+Settings!$B$7*AG115+Settings!$B$8*AH115+Settings!$B$9*AI115+Settings!$B$10*AJ115</f>
        <v/>
      </c>
      <c r="H115" s="3">
        <f>G115-LARGE($G$2:$G$266,Settings!$F$4)</f>
        <v/>
      </c>
      <c r="I115">
        <f>IF(INDEX('Player Data'!$R:$R,AL115)="","",INDEX('Player Data'!$R:$R,AL115))</f>
        <v/>
      </c>
      <c r="J115" s="4">
        <f>IF(I115="","",I115-A115)</f>
        <v/>
      </c>
      <c r="L115" s="5">
        <f>IF(Settings!$F$7="Yes",INDEX('Minutes &amp; Health'!$O:$O,AL115),Settings!$F$8)</f>
        <v/>
      </c>
      <c r="M115" s="6">
        <f>INDEX('Minutes &amp; Health'!$P:$P,AL115)</f>
        <v/>
      </c>
      <c r="N115" s="5">
        <f>INDEX('Player Data'!$F:$F,AL115)/INDEX('Player Data'!$E:$E,AL115)*M115*L115*AM115</f>
        <v/>
      </c>
      <c r="O115" s="5">
        <f>INDEX('Player Data'!$G:$G,AL115)/INDEX('Player Data'!$E:$E,AL115)*M115*L115*AM115</f>
        <v/>
      </c>
      <c r="P115" s="5">
        <f>INDEX('Player Data'!$H:$H,AL115)/INDEX('Player Data'!$E:$E,AL115)*M115*L115*AM115</f>
        <v/>
      </c>
      <c r="Q115" s="5">
        <f>INDEX('Player Data'!$I:$I,AL115)/INDEX('Player Data'!$E:$E,AL115)*M115*L115*AM115</f>
        <v/>
      </c>
      <c r="R115" s="5">
        <f>INDEX('Player Data'!$J:$J,AL115)/INDEX('Player Data'!$E:$E,AL115)*M115*L115*AM115</f>
        <v/>
      </c>
      <c r="S115" s="5">
        <f>INDEX('Player Data'!$K:$K,AL115)/INDEX('Player Data'!$E:$E,AL115)*M115*L115*AM115</f>
        <v/>
      </c>
      <c r="T115" s="5">
        <f>INDEX('Player Data'!$L:$L,AL115)/INDEX('Player Data'!$E:$E,AL115)*M115*L115*AM115</f>
        <v/>
      </c>
      <c r="U115" s="7">
        <f>INDEX('Player Data'!$M:$M,AL115)</f>
        <v/>
      </c>
      <c r="V115" s="7">
        <f>INDEX('Player Data'!$N:$N,AL115)</f>
        <v/>
      </c>
      <c r="W115" s="5">
        <f>X115*U115</f>
        <v/>
      </c>
      <c r="X115" s="5">
        <f>INDEX('Player Data'!$O:$O,AL115)/INDEX('Player Data'!$E:$E,AL115)*M115*L115*AM115</f>
        <v/>
      </c>
      <c r="Y115" s="5">
        <f>Z115*V115</f>
        <v/>
      </c>
      <c r="Z115" s="5">
        <f>INDEX('Player Data'!$P:$P,AL115)/INDEX('Player Data'!$E:$E,AL115)*M115*L115*AM115</f>
        <v/>
      </c>
      <c r="AB115" s="3">
        <f>(N115-Pool!$D$2)/Pool!$E$2</f>
        <v/>
      </c>
      <c r="AC115" s="3">
        <f>(O115-Pool!$D$3)/Pool!$E$3</f>
        <v/>
      </c>
      <c r="AD115" s="3">
        <f>(P115-Pool!$D$4)/Pool!$E$4</f>
        <v/>
      </c>
      <c r="AE115" s="3">
        <f>(Q115-Pool!$D$5)/Pool!$E$5</f>
        <v/>
      </c>
      <c r="AF115" s="3">
        <f>(R115-Pool!$D$6)/Pool!$E$6</f>
        <v/>
      </c>
      <c r="AG115" s="3">
        <f>(S115-Pool!$D$7)/Pool!$E$7</f>
        <v/>
      </c>
      <c r="AH115" s="3">
        <f>(AS115-Pool!$D$8)/Pool!$E$8</f>
        <v/>
      </c>
      <c r="AI115" s="3">
        <f>(AT115-Pool!$D$9)/Pool!$E$9</f>
        <v/>
      </c>
      <c r="AJ115" s="3">
        <f>-(T115-Pool!$D$10)/Pool!$E$10</f>
        <v/>
      </c>
      <c r="AL115">
        <f>MATCH(B115,'Player Data'!$A:$A,0)</f>
        <v/>
      </c>
      <c r="AM115" s="3">
        <f>1+IF(Settings!$F$10="ON",IFERROR(VLOOKUP(TRIM(F115),Settings!$D$12:$F$17,3,FALSE),0),0)</f>
        <v/>
      </c>
      <c r="AN115">
        <f>IFERROR(LEFT(C115,FIND(",",C115)-1),C115)</f>
        <v/>
      </c>
      <c r="AO115" s="6">
        <f>X115*(U115-Pool!$B$12)</f>
        <v/>
      </c>
      <c r="AP115" s="6">
        <f>Z115*(V115-Pool!$B$13)</f>
        <v/>
      </c>
      <c r="AQ115" s="3">
        <f>Settings!$B$2*(N115-Pool!$B$2)/Pool!$C$2+Settings!$B$3*(O115-Pool!$B$3)/Pool!$C$3+Settings!$B$4*(P115-Pool!$B$4)/Pool!$C$4+Settings!$B$5*(Q115-Pool!$B$5)/Pool!$C$5+Settings!$B$6*(R115-Pool!$B$6)/Pool!$C$6+Settings!$B$7*(S115-Pool!$B$7)/Pool!$C$7+Settings!$B$8*(AO115-Pool!$B$8)/Pool!$C$8+Settings!$B$9*(AP115-Pool!$B$9)/Pool!$C$9+Settings!$B$10*-(T115-Pool!$B$10)/Pool!$C$10</f>
        <v/>
      </c>
      <c r="AR115">
        <f>IF(RANK(AQ115,$AQ$2:$AQ$266)&lt;=Settings!$F$5,1,0)</f>
        <v/>
      </c>
      <c r="AS115" s="6">
        <f>X115*(U115-Pool!$D$12)</f>
        <v/>
      </c>
      <c r="AT115" s="6">
        <f>Z115*(V115-Pool!$D$13)</f>
        <v/>
      </c>
    </row>
    <row r="116">
      <c r="A116">
        <f>RANK(H116,$H$2:$H$266)</f>
        <v/>
      </c>
      <c r="B116" t="inlineStr">
        <is>
          <t>Brook Lopez</t>
        </is>
      </c>
      <c r="C116">
        <f>INDEX('Player Data'!$C:$C,AL116)</f>
        <v/>
      </c>
      <c r="D116">
        <f>SUMPRODUCT(($AN$2:$AN$266=AN116)*($H$2:$H$266&gt;H116))+1</f>
        <v/>
      </c>
      <c r="E116">
        <f>INDEX('Player Data'!$B:$B,AL116)</f>
        <v/>
      </c>
      <c r="F116" s="2" t="n"/>
      <c r="G116" s="3">
        <f>Settings!$B$2*AB116+Settings!$B$3*AC116+Settings!$B$4*AD116+Settings!$B$5*AE116+Settings!$B$6*AF116+Settings!$B$7*AG116+Settings!$B$8*AH116+Settings!$B$9*AI116+Settings!$B$10*AJ116</f>
        <v/>
      </c>
      <c r="H116" s="3">
        <f>G116-LARGE($G$2:$G$266,Settings!$F$4)</f>
        <v/>
      </c>
      <c r="I116">
        <f>IF(INDEX('Player Data'!$R:$R,AL116)="","",INDEX('Player Data'!$R:$R,AL116))</f>
        <v/>
      </c>
      <c r="J116" s="4">
        <f>IF(I116="","",I116-A116)</f>
        <v/>
      </c>
      <c r="L116" s="5">
        <f>IF(Settings!$F$7="Yes",INDEX('Minutes &amp; Health'!$O:$O,AL116),Settings!$F$8)</f>
        <v/>
      </c>
      <c r="M116" s="6">
        <f>INDEX('Minutes &amp; Health'!$P:$P,AL116)</f>
        <v/>
      </c>
      <c r="N116" s="5">
        <f>INDEX('Player Data'!$F:$F,AL116)/INDEX('Player Data'!$E:$E,AL116)*M116*L116*AM116</f>
        <v/>
      </c>
      <c r="O116" s="5">
        <f>INDEX('Player Data'!$G:$G,AL116)/INDEX('Player Data'!$E:$E,AL116)*M116*L116*AM116</f>
        <v/>
      </c>
      <c r="P116" s="5">
        <f>INDEX('Player Data'!$H:$H,AL116)/INDEX('Player Data'!$E:$E,AL116)*M116*L116*AM116</f>
        <v/>
      </c>
      <c r="Q116" s="5">
        <f>INDEX('Player Data'!$I:$I,AL116)/INDEX('Player Data'!$E:$E,AL116)*M116*L116*AM116</f>
        <v/>
      </c>
      <c r="R116" s="5">
        <f>INDEX('Player Data'!$J:$J,AL116)/INDEX('Player Data'!$E:$E,AL116)*M116*L116*AM116</f>
        <v/>
      </c>
      <c r="S116" s="5">
        <f>INDEX('Player Data'!$K:$K,AL116)/INDEX('Player Data'!$E:$E,AL116)*M116*L116*AM116</f>
        <v/>
      </c>
      <c r="T116" s="5">
        <f>INDEX('Player Data'!$L:$L,AL116)/INDEX('Player Data'!$E:$E,AL116)*M116*L116*AM116</f>
        <v/>
      </c>
      <c r="U116" s="7">
        <f>INDEX('Player Data'!$M:$M,AL116)</f>
        <v/>
      </c>
      <c r="V116" s="7">
        <f>INDEX('Player Data'!$N:$N,AL116)</f>
        <v/>
      </c>
      <c r="W116" s="5">
        <f>X116*U116</f>
        <v/>
      </c>
      <c r="X116" s="5">
        <f>INDEX('Player Data'!$O:$O,AL116)/INDEX('Player Data'!$E:$E,AL116)*M116*L116*AM116</f>
        <v/>
      </c>
      <c r="Y116" s="5">
        <f>Z116*V116</f>
        <v/>
      </c>
      <c r="Z116" s="5">
        <f>INDEX('Player Data'!$P:$P,AL116)/INDEX('Player Data'!$E:$E,AL116)*M116*L116*AM116</f>
        <v/>
      </c>
      <c r="AB116" s="3">
        <f>(N116-Pool!$D$2)/Pool!$E$2</f>
        <v/>
      </c>
      <c r="AC116" s="3">
        <f>(O116-Pool!$D$3)/Pool!$E$3</f>
        <v/>
      </c>
      <c r="AD116" s="3">
        <f>(P116-Pool!$D$4)/Pool!$E$4</f>
        <v/>
      </c>
      <c r="AE116" s="3">
        <f>(Q116-Pool!$D$5)/Pool!$E$5</f>
        <v/>
      </c>
      <c r="AF116" s="3">
        <f>(R116-Pool!$D$6)/Pool!$E$6</f>
        <v/>
      </c>
      <c r="AG116" s="3">
        <f>(S116-Pool!$D$7)/Pool!$E$7</f>
        <v/>
      </c>
      <c r="AH116" s="3">
        <f>(AS116-Pool!$D$8)/Pool!$E$8</f>
        <v/>
      </c>
      <c r="AI116" s="3">
        <f>(AT116-Pool!$D$9)/Pool!$E$9</f>
        <v/>
      </c>
      <c r="AJ116" s="3">
        <f>-(T116-Pool!$D$10)/Pool!$E$10</f>
        <v/>
      </c>
      <c r="AL116">
        <f>MATCH(B116,'Player Data'!$A:$A,0)</f>
        <v/>
      </c>
      <c r="AM116" s="3">
        <f>1+IF(Settings!$F$10="ON",IFERROR(VLOOKUP(TRIM(F116),Settings!$D$12:$F$17,3,FALSE),0),0)</f>
        <v/>
      </c>
      <c r="AN116">
        <f>IFERROR(LEFT(C116,FIND(",",C116)-1),C116)</f>
        <v/>
      </c>
      <c r="AO116" s="6">
        <f>X116*(U116-Pool!$B$12)</f>
        <v/>
      </c>
      <c r="AP116" s="6">
        <f>Z116*(V116-Pool!$B$13)</f>
        <v/>
      </c>
      <c r="AQ116" s="3">
        <f>Settings!$B$2*(N116-Pool!$B$2)/Pool!$C$2+Settings!$B$3*(O116-Pool!$B$3)/Pool!$C$3+Settings!$B$4*(P116-Pool!$B$4)/Pool!$C$4+Settings!$B$5*(Q116-Pool!$B$5)/Pool!$C$5+Settings!$B$6*(R116-Pool!$B$6)/Pool!$C$6+Settings!$B$7*(S116-Pool!$B$7)/Pool!$C$7+Settings!$B$8*(AO116-Pool!$B$8)/Pool!$C$8+Settings!$B$9*(AP116-Pool!$B$9)/Pool!$C$9+Settings!$B$10*-(T116-Pool!$B$10)/Pool!$C$10</f>
        <v/>
      </c>
      <c r="AR116">
        <f>IF(RANK(AQ116,$AQ$2:$AQ$266)&lt;=Settings!$F$5,1,0)</f>
        <v/>
      </c>
      <c r="AS116" s="6">
        <f>X116*(U116-Pool!$D$12)</f>
        <v/>
      </c>
      <c r="AT116" s="6">
        <f>Z116*(V116-Pool!$D$13)</f>
        <v/>
      </c>
    </row>
    <row r="117">
      <c r="A117">
        <f>RANK(H117,$H$2:$H$266)</f>
        <v/>
      </c>
      <c r="B117" t="inlineStr">
        <is>
          <t>Reed Sheppard</t>
        </is>
      </c>
      <c r="C117">
        <f>INDEX('Player Data'!$C:$C,AL117)</f>
        <v/>
      </c>
      <c r="D117">
        <f>SUMPRODUCT(($AN$2:$AN$266=AN117)*($H$2:$H$266&gt;H117))+1</f>
        <v/>
      </c>
      <c r="E117">
        <f>INDEX('Player Data'!$B:$B,AL117)</f>
        <v/>
      </c>
      <c r="F117" s="2" t="n"/>
      <c r="G117" s="3">
        <f>Settings!$B$2*AB117+Settings!$B$3*AC117+Settings!$B$4*AD117+Settings!$B$5*AE117+Settings!$B$6*AF117+Settings!$B$7*AG117+Settings!$B$8*AH117+Settings!$B$9*AI117+Settings!$B$10*AJ117</f>
        <v/>
      </c>
      <c r="H117" s="3">
        <f>G117-LARGE($G$2:$G$266,Settings!$F$4)</f>
        <v/>
      </c>
      <c r="I117">
        <f>IF(INDEX('Player Data'!$R:$R,AL117)="","",INDEX('Player Data'!$R:$R,AL117))</f>
        <v/>
      </c>
      <c r="J117" s="4">
        <f>IF(I117="","",I117-A117)</f>
        <v/>
      </c>
      <c r="L117" s="5">
        <f>IF(Settings!$F$7="Yes",INDEX('Minutes &amp; Health'!$O:$O,AL117),Settings!$F$8)</f>
        <v/>
      </c>
      <c r="M117" s="6">
        <f>INDEX('Minutes &amp; Health'!$P:$P,AL117)</f>
        <v/>
      </c>
      <c r="N117" s="5">
        <f>INDEX('Player Data'!$F:$F,AL117)/INDEX('Player Data'!$E:$E,AL117)*M117*L117*AM117</f>
        <v/>
      </c>
      <c r="O117" s="5">
        <f>INDEX('Player Data'!$G:$G,AL117)/INDEX('Player Data'!$E:$E,AL117)*M117*L117*AM117</f>
        <v/>
      </c>
      <c r="P117" s="5">
        <f>INDEX('Player Data'!$H:$H,AL117)/INDEX('Player Data'!$E:$E,AL117)*M117*L117*AM117</f>
        <v/>
      </c>
      <c r="Q117" s="5">
        <f>INDEX('Player Data'!$I:$I,AL117)/INDEX('Player Data'!$E:$E,AL117)*M117*L117*AM117</f>
        <v/>
      </c>
      <c r="R117" s="5">
        <f>INDEX('Player Data'!$J:$J,AL117)/INDEX('Player Data'!$E:$E,AL117)*M117*L117*AM117</f>
        <v/>
      </c>
      <c r="S117" s="5">
        <f>INDEX('Player Data'!$K:$K,AL117)/INDEX('Player Data'!$E:$E,AL117)*M117*L117*AM117</f>
        <v/>
      </c>
      <c r="T117" s="5">
        <f>INDEX('Player Data'!$L:$L,AL117)/INDEX('Player Data'!$E:$E,AL117)*M117*L117*AM117</f>
        <v/>
      </c>
      <c r="U117" s="7">
        <f>INDEX('Player Data'!$M:$M,AL117)</f>
        <v/>
      </c>
      <c r="V117" s="7">
        <f>INDEX('Player Data'!$N:$N,AL117)</f>
        <v/>
      </c>
      <c r="W117" s="5">
        <f>X117*U117</f>
        <v/>
      </c>
      <c r="X117" s="5">
        <f>INDEX('Player Data'!$O:$O,AL117)/INDEX('Player Data'!$E:$E,AL117)*M117*L117*AM117</f>
        <v/>
      </c>
      <c r="Y117" s="5">
        <f>Z117*V117</f>
        <v/>
      </c>
      <c r="Z117" s="5">
        <f>INDEX('Player Data'!$P:$P,AL117)/INDEX('Player Data'!$E:$E,AL117)*M117*L117*AM117</f>
        <v/>
      </c>
      <c r="AB117" s="3">
        <f>(N117-Pool!$D$2)/Pool!$E$2</f>
        <v/>
      </c>
      <c r="AC117" s="3">
        <f>(O117-Pool!$D$3)/Pool!$E$3</f>
        <v/>
      </c>
      <c r="AD117" s="3">
        <f>(P117-Pool!$D$4)/Pool!$E$4</f>
        <v/>
      </c>
      <c r="AE117" s="3">
        <f>(Q117-Pool!$D$5)/Pool!$E$5</f>
        <v/>
      </c>
      <c r="AF117" s="3">
        <f>(R117-Pool!$D$6)/Pool!$E$6</f>
        <v/>
      </c>
      <c r="AG117" s="3">
        <f>(S117-Pool!$D$7)/Pool!$E$7</f>
        <v/>
      </c>
      <c r="AH117" s="3">
        <f>(AS117-Pool!$D$8)/Pool!$E$8</f>
        <v/>
      </c>
      <c r="AI117" s="3">
        <f>(AT117-Pool!$D$9)/Pool!$E$9</f>
        <v/>
      </c>
      <c r="AJ117" s="3">
        <f>-(T117-Pool!$D$10)/Pool!$E$10</f>
        <v/>
      </c>
      <c r="AL117">
        <f>MATCH(B117,'Player Data'!$A:$A,0)</f>
        <v/>
      </c>
      <c r="AM117" s="3">
        <f>1+IF(Settings!$F$10="ON",IFERROR(VLOOKUP(TRIM(F117),Settings!$D$12:$F$17,3,FALSE),0),0)</f>
        <v/>
      </c>
      <c r="AN117">
        <f>IFERROR(LEFT(C117,FIND(",",C117)-1),C117)</f>
        <v/>
      </c>
      <c r="AO117" s="6">
        <f>X117*(U117-Pool!$B$12)</f>
        <v/>
      </c>
      <c r="AP117" s="6">
        <f>Z117*(V117-Pool!$B$13)</f>
        <v/>
      </c>
      <c r="AQ117" s="3">
        <f>Settings!$B$2*(N117-Pool!$B$2)/Pool!$C$2+Settings!$B$3*(O117-Pool!$B$3)/Pool!$C$3+Settings!$B$4*(P117-Pool!$B$4)/Pool!$C$4+Settings!$B$5*(Q117-Pool!$B$5)/Pool!$C$5+Settings!$B$6*(R117-Pool!$B$6)/Pool!$C$6+Settings!$B$7*(S117-Pool!$B$7)/Pool!$C$7+Settings!$B$8*(AO117-Pool!$B$8)/Pool!$C$8+Settings!$B$9*(AP117-Pool!$B$9)/Pool!$C$9+Settings!$B$10*-(T117-Pool!$B$10)/Pool!$C$10</f>
        <v/>
      </c>
      <c r="AR117">
        <f>IF(RANK(AQ117,$AQ$2:$AQ$266)&lt;=Settings!$F$5,1,0)</f>
        <v/>
      </c>
      <c r="AS117" s="6">
        <f>X117*(U117-Pool!$D$12)</f>
        <v/>
      </c>
      <c r="AT117" s="6">
        <f>Z117*(V117-Pool!$D$13)</f>
        <v/>
      </c>
    </row>
    <row r="118">
      <c r="A118">
        <f>RANK(H118,$H$2:$H$266)</f>
        <v/>
      </c>
      <c r="B118" t="inlineStr">
        <is>
          <t>Andrew Nembhard</t>
        </is>
      </c>
      <c r="C118">
        <f>INDEX('Player Data'!$C:$C,AL118)</f>
        <v/>
      </c>
      <c r="D118">
        <f>SUMPRODUCT(($AN$2:$AN$266=AN118)*($H$2:$H$266&gt;H118))+1</f>
        <v/>
      </c>
      <c r="E118">
        <f>INDEX('Player Data'!$B:$B,AL118)</f>
        <v/>
      </c>
      <c r="F118" s="2" t="n"/>
      <c r="G118" s="3">
        <f>Settings!$B$2*AB118+Settings!$B$3*AC118+Settings!$B$4*AD118+Settings!$B$5*AE118+Settings!$B$6*AF118+Settings!$B$7*AG118+Settings!$B$8*AH118+Settings!$B$9*AI118+Settings!$B$10*AJ118</f>
        <v/>
      </c>
      <c r="H118" s="3">
        <f>G118-LARGE($G$2:$G$266,Settings!$F$4)</f>
        <v/>
      </c>
      <c r="I118">
        <f>IF(INDEX('Player Data'!$R:$R,AL118)="","",INDEX('Player Data'!$R:$R,AL118))</f>
        <v/>
      </c>
      <c r="J118" s="4">
        <f>IF(I118="","",I118-A118)</f>
        <v/>
      </c>
      <c r="L118" s="5">
        <f>IF(Settings!$F$7="Yes",INDEX('Minutes &amp; Health'!$O:$O,AL118),Settings!$F$8)</f>
        <v/>
      </c>
      <c r="M118" s="6">
        <f>INDEX('Minutes &amp; Health'!$P:$P,AL118)</f>
        <v/>
      </c>
      <c r="N118" s="5">
        <f>INDEX('Player Data'!$F:$F,AL118)/INDEX('Player Data'!$E:$E,AL118)*M118*L118*AM118</f>
        <v/>
      </c>
      <c r="O118" s="5">
        <f>INDEX('Player Data'!$G:$G,AL118)/INDEX('Player Data'!$E:$E,AL118)*M118*L118*AM118</f>
        <v/>
      </c>
      <c r="P118" s="5">
        <f>INDEX('Player Data'!$H:$H,AL118)/INDEX('Player Data'!$E:$E,AL118)*M118*L118*AM118</f>
        <v/>
      </c>
      <c r="Q118" s="5">
        <f>INDEX('Player Data'!$I:$I,AL118)/INDEX('Player Data'!$E:$E,AL118)*M118*L118*AM118</f>
        <v/>
      </c>
      <c r="R118" s="5">
        <f>INDEX('Player Data'!$J:$J,AL118)/INDEX('Player Data'!$E:$E,AL118)*M118*L118*AM118</f>
        <v/>
      </c>
      <c r="S118" s="5">
        <f>INDEX('Player Data'!$K:$K,AL118)/INDEX('Player Data'!$E:$E,AL118)*M118*L118*AM118</f>
        <v/>
      </c>
      <c r="T118" s="5">
        <f>INDEX('Player Data'!$L:$L,AL118)/INDEX('Player Data'!$E:$E,AL118)*M118*L118*AM118</f>
        <v/>
      </c>
      <c r="U118" s="7">
        <f>INDEX('Player Data'!$M:$M,AL118)</f>
        <v/>
      </c>
      <c r="V118" s="7">
        <f>INDEX('Player Data'!$N:$N,AL118)</f>
        <v/>
      </c>
      <c r="W118" s="5">
        <f>X118*U118</f>
        <v/>
      </c>
      <c r="X118" s="5">
        <f>INDEX('Player Data'!$O:$O,AL118)/INDEX('Player Data'!$E:$E,AL118)*M118*L118*AM118</f>
        <v/>
      </c>
      <c r="Y118" s="5">
        <f>Z118*V118</f>
        <v/>
      </c>
      <c r="Z118" s="5">
        <f>INDEX('Player Data'!$P:$P,AL118)/INDEX('Player Data'!$E:$E,AL118)*M118*L118*AM118</f>
        <v/>
      </c>
      <c r="AB118" s="3">
        <f>(N118-Pool!$D$2)/Pool!$E$2</f>
        <v/>
      </c>
      <c r="AC118" s="3">
        <f>(O118-Pool!$D$3)/Pool!$E$3</f>
        <v/>
      </c>
      <c r="AD118" s="3">
        <f>(P118-Pool!$D$4)/Pool!$E$4</f>
        <v/>
      </c>
      <c r="AE118" s="3">
        <f>(Q118-Pool!$D$5)/Pool!$E$5</f>
        <v/>
      </c>
      <c r="AF118" s="3">
        <f>(R118-Pool!$D$6)/Pool!$E$6</f>
        <v/>
      </c>
      <c r="AG118" s="3">
        <f>(S118-Pool!$D$7)/Pool!$E$7</f>
        <v/>
      </c>
      <c r="AH118" s="3">
        <f>(AS118-Pool!$D$8)/Pool!$E$8</f>
        <v/>
      </c>
      <c r="AI118" s="3">
        <f>(AT118-Pool!$D$9)/Pool!$E$9</f>
        <v/>
      </c>
      <c r="AJ118" s="3">
        <f>-(T118-Pool!$D$10)/Pool!$E$10</f>
        <v/>
      </c>
      <c r="AL118">
        <f>MATCH(B118,'Player Data'!$A:$A,0)</f>
        <v/>
      </c>
      <c r="AM118" s="3">
        <f>1+IF(Settings!$F$10="ON",IFERROR(VLOOKUP(TRIM(F118),Settings!$D$12:$F$17,3,FALSE),0),0)</f>
        <v/>
      </c>
      <c r="AN118">
        <f>IFERROR(LEFT(C118,FIND(",",C118)-1),C118)</f>
        <v/>
      </c>
      <c r="AO118" s="6">
        <f>X118*(U118-Pool!$B$12)</f>
        <v/>
      </c>
      <c r="AP118" s="6">
        <f>Z118*(V118-Pool!$B$13)</f>
        <v/>
      </c>
      <c r="AQ118" s="3">
        <f>Settings!$B$2*(N118-Pool!$B$2)/Pool!$C$2+Settings!$B$3*(O118-Pool!$B$3)/Pool!$C$3+Settings!$B$4*(P118-Pool!$B$4)/Pool!$C$4+Settings!$B$5*(Q118-Pool!$B$5)/Pool!$C$5+Settings!$B$6*(R118-Pool!$B$6)/Pool!$C$6+Settings!$B$7*(S118-Pool!$B$7)/Pool!$C$7+Settings!$B$8*(AO118-Pool!$B$8)/Pool!$C$8+Settings!$B$9*(AP118-Pool!$B$9)/Pool!$C$9+Settings!$B$10*-(T118-Pool!$B$10)/Pool!$C$10</f>
        <v/>
      </c>
      <c r="AR118">
        <f>IF(RANK(AQ118,$AQ$2:$AQ$266)&lt;=Settings!$F$5,1,0)</f>
        <v/>
      </c>
      <c r="AS118" s="6">
        <f>X118*(U118-Pool!$D$12)</f>
        <v/>
      </c>
      <c r="AT118" s="6">
        <f>Z118*(V118-Pool!$D$13)</f>
        <v/>
      </c>
    </row>
    <row r="119">
      <c r="A119">
        <f>RANK(H119,$H$2:$H$266)</f>
        <v/>
      </c>
      <c r="B119" t="inlineStr">
        <is>
          <t>Nikola Vucevic</t>
        </is>
      </c>
      <c r="C119">
        <f>INDEX('Player Data'!$C:$C,AL119)</f>
        <v/>
      </c>
      <c r="D119">
        <f>SUMPRODUCT(($AN$2:$AN$266=AN119)*($H$2:$H$266&gt;H119))+1</f>
        <v/>
      </c>
      <c r="E119">
        <f>INDEX('Player Data'!$B:$B,AL119)</f>
        <v/>
      </c>
      <c r="F119" s="2" t="n"/>
      <c r="G119" s="3">
        <f>Settings!$B$2*AB119+Settings!$B$3*AC119+Settings!$B$4*AD119+Settings!$B$5*AE119+Settings!$B$6*AF119+Settings!$B$7*AG119+Settings!$B$8*AH119+Settings!$B$9*AI119+Settings!$B$10*AJ119</f>
        <v/>
      </c>
      <c r="H119" s="3">
        <f>G119-LARGE($G$2:$G$266,Settings!$F$4)</f>
        <v/>
      </c>
      <c r="I119">
        <f>IF(INDEX('Player Data'!$R:$R,AL119)="","",INDEX('Player Data'!$R:$R,AL119))</f>
        <v/>
      </c>
      <c r="J119" s="4">
        <f>IF(I119="","",I119-A119)</f>
        <v/>
      </c>
      <c r="L119" s="5">
        <f>IF(Settings!$F$7="Yes",INDEX('Minutes &amp; Health'!$O:$O,AL119),Settings!$F$8)</f>
        <v/>
      </c>
      <c r="M119" s="6">
        <f>INDEX('Minutes &amp; Health'!$P:$P,AL119)</f>
        <v/>
      </c>
      <c r="N119" s="5">
        <f>INDEX('Player Data'!$F:$F,AL119)/INDEX('Player Data'!$E:$E,AL119)*M119*L119*AM119</f>
        <v/>
      </c>
      <c r="O119" s="5">
        <f>INDEX('Player Data'!$G:$G,AL119)/INDEX('Player Data'!$E:$E,AL119)*M119*L119*AM119</f>
        <v/>
      </c>
      <c r="P119" s="5">
        <f>INDEX('Player Data'!$H:$H,AL119)/INDEX('Player Data'!$E:$E,AL119)*M119*L119*AM119</f>
        <v/>
      </c>
      <c r="Q119" s="5">
        <f>INDEX('Player Data'!$I:$I,AL119)/INDEX('Player Data'!$E:$E,AL119)*M119*L119*AM119</f>
        <v/>
      </c>
      <c r="R119" s="5">
        <f>INDEX('Player Data'!$J:$J,AL119)/INDEX('Player Data'!$E:$E,AL119)*M119*L119*AM119</f>
        <v/>
      </c>
      <c r="S119" s="5">
        <f>INDEX('Player Data'!$K:$K,AL119)/INDEX('Player Data'!$E:$E,AL119)*M119*L119*AM119</f>
        <v/>
      </c>
      <c r="T119" s="5">
        <f>INDEX('Player Data'!$L:$L,AL119)/INDEX('Player Data'!$E:$E,AL119)*M119*L119*AM119</f>
        <v/>
      </c>
      <c r="U119" s="7">
        <f>INDEX('Player Data'!$M:$M,AL119)</f>
        <v/>
      </c>
      <c r="V119" s="7">
        <f>INDEX('Player Data'!$N:$N,AL119)</f>
        <v/>
      </c>
      <c r="W119" s="5">
        <f>X119*U119</f>
        <v/>
      </c>
      <c r="X119" s="5">
        <f>INDEX('Player Data'!$O:$O,AL119)/INDEX('Player Data'!$E:$E,AL119)*M119*L119*AM119</f>
        <v/>
      </c>
      <c r="Y119" s="5">
        <f>Z119*V119</f>
        <v/>
      </c>
      <c r="Z119" s="5">
        <f>INDEX('Player Data'!$P:$P,AL119)/INDEX('Player Data'!$E:$E,AL119)*M119*L119*AM119</f>
        <v/>
      </c>
      <c r="AB119" s="3">
        <f>(N119-Pool!$D$2)/Pool!$E$2</f>
        <v/>
      </c>
      <c r="AC119" s="3">
        <f>(O119-Pool!$D$3)/Pool!$E$3</f>
        <v/>
      </c>
      <c r="AD119" s="3">
        <f>(P119-Pool!$D$4)/Pool!$E$4</f>
        <v/>
      </c>
      <c r="AE119" s="3">
        <f>(Q119-Pool!$D$5)/Pool!$E$5</f>
        <v/>
      </c>
      <c r="AF119" s="3">
        <f>(R119-Pool!$D$6)/Pool!$E$6</f>
        <v/>
      </c>
      <c r="AG119" s="3">
        <f>(S119-Pool!$D$7)/Pool!$E$7</f>
        <v/>
      </c>
      <c r="AH119" s="3">
        <f>(AS119-Pool!$D$8)/Pool!$E$8</f>
        <v/>
      </c>
      <c r="AI119" s="3">
        <f>(AT119-Pool!$D$9)/Pool!$E$9</f>
        <v/>
      </c>
      <c r="AJ119" s="3">
        <f>-(T119-Pool!$D$10)/Pool!$E$10</f>
        <v/>
      </c>
      <c r="AL119">
        <f>MATCH(B119,'Player Data'!$A:$A,0)</f>
        <v/>
      </c>
      <c r="AM119" s="3">
        <f>1+IF(Settings!$F$10="ON",IFERROR(VLOOKUP(TRIM(F119),Settings!$D$12:$F$17,3,FALSE),0),0)</f>
        <v/>
      </c>
      <c r="AN119">
        <f>IFERROR(LEFT(C119,FIND(",",C119)-1),C119)</f>
        <v/>
      </c>
      <c r="AO119" s="6">
        <f>X119*(U119-Pool!$B$12)</f>
        <v/>
      </c>
      <c r="AP119" s="6">
        <f>Z119*(V119-Pool!$B$13)</f>
        <v/>
      </c>
      <c r="AQ119" s="3">
        <f>Settings!$B$2*(N119-Pool!$B$2)/Pool!$C$2+Settings!$B$3*(O119-Pool!$B$3)/Pool!$C$3+Settings!$B$4*(P119-Pool!$B$4)/Pool!$C$4+Settings!$B$5*(Q119-Pool!$B$5)/Pool!$C$5+Settings!$B$6*(R119-Pool!$B$6)/Pool!$C$6+Settings!$B$7*(S119-Pool!$B$7)/Pool!$C$7+Settings!$B$8*(AO119-Pool!$B$8)/Pool!$C$8+Settings!$B$9*(AP119-Pool!$B$9)/Pool!$C$9+Settings!$B$10*-(T119-Pool!$B$10)/Pool!$C$10</f>
        <v/>
      </c>
      <c r="AR119">
        <f>IF(RANK(AQ119,$AQ$2:$AQ$266)&lt;=Settings!$F$5,1,0)</f>
        <v/>
      </c>
      <c r="AS119" s="6">
        <f>X119*(U119-Pool!$D$12)</f>
        <v/>
      </c>
      <c r="AT119" s="6">
        <f>Z119*(V119-Pool!$D$13)</f>
        <v/>
      </c>
    </row>
    <row r="120">
      <c r="A120">
        <f>RANK(H120,$H$2:$H$266)</f>
        <v/>
      </c>
      <c r="B120" t="inlineStr">
        <is>
          <t>Rui Hachimura</t>
        </is>
      </c>
      <c r="C120">
        <f>INDEX('Player Data'!$C:$C,AL120)</f>
        <v/>
      </c>
      <c r="D120">
        <f>SUMPRODUCT(($AN$2:$AN$266=AN120)*($H$2:$H$266&gt;H120))+1</f>
        <v/>
      </c>
      <c r="E120">
        <f>INDEX('Player Data'!$B:$B,AL120)</f>
        <v/>
      </c>
      <c r="F120" s="2" t="n"/>
      <c r="G120" s="3">
        <f>Settings!$B$2*AB120+Settings!$B$3*AC120+Settings!$B$4*AD120+Settings!$B$5*AE120+Settings!$B$6*AF120+Settings!$B$7*AG120+Settings!$B$8*AH120+Settings!$B$9*AI120+Settings!$B$10*AJ120</f>
        <v/>
      </c>
      <c r="H120" s="3">
        <f>G120-LARGE($G$2:$G$266,Settings!$F$4)</f>
        <v/>
      </c>
      <c r="I120">
        <f>IF(INDEX('Player Data'!$R:$R,AL120)="","",INDEX('Player Data'!$R:$R,AL120))</f>
        <v/>
      </c>
      <c r="J120" s="4">
        <f>IF(I120="","",I120-A120)</f>
        <v/>
      </c>
      <c r="L120" s="5">
        <f>IF(Settings!$F$7="Yes",INDEX('Minutes &amp; Health'!$O:$O,AL120),Settings!$F$8)</f>
        <v/>
      </c>
      <c r="M120" s="6">
        <f>INDEX('Minutes &amp; Health'!$P:$P,AL120)</f>
        <v/>
      </c>
      <c r="N120" s="5">
        <f>INDEX('Player Data'!$F:$F,AL120)/INDEX('Player Data'!$E:$E,AL120)*M120*L120*AM120</f>
        <v/>
      </c>
      <c r="O120" s="5">
        <f>INDEX('Player Data'!$G:$G,AL120)/INDEX('Player Data'!$E:$E,AL120)*M120*L120*AM120</f>
        <v/>
      </c>
      <c r="P120" s="5">
        <f>INDEX('Player Data'!$H:$H,AL120)/INDEX('Player Data'!$E:$E,AL120)*M120*L120*AM120</f>
        <v/>
      </c>
      <c r="Q120" s="5">
        <f>INDEX('Player Data'!$I:$I,AL120)/INDEX('Player Data'!$E:$E,AL120)*M120*L120*AM120</f>
        <v/>
      </c>
      <c r="R120" s="5">
        <f>INDEX('Player Data'!$J:$J,AL120)/INDEX('Player Data'!$E:$E,AL120)*M120*L120*AM120</f>
        <v/>
      </c>
      <c r="S120" s="5">
        <f>INDEX('Player Data'!$K:$K,AL120)/INDEX('Player Data'!$E:$E,AL120)*M120*L120*AM120</f>
        <v/>
      </c>
      <c r="T120" s="5">
        <f>INDEX('Player Data'!$L:$L,AL120)/INDEX('Player Data'!$E:$E,AL120)*M120*L120*AM120</f>
        <v/>
      </c>
      <c r="U120" s="7">
        <f>INDEX('Player Data'!$M:$M,AL120)</f>
        <v/>
      </c>
      <c r="V120" s="7">
        <f>INDEX('Player Data'!$N:$N,AL120)</f>
        <v/>
      </c>
      <c r="W120" s="5">
        <f>X120*U120</f>
        <v/>
      </c>
      <c r="X120" s="5">
        <f>INDEX('Player Data'!$O:$O,AL120)/INDEX('Player Data'!$E:$E,AL120)*M120*L120*AM120</f>
        <v/>
      </c>
      <c r="Y120" s="5">
        <f>Z120*V120</f>
        <v/>
      </c>
      <c r="Z120" s="5">
        <f>INDEX('Player Data'!$P:$P,AL120)/INDEX('Player Data'!$E:$E,AL120)*M120*L120*AM120</f>
        <v/>
      </c>
      <c r="AB120" s="3">
        <f>(N120-Pool!$D$2)/Pool!$E$2</f>
        <v/>
      </c>
      <c r="AC120" s="3">
        <f>(O120-Pool!$D$3)/Pool!$E$3</f>
        <v/>
      </c>
      <c r="AD120" s="3">
        <f>(P120-Pool!$D$4)/Pool!$E$4</f>
        <v/>
      </c>
      <c r="AE120" s="3">
        <f>(Q120-Pool!$D$5)/Pool!$E$5</f>
        <v/>
      </c>
      <c r="AF120" s="3">
        <f>(R120-Pool!$D$6)/Pool!$E$6</f>
        <v/>
      </c>
      <c r="AG120" s="3">
        <f>(S120-Pool!$D$7)/Pool!$E$7</f>
        <v/>
      </c>
      <c r="AH120" s="3">
        <f>(AS120-Pool!$D$8)/Pool!$E$8</f>
        <v/>
      </c>
      <c r="AI120" s="3">
        <f>(AT120-Pool!$D$9)/Pool!$E$9</f>
        <v/>
      </c>
      <c r="AJ120" s="3">
        <f>-(T120-Pool!$D$10)/Pool!$E$10</f>
        <v/>
      </c>
      <c r="AL120">
        <f>MATCH(B120,'Player Data'!$A:$A,0)</f>
        <v/>
      </c>
      <c r="AM120" s="3">
        <f>1+IF(Settings!$F$10="ON",IFERROR(VLOOKUP(TRIM(F120),Settings!$D$12:$F$17,3,FALSE),0),0)</f>
        <v/>
      </c>
      <c r="AN120">
        <f>IFERROR(LEFT(C120,FIND(",",C120)-1),C120)</f>
        <v/>
      </c>
      <c r="AO120" s="6">
        <f>X120*(U120-Pool!$B$12)</f>
        <v/>
      </c>
      <c r="AP120" s="6">
        <f>Z120*(V120-Pool!$B$13)</f>
        <v/>
      </c>
      <c r="AQ120" s="3">
        <f>Settings!$B$2*(N120-Pool!$B$2)/Pool!$C$2+Settings!$B$3*(O120-Pool!$B$3)/Pool!$C$3+Settings!$B$4*(P120-Pool!$B$4)/Pool!$C$4+Settings!$B$5*(Q120-Pool!$B$5)/Pool!$C$5+Settings!$B$6*(R120-Pool!$B$6)/Pool!$C$6+Settings!$B$7*(S120-Pool!$B$7)/Pool!$C$7+Settings!$B$8*(AO120-Pool!$B$8)/Pool!$C$8+Settings!$B$9*(AP120-Pool!$B$9)/Pool!$C$9+Settings!$B$10*-(T120-Pool!$B$10)/Pool!$C$10</f>
        <v/>
      </c>
      <c r="AR120">
        <f>IF(RANK(AQ120,$AQ$2:$AQ$266)&lt;=Settings!$F$5,1,0)</f>
        <v/>
      </c>
      <c r="AS120" s="6">
        <f>X120*(U120-Pool!$D$12)</f>
        <v/>
      </c>
      <c r="AT120" s="6">
        <f>Z120*(V120-Pool!$D$13)</f>
        <v/>
      </c>
    </row>
    <row r="121">
      <c r="A121">
        <f>RANK(H121,$H$2:$H$266)</f>
        <v/>
      </c>
      <c r="B121" t="inlineStr">
        <is>
          <t>Egor Demin</t>
        </is>
      </c>
      <c r="C121">
        <f>INDEX('Player Data'!$C:$C,AL121)</f>
        <v/>
      </c>
      <c r="D121">
        <f>SUMPRODUCT(($AN$2:$AN$266=AN121)*($H$2:$H$266&gt;H121))+1</f>
        <v/>
      </c>
      <c r="E121">
        <f>INDEX('Player Data'!$B:$B,AL121)</f>
        <v/>
      </c>
      <c r="F121" s="2" t="inlineStr">
        <is>
          <t>+</t>
        </is>
      </c>
      <c r="G121" s="3">
        <f>Settings!$B$2*AB121+Settings!$B$3*AC121+Settings!$B$4*AD121+Settings!$B$5*AE121+Settings!$B$6*AF121+Settings!$B$7*AG121+Settings!$B$8*AH121+Settings!$B$9*AI121+Settings!$B$10*AJ121</f>
        <v/>
      </c>
      <c r="H121" s="3">
        <f>G121-LARGE($G$2:$G$266,Settings!$F$4)</f>
        <v/>
      </c>
      <c r="I121">
        <f>IF(INDEX('Player Data'!$R:$R,AL121)="","",INDEX('Player Data'!$R:$R,AL121))</f>
        <v/>
      </c>
      <c r="J121" s="4">
        <f>IF(I121="","",I121-A121)</f>
        <v/>
      </c>
      <c r="L121" s="5">
        <f>IF(Settings!$F$7="Yes",INDEX('Minutes &amp; Health'!$O:$O,AL121),Settings!$F$8)</f>
        <v/>
      </c>
      <c r="M121" s="6">
        <f>INDEX('Minutes &amp; Health'!$P:$P,AL121)</f>
        <v/>
      </c>
      <c r="N121" s="5">
        <f>INDEX('Player Data'!$F:$F,AL121)/INDEX('Player Data'!$E:$E,AL121)*M121*L121*AM121</f>
        <v/>
      </c>
      <c r="O121" s="5">
        <f>INDEX('Player Data'!$G:$G,AL121)/INDEX('Player Data'!$E:$E,AL121)*M121*L121*AM121</f>
        <v/>
      </c>
      <c r="P121" s="5">
        <f>INDEX('Player Data'!$H:$H,AL121)/INDEX('Player Data'!$E:$E,AL121)*M121*L121*AM121</f>
        <v/>
      </c>
      <c r="Q121" s="5">
        <f>INDEX('Player Data'!$I:$I,AL121)/INDEX('Player Data'!$E:$E,AL121)*M121*L121*AM121</f>
        <v/>
      </c>
      <c r="R121" s="5">
        <f>INDEX('Player Data'!$J:$J,AL121)/INDEX('Player Data'!$E:$E,AL121)*M121*L121*AM121</f>
        <v/>
      </c>
      <c r="S121" s="5">
        <f>INDEX('Player Data'!$K:$K,AL121)/INDEX('Player Data'!$E:$E,AL121)*M121*L121*AM121</f>
        <v/>
      </c>
      <c r="T121" s="5">
        <f>INDEX('Player Data'!$L:$L,AL121)/INDEX('Player Data'!$E:$E,AL121)*M121*L121*AM121</f>
        <v/>
      </c>
      <c r="U121" s="7">
        <f>INDEX('Player Data'!$M:$M,AL121)</f>
        <v/>
      </c>
      <c r="V121" s="7">
        <f>INDEX('Player Data'!$N:$N,AL121)</f>
        <v/>
      </c>
      <c r="W121" s="5">
        <f>X121*U121</f>
        <v/>
      </c>
      <c r="X121" s="5">
        <f>INDEX('Player Data'!$O:$O,AL121)/INDEX('Player Data'!$E:$E,AL121)*M121*L121*AM121</f>
        <v/>
      </c>
      <c r="Y121" s="5">
        <f>Z121*V121</f>
        <v/>
      </c>
      <c r="Z121" s="5">
        <f>INDEX('Player Data'!$P:$P,AL121)/INDEX('Player Data'!$E:$E,AL121)*M121*L121*AM121</f>
        <v/>
      </c>
      <c r="AB121" s="3">
        <f>(N121-Pool!$D$2)/Pool!$E$2</f>
        <v/>
      </c>
      <c r="AC121" s="3">
        <f>(O121-Pool!$D$3)/Pool!$E$3</f>
        <v/>
      </c>
      <c r="AD121" s="3">
        <f>(P121-Pool!$D$4)/Pool!$E$4</f>
        <v/>
      </c>
      <c r="AE121" s="3">
        <f>(Q121-Pool!$D$5)/Pool!$E$5</f>
        <v/>
      </c>
      <c r="AF121" s="3">
        <f>(R121-Pool!$D$6)/Pool!$E$6</f>
        <v/>
      </c>
      <c r="AG121" s="3">
        <f>(S121-Pool!$D$7)/Pool!$E$7</f>
        <v/>
      </c>
      <c r="AH121" s="3">
        <f>(AS121-Pool!$D$8)/Pool!$E$8</f>
        <v/>
      </c>
      <c r="AI121" s="3">
        <f>(AT121-Pool!$D$9)/Pool!$E$9</f>
        <v/>
      </c>
      <c r="AJ121" s="3">
        <f>-(T121-Pool!$D$10)/Pool!$E$10</f>
        <v/>
      </c>
      <c r="AL121">
        <f>MATCH(B121,'Player Data'!$A:$A,0)</f>
        <v/>
      </c>
      <c r="AM121" s="3">
        <f>1+IF(Settings!$F$10="ON",IFERROR(VLOOKUP(TRIM(F121),Settings!$D$12:$F$17,3,FALSE),0),0)</f>
        <v/>
      </c>
      <c r="AN121">
        <f>IFERROR(LEFT(C121,FIND(",",C121)-1),C121)</f>
        <v/>
      </c>
      <c r="AO121" s="6">
        <f>X121*(U121-Pool!$B$12)</f>
        <v/>
      </c>
      <c r="AP121" s="6">
        <f>Z121*(V121-Pool!$B$13)</f>
        <v/>
      </c>
      <c r="AQ121" s="3">
        <f>Settings!$B$2*(N121-Pool!$B$2)/Pool!$C$2+Settings!$B$3*(O121-Pool!$B$3)/Pool!$C$3+Settings!$B$4*(P121-Pool!$B$4)/Pool!$C$4+Settings!$B$5*(Q121-Pool!$B$5)/Pool!$C$5+Settings!$B$6*(R121-Pool!$B$6)/Pool!$C$6+Settings!$B$7*(S121-Pool!$B$7)/Pool!$C$7+Settings!$B$8*(AO121-Pool!$B$8)/Pool!$C$8+Settings!$B$9*(AP121-Pool!$B$9)/Pool!$C$9+Settings!$B$10*-(T121-Pool!$B$10)/Pool!$C$10</f>
        <v/>
      </c>
      <c r="AR121">
        <f>IF(RANK(AQ121,$AQ$2:$AQ$266)&lt;=Settings!$F$5,1,0)</f>
        <v/>
      </c>
      <c r="AS121" s="6">
        <f>X121*(U121-Pool!$D$12)</f>
        <v/>
      </c>
      <c r="AT121" s="6">
        <f>Z121*(V121-Pool!$D$13)</f>
        <v/>
      </c>
    </row>
    <row r="122">
      <c r="A122">
        <f>RANK(H122,$H$2:$H$266)</f>
        <v/>
      </c>
      <c r="B122" t="inlineStr">
        <is>
          <t>Dillon Brooks</t>
        </is>
      </c>
      <c r="C122">
        <f>INDEX('Player Data'!$C:$C,AL122)</f>
        <v/>
      </c>
      <c r="D122">
        <f>SUMPRODUCT(($AN$2:$AN$266=AN122)*($H$2:$H$266&gt;H122))+1</f>
        <v/>
      </c>
      <c r="E122">
        <f>INDEX('Player Data'!$B:$B,AL122)</f>
        <v/>
      </c>
      <c r="F122" s="2" t="n"/>
      <c r="G122" s="3">
        <f>Settings!$B$2*AB122+Settings!$B$3*AC122+Settings!$B$4*AD122+Settings!$B$5*AE122+Settings!$B$6*AF122+Settings!$B$7*AG122+Settings!$B$8*AH122+Settings!$B$9*AI122+Settings!$B$10*AJ122</f>
        <v/>
      </c>
      <c r="H122" s="3">
        <f>G122-LARGE($G$2:$G$266,Settings!$F$4)</f>
        <v/>
      </c>
      <c r="I122">
        <f>IF(INDEX('Player Data'!$R:$R,AL122)="","",INDEX('Player Data'!$R:$R,AL122))</f>
        <v/>
      </c>
      <c r="J122" s="4">
        <f>IF(I122="","",I122-A122)</f>
        <v/>
      </c>
      <c r="L122" s="5">
        <f>IF(Settings!$F$7="Yes",INDEX('Minutes &amp; Health'!$O:$O,AL122),Settings!$F$8)</f>
        <v/>
      </c>
      <c r="M122" s="6">
        <f>INDEX('Minutes &amp; Health'!$P:$P,AL122)</f>
        <v/>
      </c>
      <c r="N122" s="5">
        <f>INDEX('Player Data'!$F:$F,AL122)/INDEX('Player Data'!$E:$E,AL122)*M122*L122*AM122</f>
        <v/>
      </c>
      <c r="O122" s="5">
        <f>INDEX('Player Data'!$G:$G,AL122)/INDEX('Player Data'!$E:$E,AL122)*M122*L122*AM122</f>
        <v/>
      </c>
      <c r="P122" s="5">
        <f>INDEX('Player Data'!$H:$H,AL122)/INDEX('Player Data'!$E:$E,AL122)*M122*L122*AM122</f>
        <v/>
      </c>
      <c r="Q122" s="5">
        <f>INDEX('Player Data'!$I:$I,AL122)/INDEX('Player Data'!$E:$E,AL122)*M122*L122*AM122</f>
        <v/>
      </c>
      <c r="R122" s="5">
        <f>INDEX('Player Data'!$J:$J,AL122)/INDEX('Player Data'!$E:$E,AL122)*M122*L122*AM122</f>
        <v/>
      </c>
      <c r="S122" s="5">
        <f>INDEX('Player Data'!$K:$K,AL122)/INDEX('Player Data'!$E:$E,AL122)*M122*L122*AM122</f>
        <v/>
      </c>
      <c r="T122" s="5">
        <f>INDEX('Player Data'!$L:$L,AL122)/INDEX('Player Data'!$E:$E,AL122)*M122*L122*AM122</f>
        <v/>
      </c>
      <c r="U122" s="7">
        <f>INDEX('Player Data'!$M:$M,AL122)</f>
        <v/>
      </c>
      <c r="V122" s="7">
        <f>INDEX('Player Data'!$N:$N,AL122)</f>
        <v/>
      </c>
      <c r="W122" s="5">
        <f>X122*U122</f>
        <v/>
      </c>
      <c r="X122" s="5">
        <f>INDEX('Player Data'!$O:$O,AL122)/INDEX('Player Data'!$E:$E,AL122)*M122*L122*AM122</f>
        <v/>
      </c>
      <c r="Y122" s="5">
        <f>Z122*V122</f>
        <v/>
      </c>
      <c r="Z122" s="5">
        <f>INDEX('Player Data'!$P:$P,AL122)/INDEX('Player Data'!$E:$E,AL122)*M122*L122*AM122</f>
        <v/>
      </c>
      <c r="AB122" s="3">
        <f>(N122-Pool!$D$2)/Pool!$E$2</f>
        <v/>
      </c>
      <c r="AC122" s="3">
        <f>(O122-Pool!$D$3)/Pool!$E$3</f>
        <v/>
      </c>
      <c r="AD122" s="3">
        <f>(P122-Pool!$D$4)/Pool!$E$4</f>
        <v/>
      </c>
      <c r="AE122" s="3">
        <f>(Q122-Pool!$D$5)/Pool!$E$5</f>
        <v/>
      </c>
      <c r="AF122" s="3">
        <f>(R122-Pool!$D$6)/Pool!$E$6</f>
        <v/>
      </c>
      <c r="AG122" s="3">
        <f>(S122-Pool!$D$7)/Pool!$E$7</f>
        <v/>
      </c>
      <c r="AH122" s="3">
        <f>(AS122-Pool!$D$8)/Pool!$E$8</f>
        <v/>
      </c>
      <c r="AI122" s="3">
        <f>(AT122-Pool!$D$9)/Pool!$E$9</f>
        <v/>
      </c>
      <c r="AJ122" s="3">
        <f>-(T122-Pool!$D$10)/Pool!$E$10</f>
        <v/>
      </c>
      <c r="AL122">
        <f>MATCH(B122,'Player Data'!$A:$A,0)</f>
        <v/>
      </c>
      <c r="AM122" s="3">
        <f>1+IF(Settings!$F$10="ON",IFERROR(VLOOKUP(TRIM(F122),Settings!$D$12:$F$17,3,FALSE),0),0)</f>
        <v/>
      </c>
      <c r="AN122">
        <f>IFERROR(LEFT(C122,FIND(",",C122)-1),C122)</f>
        <v/>
      </c>
      <c r="AO122" s="6">
        <f>X122*(U122-Pool!$B$12)</f>
        <v/>
      </c>
      <c r="AP122" s="6">
        <f>Z122*(V122-Pool!$B$13)</f>
        <v/>
      </c>
      <c r="AQ122" s="3">
        <f>Settings!$B$2*(N122-Pool!$B$2)/Pool!$C$2+Settings!$B$3*(O122-Pool!$B$3)/Pool!$C$3+Settings!$B$4*(P122-Pool!$B$4)/Pool!$C$4+Settings!$B$5*(Q122-Pool!$B$5)/Pool!$C$5+Settings!$B$6*(R122-Pool!$B$6)/Pool!$C$6+Settings!$B$7*(S122-Pool!$B$7)/Pool!$C$7+Settings!$B$8*(AO122-Pool!$B$8)/Pool!$C$8+Settings!$B$9*(AP122-Pool!$B$9)/Pool!$C$9+Settings!$B$10*-(T122-Pool!$B$10)/Pool!$C$10</f>
        <v/>
      </c>
      <c r="AR122">
        <f>IF(RANK(AQ122,$AQ$2:$AQ$266)&lt;=Settings!$F$5,1,0)</f>
        <v/>
      </c>
      <c r="AS122" s="6">
        <f>X122*(U122-Pool!$D$12)</f>
        <v/>
      </c>
      <c r="AT122" s="6">
        <f>Z122*(V122-Pool!$D$13)</f>
        <v/>
      </c>
    </row>
    <row r="123">
      <c r="A123">
        <f>RANK(H123,$H$2:$H$266)</f>
        <v/>
      </c>
      <c r="B123" t="inlineStr">
        <is>
          <t>Devin Vassell</t>
        </is>
      </c>
      <c r="C123">
        <f>INDEX('Player Data'!$C:$C,AL123)</f>
        <v/>
      </c>
      <c r="D123">
        <f>SUMPRODUCT(($AN$2:$AN$266=AN123)*($H$2:$H$266&gt;H123))+1</f>
        <v/>
      </c>
      <c r="E123">
        <f>INDEX('Player Data'!$B:$B,AL123)</f>
        <v/>
      </c>
      <c r="F123" s="2" t="n"/>
      <c r="G123" s="3">
        <f>Settings!$B$2*AB123+Settings!$B$3*AC123+Settings!$B$4*AD123+Settings!$B$5*AE123+Settings!$B$6*AF123+Settings!$B$7*AG123+Settings!$B$8*AH123+Settings!$B$9*AI123+Settings!$B$10*AJ123</f>
        <v/>
      </c>
      <c r="H123" s="3">
        <f>G123-LARGE($G$2:$G$266,Settings!$F$4)</f>
        <v/>
      </c>
      <c r="I123">
        <f>IF(INDEX('Player Data'!$R:$R,AL123)="","",INDEX('Player Data'!$R:$R,AL123))</f>
        <v/>
      </c>
      <c r="J123" s="4">
        <f>IF(I123="","",I123-A123)</f>
        <v/>
      </c>
      <c r="L123" s="5">
        <f>IF(Settings!$F$7="Yes",INDEX('Minutes &amp; Health'!$O:$O,AL123),Settings!$F$8)</f>
        <v/>
      </c>
      <c r="M123" s="6">
        <f>INDEX('Minutes &amp; Health'!$P:$P,AL123)</f>
        <v/>
      </c>
      <c r="N123" s="5">
        <f>INDEX('Player Data'!$F:$F,AL123)/INDEX('Player Data'!$E:$E,AL123)*M123*L123*AM123</f>
        <v/>
      </c>
      <c r="O123" s="5">
        <f>INDEX('Player Data'!$G:$G,AL123)/INDEX('Player Data'!$E:$E,AL123)*M123*L123*AM123</f>
        <v/>
      </c>
      <c r="P123" s="5">
        <f>INDEX('Player Data'!$H:$H,AL123)/INDEX('Player Data'!$E:$E,AL123)*M123*L123*AM123</f>
        <v/>
      </c>
      <c r="Q123" s="5">
        <f>INDEX('Player Data'!$I:$I,AL123)/INDEX('Player Data'!$E:$E,AL123)*M123*L123*AM123</f>
        <v/>
      </c>
      <c r="R123" s="5">
        <f>INDEX('Player Data'!$J:$J,AL123)/INDEX('Player Data'!$E:$E,AL123)*M123*L123*AM123</f>
        <v/>
      </c>
      <c r="S123" s="5">
        <f>INDEX('Player Data'!$K:$K,AL123)/INDEX('Player Data'!$E:$E,AL123)*M123*L123*AM123</f>
        <v/>
      </c>
      <c r="T123" s="5">
        <f>INDEX('Player Data'!$L:$L,AL123)/INDEX('Player Data'!$E:$E,AL123)*M123*L123*AM123</f>
        <v/>
      </c>
      <c r="U123" s="7">
        <f>INDEX('Player Data'!$M:$M,AL123)</f>
        <v/>
      </c>
      <c r="V123" s="7">
        <f>INDEX('Player Data'!$N:$N,AL123)</f>
        <v/>
      </c>
      <c r="W123" s="5">
        <f>X123*U123</f>
        <v/>
      </c>
      <c r="X123" s="5">
        <f>INDEX('Player Data'!$O:$O,AL123)/INDEX('Player Data'!$E:$E,AL123)*M123*L123*AM123</f>
        <v/>
      </c>
      <c r="Y123" s="5">
        <f>Z123*V123</f>
        <v/>
      </c>
      <c r="Z123" s="5">
        <f>INDEX('Player Data'!$P:$P,AL123)/INDEX('Player Data'!$E:$E,AL123)*M123*L123*AM123</f>
        <v/>
      </c>
      <c r="AB123" s="3">
        <f>(N123-Pool!$D$2)/Pool!$E$2</f>
        <v/>
      </c>
      <c r="AC123" s="3">
        <f>(O123-Pool!$D$3)/Pool!$E$3</f>
        <v/>
      </c>
      <c r="AD123" s="3">
        <f>(P123-Pool!$D$4)/Pool!$E$4</f>
        <v/>
      </c>
      <c r="AE123" s="3">
        <f>(Q123-Pool!$D$5)/Pool!$E$5</f>
        <v/>
      </c>
      <c r="AF123" s="3">
        <f>(R123-Pool!$D$6)/Pool!$E$6</f>
        <v/>
      </c>
      <c r="AG123" s="3">
        <f>(S123-Pool!$D$7)/Pool!$E$7</f>
        <v/>
      </c>
      <c r="AH123" s="3">
        <f>(AS123-Pool!$D$8)/Pool!$E$8</f>
        <v/>
      </c>
      <c r="AI123" s="3">
        <f>(AT123-Pool!$D$9)/Pool!$E$9</f>
        <v/>
      </c>
      <c r="AJ123" s="3">
        <f>-(T123-Pool!$D$10)/Pool!$E$10</f>
        <v/>
      </c>
      <c r="AL123">
        <f>MATCH(B123,'Player Data'!$A:$A,0)</f>
        <v/>
      </c>
      <c r="AM123" s="3">
        <f>1+IF(Settings!$F$10="ON",IFERROR(VLOOKUP(TRIM(F123),Settings!$D$12:$F$17,3,FALSE),0),0)</f>
        <v/>
      </c>
      <c r="AN123">
        <f>IFERROR(LEFT(C123,FIND(",",C123)-1),C123)</f>
        <v/>
      </c>
      <c r="AO123" s="6">
        <f>X123*(U123-Pool!$B$12)</f>
        <v/>
      </c>
      <c r="AP123" s="6">
        <f>Z123*(V123-Pool!$B$13)</f>
        <v/>
      </c>
      <c r="AQ123" s="3">
        <f>Settings!$B$2*(N123-Pool!$B$2)/Pool!$C$2+Settings!$B$3*(O123-Pool!$B$3)/Pool!$C$3+Settings!$B$4*(P123-Pool!$B$4)/Pool!$C$4+Settings!$B$5*(Q123-Pool!$B$5)/Pool!$C$5+Settings!$B$6*(R123-Pool!$B$6)/Pool!$C$6+Settings!$B$7*(S123-Pool!$B$7)/Pool!$C$7+Settings!$B$8*(AO123-Pool!$B$8)/Pool!$C$8+Settings!$B$9*(AP123-Pool!$B$9)/Pool!$C$9+Settings!$B$10*-(T123-Pool!$B$10)/Pool!$C$10</f>
        <v/>
      </c>
      <c r="AR123">
        <f>IF(RANK(AQ123,$AQ$2:$AQ$266)&lt;=Settings!$F$5,1,0)</f>
        <v/>
      </c>
      <c r="AS123" s="6">
        <f>X123*(U123-Pool!$D$12)</f>
        <v/>
      </c>
      <c r="AT123" s="6">
        <f>Z123*(V123-Pool!$D$13)</f>
        <v/>
      </c>
    </row>
    <row r="124">
      <c r="A124">
        <f>RANK(H124,$H$2:$H$266)</f>
        <v/>
      </c>
      <c r="B124" t="inlineStr">
        <is>
          <t>Mitchell Robinson</t>
        </is>
      </c>
      <c r="C124">
        <f>INDEX('Player Data'!$C:$C,AL124)</f>
        <v/>
      </c>
      <c r="D124">
        <f>SUMPRODUCT(($AN$2:$AN$266=AN124)*($H$2:$H$266&gt;H124))+1</f>
        <v/>
      </c>
      <c r="E124">
        <f>INDEX('Player Data'!$B:$B,AL124)</f>
        <v/>
      </c>
      <c r="F124" s="2" t="n"/>
      <c r="G124" s="3">
        <f>Settings!$B$2*AB124+Settings!$B$3*AC124+Settings!$B$4*AD124+Settings!$B$5*AE124+Settings!$B$6*AF124+Settings!$B$7*AG124+Settings!$B$8*AH124+Settings!$B$9*AI124+Settings!$B$10*AJ124</f>
        <v/>
      </c>
      <c r="H124" s="3">
        <f>G124-LARGE($G$2:$G$266,Settings!$F$4)</f>
        <v/>
      </c>
      <c r="I124">
        <f>IF(INDEX('Player Data'!$R:$R,AL124)="","",INDEX('Player Data'!$R:$R,AL124))</f>
        <v/>
      </c>
      <c r="J124" s="4">
        <f>IF(I124="","",I124-A124)</f>
        <v/>
      </c>
      <c r="L124" s="5">
        <f>IF(Settings!$F$7="Yes",INDEX('Minutes &amp; Health'!$O:$O,AL124),Settings!$F$8)</f>
        <v/>
      </c>
      <c r="M124" s="6">
        <f>INDEX('Minutes &amp; Health'!$P:$P,AL124)</f>
        <v/>
      </c>
      <c r="N124" s="5">
        <f>INDEX('Player Data'!$F:$F,AL124)/INDEX('Player Data'!$E:$E,AL124)*M124*L124*AM124</f>
        <v/>
      </c>
      <c r="O124" s="5">
        <f>INDEX('Player Data'!$G:$G,AL124)/INDEX('Player Data'!$E:$E,AL124)*M124*L124*AM124</f>
        <v/>
      </c>
      <c r="P124" s="5">
        <f>INDEX('Player Data'!$H:$H,AL124)/INDEX('Player Data'!$E:$E,AL124)*M124*L124*AM124</f>
        <v/>
      </c>
      <c r="Q124" s="5">
        <f>INDEX('Player Data'!$I:$I,AL124)/INDEX('Player Data'!$E:$E,AL124)*M124*L124*AM124</f>
        <v/>
      </c>
      <c r="R124" s="5">
        <f>INDEX('Player Data'!$J:$J,AL124)/INDEX('Player Data'!$E:$E,AL124)*M124*L124*AM124</f>
        <v/>
      </c>
      <c r="S124" s="5">
        <f>INDEX('Player Data'!$K:$K,AL124)/INDEX('Player Data'!$E:$E,AL124)*M124*L124*AM124</f>
        <v/>
      </c>
      <c r="T124" s="5">
        <f>INDEX('Player Data'!$L:$L,AL124)/INDEX('Player Data'!$E:$E,AL124)*M124*L124*AM124</f>
        <v/>
      </c>
      <c r="U124" s="7">
        <f>INDEX('Player Data'!$M:$M,AL124)</f>
        <v/>
      </c>
      <c r="V124" s="7">
        <f>INDEX('Player Data'!$N:$N,AL124)</f>
        <v/>
      </c>
      <c r="W124" s="5">
        <f>X124*U124</f>
        <v/>
      </c>
      <c r="X124" s="5">
        <f>INDEX('Player Data'!$O:$O,AL124)/INDEX('Player Data'!$E:$E,AL124)*M124*L124*AM124</f>
        <v/>
      </c>
      <c r="Y124" s="5">
        <f>Z124*V124</f>
        <v/>
      </c>
      <c r="Z124" s="5">
        <f>INDEX('Player Data'!$P:$P,AL124)/INDEX('Player Data'!$E:$E,AL124)*M124*L124*AM124</f>
        <v/>
      </c>
      <c r="AB124" s="3">
        <f>(N124-Pool!$D$2)/Pool!$E$2</f>
        <v/>
      </c>
      <c r="AC124" s="3">
        <f>(O124-Pool!$D$3)/Pool!$E$3</f>
        <v/>
      </c>
      <c r="AD124" s="3">
        <f>(P124-Pool!$D$4)/Pool!$E$4</f>
        <v/>
      </c>
      <c r="AE124" s="3">
        <f>(Q124-Pool!$D$5)/Pool!$E$5</f>
        <v/>
      </c>
      <c r="AF124" s="3">
        <f>(R124-Pool!$D$6)/Pool!$E$6</f>
        <v/>
      </c>
      <c r="AG124" s="3">
        <f>(S124-Pool!$D$7)/Pool!$E$7</f>
        <v/>
      </c>
      <c r="AH124" s="3">
        <f>(AS124-Pool!$D$8)/Pool!$E$8</f>
        <v/>
      </c>
      <c r="AI124" s="3">
        <f>(AT124-Pool!$D$9)/Pool!$E$9</f>
        <v/>
      </c>
      <c r="AJ124" s="3">
        <f>-(T124-Pool!$D$10)/Pool!$E$10</f>
        <v/>
      </c>
      <c r="AL124">
        <f>MATCH(B124,'Player Data'!$A:$A,0)</f>
        <v/>
      </c>
      <c r="AM124" s="3">
        <f>1+IF(Settings!$F$10="ON",IFERROR(VLOOKUP(TRIM(F124),Settings!$D$12:$F$17,3,FALSE),0),0)</f>
        <v/>
      </c>
      <c r="AN124">
        <f>IFERROR(LEFT(C124,FIND(",",C124)-1),C124)</f>
        <v/>
      </c>
      <c r="AO124" s="6">
        <f>X124*(U124-Pool!$B$12)</f>
        <v/>
      </c>
      <c r="AP124" s="6">
        <f>Z124*(V124-Pool!$B$13)</f>
        <v/>
      </c>
      <c r="AQ124" s="3">
        <f>Settings!$B$2*(N124-Pool!$B$2)/Pool!$C$2+Settings!$B$3*(O124-Pool!$B$3)/Pool!$C$3+Settings!$B$4*(P124-Pool!$B$4)/Pool!$C$4+Settings!$B$5*(Q124-Pool!$B$5)/Pool!$C$5+Settings!$B$6*(R124-Pool!$B$6)/Pool!$C$6+Settings!$B$7*(S124-Pool!$B$7)/Pool!$C$7+Settings!$B$8*(AO124-Pool!$B$8)/Pool!$C$8+Settings!$B$9*(AP124-Pool!$B$9)/Pool!$C$9+Settings!$B$10*-(T124-Pool!$B$10)/Pool!$C$10</f>
        <v/>
      </c>
      <c r="AR124">
        <f>IF(RANK(AQ124,$AQ$2:$AQ$266)&lt;=Settings!$F$5,1,0)</f>
        <v/>
      </c>
      <c r="AS124" s="6">
        <f>X124*(U124-Pool!$D$12)</f>
        <v/>
      </c>
      <c r="AT124" s="6">
        <f>Z124*(V124-Pool!$D$13)</f>
        <v/>
      </c>
    </row>
    <row r="125">
      <c r="A125">
        <f>RANK(H125,$H$2:$H$266)</f>
        <v/>
      </c>
      <c r="B125" t="inlineStr">
        <is>
          <t>Julius Randle</t>
        </is>
      </c>
      <c r="C125">
        <f>INDEX('Player Data'!$C:$C,AL125)</f>
        <v/>
      </c>
      <c r="D125">
        <f>SUMPRODUCT(($AN$2:$AN$266=AN125)*($H$2:$H$266&gt;H125))+1</f>
        <v/>
      </c>
      <c r="E125">
        <f>INDEX('Player Data'!$B:$B,AL125)</f>
        <v/>
      </c>
      <c r="F125" s="2" t="n"/>
      <c r="G125" s="3">
        <f>Settings!$B$2*AB125+Settings!$B$3*AC125+Settings!$B$4*AD125+Settings!$B$5*AE125+Settings!$B$6*AF125+Settings!$B$7*AG125+Settings!$B$8*AH125+Settings!$B$9*AI125+Settings!$B$10*AJ125</f>
        <v/>
      </c>
      <c r="H125" s="3">
        <f>G125-LARGE($G$2:$G$266,Settings!$F$4)</f>
        <v/>
      </c>
      <c r="I125">
        <f>IF(INDEX('Player Data'!$R:$R,AL125)="","",INDEX('Player Data'!$R:$R,AL125))</f>
        <v/>
      </c>
      <c r="J125" s="4">
        <f>IF(I125="","",I125-A125)</f>
        <v/>
      </c>
      <c r="L125" s="5">
        <f>IF(Settings!$F$7="Yes",INDEX('Minutes &amp; Health'!$O:$O,AL125),Settings!$F$8)</f>
        <v/>
      </c>
      <c r="M125" s="6">
        <f>INDEX('Minutes &amp; Health'!$P:$P,AL125)</f>
        <v/>
      </c>
      <c r="N125" s="5">
        <f>INDEX('Player Data'!$F:$F,AL125)/INDEX('Player Data'!$E:$E,AL125)*M125*L125*AM125</f>
        <v/>
      </c>
      <c r="O125" s="5">
        <f>INDEX('Player Data'!$G:$G,AL125)/INDEX('Player Data'!$E:$E,AL125)*M125*L125*AM125</f>
        <v/>
      </c>
      <c r="P125" s="5">
        <f>INDEX('Player Data'!$H:$H,AL125)/INDEX('Player Data'!$E:$E,AL125)*M125*L125*AM125</f>
        <v/>
      </c>
      <c r="Q125" s="5">
        <f>INDEX('Player Data'!$I:$I,AL125)/INDEX('Player Data'!$E:$E,AL125)*M125*L125*AM125</f>
        <v/>
      </c>
      <c r="R125" s="5">
        <f>INDEX('Player Data'!$J:$J,AL125)/INDEX('Player Data'!$E:$E,AL125)*M125*L125*AM125</f>
        <v/>
      </c>
      <c r="S125" s="5">
        <f>INDEX('Player Data'!$K:$K,AL125)/INDEX('Player Data'!$E:$E,AL125)*M125*L125*AM125</f>
        <v/>
      </c>
      <c r="T125" s="5">
        <f>INDEX('Player Data'!$L:$L,AL125)/INDEX('Player Data'!$E:$E,AL125)*M125*L125*AM125</f>
        <v/>
      </c>
      <c r="U125" s="7">
        <f>INDEX('Player Data'!$M:$M,AL125)</f>
        <v/>
      </c>
      <c r="V125" s="7">
        <f>INDEX('Player Data'!$N:$N,AL125)</f>
        <v/>
      </c>
      <c r="W125" s="5">
        <f>X125*U125</f>
        <v/>
      </c>
      <c r="X125" s="5">
        <f>INDEX('Player Data'!$O:$O,AL125)/INDEX('Player Data'!$E:$E,AL125)*M125*L125*AM125</f>
        <v/>
      </c>
      <c r="Y125" s="5">
        <f>Z125*V125</f>
        <v/>
      </c>
      <c r="Z125" s="5">
        <f>INDEX('Player Data'!$P:$P,AL125)/INDEX('Player Data'!$E:$E,AL125)*M125*L125*AM125</f>
        <v/>
      </c>
      <c r="AB125" s="3">
        <f>(N125-Pool!$D$2)/Pool!$E$2</f>
        <v/>
      </c>
      <c r="AC125" s="3">
        <f>(O125-Pool!$D$3)/Pool!$E$3</f>
        <v/>
      </c>
      <c r="AD125" s="3">
        <f>(P125-Pool!$D$4)/Pool!$E$4</f>
        <v/>
      </c>
      <c r="AE125" s="3">
        <f>(Q125-Pool!$D$5)/Pool!$E$5</f>
        <v/>
      </c>
      <c r="AF125" s="3">
        <f>(R125-Pool!$D$6)/Pool!$E$6</f>
        <v/>
      </c>
      <c r="AG125" s="3">
        <f>(S125-Pool!$D$7)/Pool!$E$7</f>
        <v/>
      </c>
      <c r="AH125" s="3">
        <f>(AS125-Pool!$D$8)/Pool!$E$8</f>
        <v/>
      </c>
      <c r="AI125" s="3">
        <f>(AT125-Pool!$D$9)/Pool!$E$9</f>
        <v/>
      </c>
      <c r="AJ125" s="3">
        <f>-(T125-Pool!$D$10)/Pool!$E$10</f>
        <v/>
      </c>
      <c r="AL125">
        <f>MATCH(B125,'Player Data'!$A:$A,0)</f>
        <v/>
      </c>
      <c r="AM125" s="3">
        <f>1+IF(Settings!$F$10="ON",IFERROR(VLOOKUP(TRIM(F125),Settings!$D$12:$F$17,3,FALSE),0),0)</f>
        <v/>
      </c>
      <c r="AN125">
        <f>IFERROR(LEFT(C125,FIND(",",C125)-1),C125)</f>
        <v/>
      </c>
      <c r="AO125" s="6">
        <f>X125*(U125-Pool!$B$12)</f>
        <v/>
      </c>
      <c r="AP125" s="6">
        <f>Z125*(V125-Pool!$B$13)</f>
        <v/>
      </c>
      <c r="AQ125" s="3">
        <f>Settings!$B$2*(N125-Pool!$B$2)/Pool!$C$2+Settings!$B$3*(O125-Pool!$B$3)/Pool!$C$3+Settings!$B$4*(P125-Pool!$B$4)/Pool!$C$4+Settings!$B$5*(Q125-Pool!$B$5)/Pool!$C$5+Settings!$B$6*(R125-Pool!$B$6)/Pool!$C$6+Settings!$B$7*(S125-Pool!$B$7)/Pool!$C$7+Settings!$B$8*(AO125-Pool!$B$8)/Pool!$C$8+Settings!$B$9*(AP125-Pool!$B$9)/Pool!$C$9+Settings!$B$10*-(T125-Pool!$B$10)/Pool!$C$10</f>
        <v/>
      </c>
      <c r="AR125">
        <f>IF(RANK(AQ125,$AQ$2:$AQ$266)&lt;=Settings!$F$5,1,0)</f>
        <v/>
      </c>
      <c r="AS125" s="6">
        <f>X125*(U125-Pool!$D$12)</f>
        <v/>
      </c>
      <c r="AT125" s="6">
        <f>Z125*(V125-Pool!$D$13)</f>
        <v/>
      </c>
    </row>
    <row r="126">
      <c r="A126">
        <f>RANK(H126,$H$2:$H$266)</f>
        <v/>
      </c>
      <c r="B126" t="inlineStr">
        <is>
          <t>Daniel Gafford</t>
        </is>
      </c>
      <c r="C126">
        <f>INDEX('Player Data'!$C:$C,AL126)</f>
        <v/>
      </c>
      <c r="D126">
        <f>SUMPRODUCT(($AN$2:$AN$266=AN126)*($H$2:$H$266&gt;H126))+1</f>
        <v/>
      </c>
      <c r="E126">
        <f>INDEX('Player Data'!$B:$B,AL126)</f>
        <v/>
      </c>
      <c r="F126" s="2" t="n"/>
      <c r="G126" s="3">
        <f>Settings!$B$2*AB126+Settings!$B$3*AC126+Settings!$B$4*AD126+Settings!$B$5*AE126+Settings!$B$6*AF126+Settings!$B$7*AG126+Settings!$B$8*AH126+Settings!$B$9*AI126+Settings!$B$10*AJ126</f>
        <v/>
      </c>
      <c r="H126" s="3">
        <f>G126-LARGE($G$2:$G$266,Settings!$F$4)</f>
        <v/>
      </c>
      <c r="I126">
        <f>IF(INDEX('Player Data'!$R:$R,AL126)="","",INDEX('Player Data'!$R:$R,AL126))</f>
        <v/>
      </c>
      <c r="J126" s="4">
        <f>IF(I126="","",I126-A126)</f>
        <v/>
      </c>
      <c r="L126" s="5">
        <f>IF(Settings!$F$7="Yes",INDEX('Minutes &amp; Health'!$O:$O,AL126),Settings!$F$8)</f>
        <v/>
      </c>
      <c r="M126" s="6">
        <f>INDEX('Minutes &amp; Health'!$P:$P,AL126)</f>
        <v/>
      </c>
      <c r="N126" s="5">
        <f>INDEX('Player Data'!$F:$F,AL126)/INDEX('Player Data'!$E:$E,AL126)*M126*L126*AM126</f>
        <v/>
      </c>
      <c r="O126" s="5">
        <f>INDEX('Player Data'!$G:$G,AL126)/INDEX('Player Data'!$E:$E,AL126)*M126*L126*AM126</f>
        <v/>
      </c>
      <c r="P126" s="5">
        <f>INDEX('Player Data'!$H:$H,AL126)/INDEX('Player Data'!$E:$E,AL126)*M126*L126*AM126</f>
        <v/>
      </c>
      <c r="Q126" s="5">
        <f>INDEX('Player Data'!$I:$I,AL126)/INDEX('Player Data'!$E:$E,AL126)*M126*L126*AM126</f>
        <v/>
      </c>
      <c r="R126" s="5">
        <f>INDEX('Player Data'!$J:$J,AL126)/INDEX('Player Data'!$E:$E,AL126)*M126*L126*AM126</f>
        <v/>
      </c>
      <c r="S126" s="5">
        <f>INDEX('Player Data'!$K:$K,AL126)/INDEX('Player Data'!$E:$E,AL126)*M126*L126*AM126</f>
        <v/>
      </c>
      <c r="T126" s="5">
        <f>INDEX('Player Data'!$L:$L,AL126)/INDEX('Player Data'!$E:$E,AL126)*M126*L126*AM126</f>
        <v/>
      </c>
      <c r="U126" s="7">
        <f>INDEX('Player Data'!$M:$M,AL126)</f>
        <v/>
      </c>
      <c r="V126" s="7">
        <f>INDEX('Player Data'!$N:$N,AL126)</f>
        <v/>
      </c>
      <c r="W126" s="5">
        <f>X126*U126</f>
        <v/>
      </c>
      <c r="X126" s="5">
        <f>INDEX('Player Data'!$O:$O,AL126)/INDEX('Player Data'!$E:$E,AL126)*M126*L126*AM126</f>
        <v/>
      </c>
      <c r="Y126" s="5">
        <f>Z126*V126</f>
        <v/>
      </c>
      <c r="Z126" s="5">
        <f>INDEX('Player Data'!$P:$P,AL126)/INDEX('Player Data'!$E:$E,AL126)*M126*L126*AM126</f>
        <v/>
      </c>
      <c r="AB126" s="3">
        <f>(N126-Pool!$D$2)/Pool!$E$2</f>
        <v/>
      </c>
      <c r="AC126" s="3">
        <f>(O126-Pool!$D$3)/Pool!$E$3</f>
        <v/>
      </c>
      <c r="AD126" s="3">
        <f>(P126-Pool!$D$4)/Pool!$E$4</f>
        <v/>
      </c>
      <c r="AE126" s="3">
        <f>(Q126-Pool!$D$5)/Pool!$E$5</f>
        <v/>
      </c>
      <c r="AF126" s="3">
        <f>(R126-Pool!$D$6)/Pool!$E$6</f>
        <v/>
      </c>
      <c r="AG126" s="3">
        <f>(S126-Pool!$D$7)/Pool!$E$7</f>
        <v/>
      </c>
      <c r="AH126" s="3">
        <f>(AS126-Pool!$D$8)/Pool!$E$8</f>
        <v/>
      </c>
      <c r="AI126" s="3">
        <f>(AT126-Pool!$D$9)/Pool!$E$9</f>
        <v/>
      </c>
      <c r="AJ126" s="3">
        <f>-(T126-Pool!$D$10)/Pool!$E$10</f>
        <v/>
      </c>
      <c r="AL126">
        <f>MATCH(B126,'Player Data'!$A:$A,0)</f>
        <v/>
      </c>
      <c r="AM126" s="3">
        <f>1+IF(Settings!$F$10="ON",IFERROR(VLOOKUP(TRIM(F126),Settings!$D$12:$F$17,3,FALSE),0),0)</f>
        <v/>
      </c>
      <c r="AN126">
        <f>IFERROR(LEFT(C126,FIND(",",C126)-1),C126)</f>
        <v/>
      </c>
      <c r="AO126" s="6">
        <f>X126*(U126-Pool!$B$12)</f>
        <v/>
      </c>
      <c r="AP126" s="6">
        <f>Z126*(V126-Pool!$B$13)</f>
        <v/>
      </c>
      <c r="AQ126" s="3">
        <f>Settings!$B$2*(N126-Pool!$B$2)/Pool!$C$2+Settings!$B$3*(O126-Pool!$B$3)/Pool!$C$3+Settings!$B$4*(P126-Pool!$B$4)/Pool!$C$4+Settings!$B$5*(Q126-Pool!$B$5)/Pool!$C$5+Settings!$B$6*(R126-Pool!$B$6)/Pool!$C$6+Settings!$B$7*(S126-Pool!$B$7)/Pool!$C$7+Settings!$B$8*(AO126-Pool!$B$8)/Pool!$C$8+Settings!$B$9*(AP126-Pool!$B$9)/Pool!$C$9+Settings!$B$10*-(T126-Pool!$B$10)/Pool!$C$10</f>
        <v/>
      </c>
      <c r="AR126">
        <f>IF(RANK(AQ126,$AQ$2:$AQ$266)&lt;=Settings!$F$5,1,0)</f>
        <v/>
      </c>
      <c r="AS126" s="6">
        <f>X126*(U126-Pool!$D$12)</f>
        <v/>
      </c>
      <c r="AT126" s="6">
        <f>Z126*(V126-Pool!$D$13)</f>
        <v/>
      </c>
    </row>
    <row r="127">
      <c r="A127">
        <f>RANK(H127,$H$2:$H$266)</f>
        <v/>
      </c>
      <c r="B127" t="inlineStr">
        <is>
          <t>Coby White</t>
        </is>
      </c>
      <c r="C127">
        <f>INDEX('Player Data'!$C:$C,AL127)</f>
        <v/>
      </c>
      <c r="D127">
        <f>SUMPRODUCT(($AN$2:$AN$266=AN127)*($H$2:$H$266&gt;H127))+1</f>
        <v/>
      </c>
      <c r="E127">
        <f>INDEX('Player Data'!$B:$B,AL127)</f>
        <v/>
      </c>
      <c r="F127" s="2" t="n"/>
      <c r="G127" s="3">
        <f>Settings!$B$2*AB127+Settings!$B$3*AC127+Settings!$B$4*AD127+Settings!$B$5*AE127+Settings!$B$6*AF127+Settings!$B$7*AG127+Settings!$B$8*AH127+Settings!$B$9*AI127+Settings!$B$10*AJ127</f>
        <v/>
      </c>
      <c r="H127" s="3">
        <f>G127-LARGE($G$2:$G$266,Settings!$F$4)</f>
        <v/>
      </c>
      <c r="I127">
        <f>IF(INDEX('Player Data'!$R:$R,AL127)="","",INDEX('Player Data'!$R:$R,AL127))</f>
        <v/>
      </c>
      <c r="J127" s="4">
        <f>IF(I127="","",I127-A127)</f>
        <v/>
      </c>
      <c r="L127" s="5">
        <f>IF(Settings!$F$7="Yes",INDEX('Minutes &amp; Health'!$O:$O,AL127),Settings!$F$8)</f>
        <v/>
      </c>
      <c r="M127" s="6">
        <f>INDEX('Minutes &amp; Health'!$P:$P,AL127)</f>
        <v/>
      </c>
      <c r="N127" s="5">
        <f>INDEX('Player Data'!$F:$F,AL127)/INDEX('Player Data'!$E:$E,AL127)*M127*L127*AM127</f>
        <v/>
      </c>
      <c r="O127" s="5">
        <f>INDEX('Player Data'!$G:$G,AL127)/INDEX('Player Data'!$E:$E,AL127)*M127*L127*AM127</f>
        <v/>
      </c>
      <c r="P127" s="5">
        <f>INDEX('Player Data'!$H:$H,AL127)/INDEX('Player Data'!$E:$E,AL127)*M127*L127*AM127</f>
        <v/>
      </c>
      <c r="Q127" s="5">
        <f>INDEX('Player Data'!$I:$I,AL127)/INDEX('Player Data'!$E:$E,AL127)*M127*L127*AM127</f>
        <v/>
      </c>
      <c r="R127" s="5">
        <f>INDEX('Player Data'!$J:$J,AL127)/INDEX('Player Data'!$E:$E,AL127)*M127*L127*AM127</f>
        <v/>
      </c>
      <c r="S127" s="5">
        <f>INDEX('Player Data'!$K:$K,AL127)/INDEX('Player Data'!$E:$E,AL127)*M127*L127*AM127</f>
        <v/>
      </c>
      <c r="T127" s="5">
        <f>INDEX('Player Data'!$L:$L,AL127)/INDEX('Player Data'!$E:$E,AL127)*M127*L127*AM127</f>
        <v/>
      </c>
      <c r="U127" s="7">
        <f>INDEX('Player Data'!$M:$M,AL127)</f>
        <v/>
      </c>
      <c r="V127" s="7">
        <f>INDEX('Player Data'!$N:$N,AL127)</f>
        <v/>
      </c>
      <c r="W127" s="5">
        <f>X127*U127</f>
        <v/>
      </c>
      <c r="X127" s="5">
        <f>INDEX('Player Data'!$O:$O,AL127)/INDEX('Player Data'!$E:$E,AL127)*M127*L127*AM127</f>
        <v/>
      </c>
      <c r="Y127" s="5">
        <f>Z127*V127</f>
        <v/>
      </c>
      <c r="Z127" s="5">
        <f>INDEX('Player Data'!$P:$P,AL127)/INDEX('Player Data'!$E:$E,AL127)*M127*L127*AM127</f>
        <v/>
      </c>
      <c r="AB127" s="3">
        <f>(N127-Pool!$D$2)/Pool!$E$2</f>
        <v/>
      </c>
      <c r="AC127" s="3">
        <f>(O127-Pool!$D$3)/Pool!$E$3</f>
        <v/>
      </c>
      <c r="AD127" s="3">
        <f>(P127-Pool!$D$4)/Pool!$E$4</f>
        <v/>
      </c>
      <c r="AE127" s="3">
        <f>(Q127-Pool!$D$5)/Pool!$E$5</f>
        <v/>
      </c>
      <c r="AF127" s="3">
        <f>(R127-Pool!$D$6)/Pool!$E$6</f>
        <v/>
      </c>
      <c r="AG127" s="3">
        <f>(S127-Pool!$D$7)/Pool!$E$7</f>
        <v/>
      </c>
      <c r="AH127" s="3">
        <f>(AS127-Pool!$D$8)/Pool!$E$8</f>
        <v/>
      </c>
      <c r="AI127" s="3">
        <f>(AT127-Pool!$D$9)/Pool!$E$9</f>
        <v/>
      </c>
      <c r="AJ127" s="3">
        <f>-(T127-Pool!$D$10)/Pool!$E$10</f>
        <v/>
      </c>
      <c r="AL127">
        <f>MATCH(B127,'Player Data'!$A:$A,0)</f>
        <v/>
      </c>
      <c r="AM127" s="3">
        <f>1+IF(Settings!$F$10="ON",IFERROR(VLOOKUP(TRIM(F127),Settings!$D$12:$F$17,3,FALSE),0),0)</f>
        <v/>
      </c>
      <c r="AN127">
        <f>IFERROR(LEFT(C127,FIND(",",C127)-1),C127)</f>
        <v/>
      </c>
      <c r="AO127" s="6">
        <f>X127*(U127-Pool!$B$12)</f>
        <v/>
      </c>
      <c r="AP127" s="6">
        <f>Z127*(V127-Pool!$B$13)</f>
        <v/>
      </c>
      <c r="AQ127" s="3">
        <f>Settings!$B$2*(N127-Pool!$B$2)/Pool!$C$2+Settings!$B$3*(O127-Pool!$B$3)/Pool!$C$3+Settings!$B$4*(P127-Pool!$B$4)/Pool!$C$4+Settings!$B$5*(Q127-Pool!$B$5)/Pool!$C$5+Settings!$B$6*(R127-Pool!$B$6)/Pool!$C$6+Settings!$B$7*(S127-Pool!$B$7)/Pool!$C$7+Settings!$B$8*(AO127-Pool!$B$8)/Pool!$C$8+Settings!$B$9*(AP127-Pool!$B$9)/Pool!$C$9+Settings!$B$10*-(T127-Pool!$B$10)/Pool!$C$10</f>
        <v/>
      </c>
      <c r="AR127">
        <f>IF(RANK(AQ127,$AQ$2:$AQ$266)&lt;=Settings!$F$5,1,0)</f>
        <v/>
      </c>
      <c r="AS127" s="6">
        <f>X127*(U127-Pool!$D$12)</f>
        <v/>
      </c>
      <c r="AT127" s="6">
        <f>Z127*(V127-Pool!$D$13)</f>
        <v/>
      </c>
    </row>
    <row r="128">
      <c r="A128">
        <f>RANK(H128,$H$2:$H$266)</f>
        <v/>
      </c>
      <c r="B128" t="inlineStr">
        <is>
          <t>Christian Braun</t>
        </is>
      </c>
      <c r="C128">
        <f>INDEX('Player Data'!$C:$C,AL128)</f>
        <v/>
      </c>
      <c r="D128">
        <f>SUMPRODUCT(($AN$2:$AN$266=AN128)*($H$2:$H$266&gt;H128))+1</f>
        <v/>
      </c>
      <c r="E128">
        <f>INDEX('Player Data'!$B:$B,AL128)</f>
        <v/>
      </c>
      <c r="F128" s="2" t="n"/>
      <c r="G128" s="3">
        <f>Settings!$B$2*AB128+Settings!$B$3*AC128+Settings!$B$4*AD128+Settings!$B$5*AE128+Settings!$B$6*AF128+Settings!$B$7*AG128+Settings!$B$8*AH128+Settings!$B$9*AI128+Settings!$B$10*AJ128</f>
        <v/>
      </c>
      <c r="H128" s="3">
        <f>G128-LARGE($G$2:$G$266,Settings!$F$4)</f>
        <v/>
      </c>
      <c r="I128">
        <f>IF(INDEX('Player Data'!$R:$R,AL128)="","",INDEX('Player Data'!$R:$R,AL128))</f>
        <v/>
      </c>
      <c r="J128" s="4">
        <f>IF(I128="","",I128-A128)</f>
        <v/>
      </c>
      <c r="L128" s="5">
        <f>IF(Settings!$F$7="Yes",INDEX('Minutes &amp; Health'!$O:$O,AL128),Settings!$F$8)</f>
        <v/>
      </c>
      <c r="M128" s="6">
        <f>INDEX('Minutes &amp; Health'!$P:$P,AL128)</f>
        <v/>
      </c>
      <c r="N128" s="5">
        <f>INDEX('Player Data'!$F:$F,AL128)/INDEX('Player Data'!$E:$E,AL128)*M128*L128*AM128</f>
        <v/>
      </c>
      <c r="O128" s="5">
        <f>INDEX('Player Data'!$G:$G,AL128)/INDEX('Player Data'!$E:$E,AL128)*M128*L128*AM128</f>
        <v/>
      </c>
      <c r="P128" s="5">
        <f>INDEX('Player Data'!$H:$H,AL128)/INDEX('Player Data'!$E:$E,AL128)*M128*L128*AM128</f>
        <v/>
      </c>
      <c r="Q128" s="5">
        <f>INDEX('Player Data'!$I:$I,AL128)/INDEX('Player Data'!$E:$E,AL128)*M128*L128*AM128</f>
        <v/>
      </c>
      <c r="R128" s="5">
        <f>INDEX('Player Data'!$J:$J,AL128)/INDEX('Player Data'!$E:$E,AL128)*M128*L128*AM128</f>
        <v/>
      </c>
      <c r="S128" s="5">
        <f>INDEX('Player Data'!$K:$K,AL128)/INDEX('Player Data'!$E:$E,AL128)*M128*L128*AM128</f>
        <v/>
      </c>
      <c r="T128" s="5">
        <f>INDEX('Player Data'!$L:$L,AL128)/INDEX('Player Data'!$E:$E,AL128)*M128*L128*AM128</f>
        <v/>
      </c>
      <c r="U128" s="7">
        <f>INDEX('Player Data'!$M:$M,AL128)</f>
        <v/>
      </c>
      <c r="V128" s="7">
        <f>INDEX('Player Data'!$N:$N,AL128)</f>
        <v/>
      </c>
      <c r="W128" s="5">
        <f>X128*U128</f>
        <v/>
      </c>
      <c r="X128" s="5">
        <f>INDEX('Player Data'!$O:$O,AL128)/INDEX('Player Data'!$E:$E,AL128)*M128*L128*AM128</f>
        <v/>
      </c>
      <c r="Y128" s="5">
        <f>Z128*V128</f>
        <v/>
      </c>
      <c r="Z128" s="5">
        <f>INDEX('Player Data'!$P:$P,AL128)/INDEX('Player Data'!$E:$E,AL128)*M128*L128*AM128</f>
        <v/>
      </c>
      <c r="AB128" s="3">
        <f>(N128-Pool!$D$2)/Pool!$E$2</f>
        <v/>
      </c>
      <c r="AC128" s="3">
        <f>(O128-Pool!$D$3)/Pool!$E$3</f>
        <v/>
      </c>
      <c r="AD128" s="3">
        <f>(P128-Pool!$D$4)/Pool!$E$4</f>
        <v/>
      </c>
      <c r="AE128" s="3">
        <f>(Q128-Pool!$D$5)/Pool!$E$5</f>
        <v/>
      </c>
      <c r="AF128" s="3">
        <f>(R128-Pool!$D$6)/Pool!$E$6</f>
        <v/>
      </c>
      <c r="AG128" s="3">
        <f>(S128-Pool!$D$7)/Pool!$E$7</f>
        <v/>
      </c>
      <c r="AH128" s="3">
        <f>(AS128-Pool!$D$8)/Pool!$E$8</f>
        <v/>
      </c>
      <c r="AI128" s="3">
        <f>(AT128-Pool!$D$9)/Pool!$E$9</f>
        <v/>
      </c>
      <c r="AJ128" s="3">
        <f>-(T128-Pool!$D$10)/Pool!$E$10</f>
        <v/>
      </c>
      <c r="AL128">
        <f>MATCH(B128,'Player Data'!$A:$A,0)</f>
        <v/>
      </c>
      <c r="AM128" s="3">
        <f>1+IF(Settings!$F$10="ON",IFERROR(VLOOKUP(TRIM(F128),Settings!$D$12:$F$17,3,FALSE),0),0)</f>
        <v/>
      </c>
      <c r="AN128">
        <f>IFERROR(LEFT(C128,FIND(",",C128)-1),C128)</f>
        <v/>
      </c>
      <c r="AO128" s="6">
        <f>X128*(U128-Pool!$B$12)</f>
        <v/>
      </c>
      <c r="AP128" s="6">
        <f>Z128*(V128-Pool!$B$13)</f>
        <v/>
      </c>
      <c r="AQ128" s="3">
        <f>Settings!$B$2*(N128-Pool!$B$2)/Pool!$C$2+Settings!$B$3*(O128-Pool!$B$3)/Pool!$C$3+Settings!$B$4*(P128-Pool!$B$4)/Pool!$C$4+Settings!$B$5*(Q128-Pool!$B$5)/Pool!$C$5+Settings!$B$6*(R128-Pool!$B$6)/Pool!$C$6+Settings!$B$7*(S128-Pool!$B$7)/Pool!$C$7+Settings!$B$8*(AO128-Pool!$B$8)/Pool!$C$8+Settings!$B$9*(AP128-Pool!$B$9)/Pool!$C$9+Settings!$B$10*-(T128-Pool!$B$10)/Pool!$C$10</f>
        <v/>
      </c>
      <c r="AR128">
        <f>IF(RANK(AQ128,$AQ$2:$AQ$266)&lt;=Settings!$F$5,1,0)</f>
        <v/>
      </c>
      <c r="AS128" s="6">
        <f>X128*(U128-Pool!$D$12)</f>
        <v/>
      </c>
      <c r="AT128" s="6">
        <f>Z128*(V128-Pool!$D$13)</f>
        <v/>
      </c>
    </row>
    <row r="129">
      <c r="A129">
        <f>RANK(H129,$H$2:$H$266)</f>
        <v/>
      </c>
      <c r="B129" t="inlineStr">
        <is>
          <t>Quentin Grimes</t>
        </is>
      </c>
      <c r="C129">
        <f>INDEX('Player Data'!$C:$C,AL129)</f>
        <v/>
      </c>
      <c r="D129">
        <f>SUMPRODUCT(($AN$2:$AN$266=AN129)*($H$2:$H$266&gt;H129))+1</f>
        <v/>
      </c>
      <c r="E129">
        <f>INDEX('Player Data'!$B:$B,AL129)</f>
        <v/>
      </c>
      <c r="F129" s="2" t="n"/>
      <c r="G129" s="3">
        <f>Settings!$B$2*AB129+Settings!$B$3*AC129+Settings!$B$4*AD129+Settings!$B$5*AE129+Settings!$B$6*AF129+Settings!$B$7*AG129+Settings!$B$8*AH129+Settings!$B$9*AI129+Settings!$B$10*AJ129</f>
        <v/>
      </c>
      <c r="H129" s="3">
        <f>G129-LARGE($G$2:$G$266,Settings!$F$4)</f>
        <v/>
      </c>
      <c r="I129">
        <f>IF(INDEX('Player Data'!$R:$R,AL129)="","",INDEX('Player Data'!$R:$R,AL129))</f>
        <v/>
      </c>
      <c r="J129" s="4">
        <f>IF(I129="","",I129-A129)</f>
        <v/>
      </c>
      <c r="L129" s="5">
        <f>IF(Settings!$F$7="Yes",INDEX('Minutes &amp; Health'!$O:$O,AL129),Settings!$F$8)</f>
        <v/>
      </c>
      <c r="M129" s="6">
        <f>INDEX('Minutes &amp; Health'!$P:$P,AL129)</f>
        <v/>
      </c>
      <c r="N129" s="5">
        <f>INDEX('Player Data'!$F:$F,AL129)/INDEX('Player Data'!$E:$E,AL129)*M129*L129*AM129</f>
        <v/>
      </c>
      <c r="O129" s="5">
        <f>INDEX('Player Data'!$G:$G,AL129)/INDEX('Player Data'!$E:$E,AL129)*M129*L129*AM129</f>
        <v/>
      </c>
      <c r="P129" s="5">
        <f>INDEX('Player Data'!$H:$H,AL129)/INDEX('Player Data'!$E:$E,AL129)*M129*L129*AM129</f>
        <v/>
      </c>
      <c r="Q129" s="5">
        <f>INDEX('Player Data'!$I:$I,AL129)/INDEX('Player Data'!$E:$E,AL129)*M129*L129*AM129</f>
        <v/>
      </c>
      <c r="R129" s="5">
        <f>INDEX('Player Data'!$J:$J,AL129)/INDEX('Player Data'!$E:$E,AL129)*M129*L129*AM129</f>
        <v/>
      </c>
      <c r="S129" s="5">
        <f>INDEX('Player Data'!$K:$K,AL129)/INDEX('Player Data'!$E:$E,AL129)*M129*L129*AM129</f>
        <v/>
      </c>
      <c r="T129" s="5">
        <f>INDEX('Player Data'!$L:$L,AL129)/INDEX('Player Data'!$E:$E,AL129)*M129*L129*AM129</f>
        <v/>
      </c>
      <c r="U129" s="7">
        <f>INDEX('Player Data'!$M:$M,AL129)</f>
        <v/>
      </c>
      <c r="V129" s="7">
        <f>INDEX('Player Data'!$N:$N,AL129)</f>
        <v/>
      </c>
      <c r="W129" s="5">
        <f>X129*U129</f>
        <v/>
      </c>
      <c r="X129" s="5">
        <f>INDEX('Player Data'!$O:$O,AL129)/INDEX('Player Data'!$E:$E,AL129)*M129*L129*AM129</f>
        <v/>
      </c>
      <c r="Y129" s="5">
        <f>Z129*V129</f>
        <v/>
      </c>
      <c r="Z129" s="5">
        <f>INDEX('Player Data'!$P:$P,AL129)/INDEX('Player Data'!$E:$E,AL129)*M129*L129*AM129</f>
        <v/>
      </c>
      <c r="AB129" s="3">
        <f>(N129-Pool!$D$2)/Pool!$E$2</f>
        <v/>
      </c>
      <c r="AC129" s="3">
        <f>(O129-Pool!$D$3)/Pool!$E$3</f>
        <v/>
      </c>
      <c r="AD129" s="3">
        <f>(P129-Pool!$D$4)/Pool!$E$4</f>
        <v/>
      </c>
      <c r="AE129" s="3">
        <f>(Q129-Pool!$D$5)/Pool!$E$5</f>
        <v/>
      </c>
      <c r="AF129" s="3">
        <f>(R129-Pool!$D$6)/Pool!$E$6</f>
        <v/>
      </c>
      <c r="AG129" s="3">
        <f>(S129-Pool!$D$7)/Pool!$E$7</f>
        <v/>
      </c>
      <c r="AH129" s="3">
        <f>(AS129-Pool!$D$8)/Pool!$E$8</f>
        <v/>
      </c>
      <c r="AI129" s="3">
        <f>(AT129-Pool!$D$9)/Pool!$E$9</f>
        <v/>
      </c>
      <c r="AJ129" s="3">
        <f>-(T129-Pool!$D$10)/Pool!$E$10</f>
        <v/>
      </c>
      <c r="AL129">
        <f>MATCH(B129,'Player Data'!$A:$A,0)</f>
        <v/>
      </c>
      <c r="AM129" s="3">
        <f>1+IF(Settings!$F$10="ON",IFERROR(VLOOKUP(TRIM(F129),Settings!$D$12:$F$17,3,FALSE),0),0)</f>
        <v/>
      </c>
      <c r="AN129">
        <f>IFERROR(LEFT(C129,FIND(",",C129)-1),C129)</f>
        <v/>
      </c>
      <c r="AO129" s="6">
        <f>X129*(U129-Pool!$B$12)</f>
        <v/>
      </c>
      <c r="AP129" s="6">
        <f>Z129*(V129-Pool!$B$13)</f>
        <v/>
      </c>
      <c r="AQ129" s="3">
        <f>Settings!$B$2*(N129-Pool!$B$2)/Pool!$C$2+Settings!$B$3*(O129-Pool!$B$3)/Pool!$C$3+Settings!$B$4*(P129-Pool!$B$4)/Pool!$C$4+Settings!$B$5*(Q129-Pool!$B$5)/Pool!$C$5+Settings!$B$6*(R129-Pool!$B$6)/Pool!$C$6+Settings!$B$7*(S129-Pool!$B$7)/Pool!$C$7+Settings!$B$8*(AO129-Pool!$B$8)/Pool!$C$8+Settings!$B$9*(AP129-Pool!$B$9)/Pool!$C$9+Settings!$B$10*-(T129-Pool!$B$10)/Pool!$C$10</f>
        <v/>
      </c>
      <c r="AR129">
        <f>IF(RANK(AQ129,$AQ$2:$AQ$266)&lt;=Settings!$F$5,1,0)</f>
        <v/>
      </c>
      <c r="AS129" s="6">
        <f>X129*(U129-Pool!$D$12)</f>
        <v/>
      </c>
      <c r="AT129" s="6">
        <f>Z129*(V129-Pool!$D$13)</f>
        <v/>
      </c>
    </row>
    <row r="130">
      <c r="A130">
        <f>RANK(H130,$H$2:$H$266)</f>
        <v/>
      </c>
      <c r="B130" t="inlineStr">
        <is>
          <t>Aaron Nesmith</t>
        </is>
      </c>
      <c r="C130">
        <f>INDEX('Player Data'!$C:$C,AL130)</f>
        <v/>
      </c>
      <c r="D130">
        <f>SUMPRODUCT(($AN$2:$AN$266=AN130)*($H$2:$H$266&gt;H130))+1</f>
        <v/>
      </c>
      <c r="E130">
        <f>INDEX('Player Data'!$B:$B,AL130)</f>
        <v/>
      </c>
      <c r="F130" s="2" t="n"/>
      <c r="G130" s="3">
        <f>Settings!$B$2*AB130+Settings!$B$3*AC130+Settings!$B$4*AD130+Settings!$B$5*AE130+Settings!$B$6*AF130+Settings!$B$7*AG130+Settings!$B$8*AH130+Settings!$B$9*AI130+Settings!$B$10*AJ130</f>
        <v/>
      </c>
      <c r="H130" s="3">
        <f>G130-LARGE($G$2:$G$266,Settings!$F$4)</f>
        <v/>
      </c>
      <c r="I130">
        <f>IF(INDEX('Player Data'!$R:$R,AL130)="","",INDEX('Player Data'!$R:$R,AL130))</f>
        <v/>
      </c>
      <c r="J130" s="4">
        <f>IF(I130="","",I130-A130)</f>
        <v/>
      </c>
      <c r="L130" s="5">
        <f>IF(Settings!$F$7="Yes",INDEX('Minutes &amp; Health'!$O:$O,AL130),Settings!$F$8)</f>
        <v/>
      </c>
      <c r="M130" s="6">
        <f>INDEX('Minutes &amp; Health'!$P:$P,AL130)</f>
        <v/>
      </c>
      <c r="N130" s="5">
        <f>INDEX('Player Data'!$F:$F,AL130)/INDEX('Player Data'!$E:$E,AL130)*M130*L130*AM130</f>
        <v/>
      </c>
      <c r="O130" s="5">
        <f>INDEX('Player Data'!$G:$G,AL130)/INDEX('Player Data'!$E:$E,AL130)*M130*L130*AM130</f>
        <v/>
      </c>
      <c r="P130" s="5">
        <f>INDEX('Player Data'!$H:$H,AL130)/INDEX('Player Data'!$E:$E,AL130)*M130*L130*AM130</f>
        <v/>
      </c>
      <c r="Q130" s="5">
        <f>INDEX('Player Data'!$I:$I,AL130)/INDEX('Player Data'!$E:$E,AL130)*M130*L130*AM130</f>
        <v/>
      </c>
      <c r="R130" s="5">
        <f>INDEX('Player Data'!$J:$J,AL130)/INDEX('Player Data'!$E:$E,AL130)*M130*L130*AM130</f>
        <v/>
      </c>
      <c r="S130" s="5">
        <f>INDEX('Player Data'!$K:$K,AL130)/INDEX('Player Data'!$E:$E,AL130)*M130*L130*AM130</f>
        <v/>
      </c>
      <c r="T130" s="5">
        <f>INDEX('Player Data'!$L:$L,AL130)/INDEX('Player Data'!$E:$E,AL130)*M130*L130*AM130</f>
        <v/>
      </c>
      <c r="U130" s="7">
        <f>INDEX('Player Data'!$M:$M,AL130)</f>
        <v/>
      </c>
      <c r="V130" s="7">
        <f>INDEX('Player Data'!$N:$N,AL130)</f>
        <v/>
      </c>
      <c r="W130" s="5">
        <f>X130*U130</f>
        <v/>
      </c>
      <c r="X130" s="5">
        <f>INDEX('Player Data'!$O:$O,AL130)/INDEX('Player Data'!$E:$E,AL130)*M130*L130*AM130</f>
        <v/>
      </c>
      <c r="Y130" s="5">
        <f>Z130*V130</f>
        <v/>
      </c>
      <c r="Z130" s="5">
        <f>INDEX('Player Data'!$P:$P,AL130)/INDEX('Player Data'!$E:$E,AL130)*M130*L130*AM130</f>
        <v/>
      </c>
      <c r="AB130" s="3">
        <f>(N130-Pool!$D$2)/Pool!$E$2</f>
        <v/>
      </c>
      <c r="AC130" s="3">
        <f>(O130-Pool!$D$3)/Pool!$E$3</f>
        <v/>
      </c>
      <c r="AD130" s="3">
        <f>(P130-Pool!$D$4)/Pool!$E$4</f>
        <v/>
      </c>
      <c r="AE130" s="3">
        <f>(Q130-Pool!$D$5)/Pool!$E$5</f>
        <v/>
      </c>
      <c r="AF130" s="3">
        <f>(R130-Pool!$D$6)/Pool!$E$6</f>
        <v/>
      </c>
      <c r="AG130" s="3">
        <f>(S130-Pool!$D$7)/Pool!$E$7</f>
        <v/>
      </c>
      <c r="AH130" s="3">
        <f>(AS130-Pool!$D$8)/Pool!$E$8</f>
        <v/>
      </c>
      <c r="AI130" s="3">
        <f>(AT130-Pool!$D$9)/Pool!$E$9</f>
        <v/>
      </c>
      <c r="AJ130" s="3">
        <f>-(T130-Pool!$D$10)/Pool!$E$10</f>
        <v/>
      </c>
      <c r="AL130">
        <f>MATCH(B130,'Player Data'!$A:$A,0)</f>
        <v/>
      </c>
      <c r="AM130" s="3">
        <f>1+IF(Settings!$F$10="ON",IFERROR(VLOOKUP(TRIM(F130),Settings!$D$12:$F$17,3,FALSE),0),0)</f>
        <v/>
      </c>
      <c r="AN130">
        <f>IFERROR(LEFT(C130,FIND(",",C130)-1),C130)</f>
        <v/>
      </c>
      <c r="AO130" s="6">
        <f>X130*(U130-Pool!$B$12)</f>
        <v/>
      </c>
      <c r="AP130" s="6">
        <f>Z130*(V130-Pool!$B$13)</f>
        <v/>
      </c>
      <c r="AQ130" s="3">
        <f>Settings!$B$2*(N130-Pool!$B$2)/Pool!$C$2+Settings!$B$3*(O130-Pool!$B$3)/Pool!$C$3+Settings!$B$4*(P130-Pool!$B$4)/Pool!$C$4+Settings!$B$5*(Q130-Pool!$B$5)/Pool!$C$5+Settings!$B$6*(R130-Pool!$B$6)/Pool!$C$6+Settings!$B$7*(S130-Pool!$B$7)/Pool!$C$7+Settings!$B$8*(AO130-Pool!$B$8)/Pool!$C$8+Settings!$B$9*(AP130-Pool!$B$9)/Pool!$C$9+Settings!$B$10*-(T130-Pool!$B$10)/Pool!$C$10</f>
        <v/>
      </c>
      <c r="AR130">
        <f>IF(RANK(AQ130,$AQ$2:$AQ$266)&lt;=Settings!$F$5,1,0)</f>
        <v/>
      </c>
      <c r="AS130" s="6">
        <f>X130*(U130-Pool!$D$12)</f>
        <v/>
      </c>
      <c r="AT130" s="6">
        <f>Z130*(V130-Pool!$D$13)</f>
        <v/>
      </c>
    </row>
    <row r="131">
      <c r="A131">
        <f>RANK(H131,$H$2:$H$266)</f>
        <v/>
      </c>
      <c r="B131" t="inlineStr">
        <is>
          <t>Aaron Gordon</t>
        </is>
      </c>
      <c r="C131">
        <f>INDEX('Player Data'!$C:$C,AL131)</f>
        <v/>
      </c>
      <c r="D131">
        <f>SUMPRODUCT(($AN$2:$AN$266=AN131)*($H$2:$H$266&gt;H131))+1</f>
        <v/>
      </c>
      <c r="E131">
        <f>INDEX('Player Data'!$B:$B,AL131)</f>
        <v/>
      </c>
      <c r="F131" s="2" t="n"/>
      <c r="G131" s="3">
        <f>Settings!$B$2*AB131+Settings!$B$3*AC131+Settings!$B$4*AD131+Settings!$B$5*AE131+Settings!$B$6*AF131+Settings!$B$7*AG131+Settings!$B$8*AH131+Settings!$B$9*AI131+Settings!$B$10*AJ131</f>
        <v/>
      </c>
      <c r="H131" s="3">
        <f>G131-LARGE($G$2:$G$266,Settings!$F$4)</f>
        <v/>
      </c>
      <c r="I131">
        <f>IF(INDEX('Player Data'!$R:$R,AL131)="","",INDEX('Player Data'!$R:$R,AL131))</f>
        <v/>
      </c>
      <c r="J131" s="4">
        <f>IF(I131="","",I131-A131)</f>
        <v/>
      </c>
      <c r="L131" s="5">
        <f>IF(Settings!$F$7="Yes",INDEX('Minutes &amp; Health'!$O:$O,AL131),Settings!$F$8)</f>
        <v/>
      </c>
      <c r="M131" s="6">
        <f>INDEX('Minutes &amp; Health'!$P:$P,AL131)</f>
        <v/>
      </c>
      <c r="N131" s="5">
        <f>INDEX('Player Data'!$F:$F,AL131)/INDEX('Player Data'!$E:$E,AL131)*M131*L131*AM131</f>
        <v/>
      </c>
      <c r="O131" s="5">
        <f>INDEX('Player Data'!$G:$G,AL131)/INDEX('Player Data'!$E:$E,AL131)*M131*L131*AM131</f>
        <v/>
      </c>
      <c r="P131" s="5">
        <f>INDEX('Player Data'!$H:$H,AL131)/INDEX('Player Data'!$E:$E,AL131)*M131*L131*AM131</f>
        <v/>
      </c>
      <c r="Q131" s="5">
        <f>INDEX('Player Data'!$I:$I,AL131)/INDEX('Player Data'!$E:$E,AL131)*M131*L131*AM131</f>
        <v/>
      </c>
      <c r="R131" s="5">
        <f>INDEX('Player Data'!$J:$J,AL131)/INDEX('Player Data'!$E:$E,AL131)*M131*L131*AM131</f>
        <v/>
      </c>
      <c r="S131" s="5">
        <f>INDEX('Player Data'!$K:$K,AL131)/INDEX('Player Data'!$E:$E,AL131)*M131*L131*AM131</f>
        <v/>
      </c>
      <c r="T131" s="5">
        <f>INDEX('Player Data'!$L:$L,AL131)/INDEX('Player Data'!$E:$E,AL131)*M131*L131*AM131</f>
        <v/>
      </c>
      <c r="U131" s="7">
        <f>INDEX('Player Data'!$M:$M,AL131)</f>
        <v/>
      </c>
      <c r="V131" s="7">
        <f>INDEX('Player Data'!$N:$N,AL131)</f>
        <v/>
      </c>
      <c r="W131" s="5">
        <f>X131*U131</f>
        <v/>
      </c>
      <c r="X131" s="5">
        <f>INDEX('Player Data'!$O:$O,AL131)/INDEX('Player Data'!$E:$E,AL131)*M131*L131*AM131</f>
        <v/>
      </c>
      <c r="Y131" s="5">
        <f>Z131*V131</f>
        <v/>
      </c>
      <c r="Z131" s="5">
        <f>INDEX('Player Data'!$P:$P,AL131)/INDEX('Player Data'!$E:$E,AL131)*M131*L131*AM131</f>
        <v/>
      </c>
      <c r="AB131" s="3">
        <f>(N131-Pool!$D$2)/Pool!$E$2</f>
        <v/>
      </c>
      <c r="AC131" s="3">
        <f>(O131-Pool!$D$3)/Pool!$E$3</f>
        <v/>
      </c>
      <c r="AD131" s="3">
        <f>(P131-Pool!$D$4)/Pool!$E$4</f>
        <v/>
      </c>
      <c r="AE131" s="3">
        <f>(Q131-Pool!$D$5)/Pool!$E$5</f>
        <v/>
      </c>
      <c r="AF131" s="3">
        <f>(R131-Pool!$D$6)/Pool!$E$6</f>
        <v/>
      </c>
      <c r="AG131" s="3">
        <f>(S131-Pool!$D$7)/Pool!$E$7</f>
        <v/>
      </c>
      <c r="AH131" s="3">
        <f>(AS131-Pool!$D$8)/Pool!$E$8</f>
        <v/>
      </c>
      <c r="AI131" s="3">
        <f>(AT131-Pool!$D$9)/Pool!$E$9</f>
        <v/>
      </c>
      <c r="AJ131" s="3">
        <f>-(T131-Pool!$D$10)/Pool!$E$10</f>
        <v/>
      </c>
      <c r="AL131">
        <f>MATCH(B131,'Player Data'!$A:$A,0)</f>
        <v/>
      </c>
      <c r="AM131" s="3">
        <f>1+IF(Settings!$F$10="ON",IFERROR(VLOOKUP(TRIM(F131),Settings!$D$12:$F$17,3,FALSE),0),0)</f>
        <v/>
      </c>
      <c r="AN131">
        <f>IFERROR(LEFT(C131,FIND(",",C131)-1),C131)</f>
        <v/>
      </c>
      <c r="AO131" s="6">
        <f>X131*(U131-Pool!$B$12)</f>
        <v/>
      </c>
      <c r="AP131" s="6">
        <f>Z131*(V131-Pool!$B$13)</f>
        <v/>
      </c>
      <c r="AQ131" s="3">
        <f>Settings!$B$2*(N131-Pool!$B$2)/Pool!$C$2+Settings!$B$3*(O131-Pool!$B$3)/Pool!$C$3+Settings!$B$4*(P131-Pool!$B$4)/Pool!$C$4+Settings!$B$5*(Q131-Pool!$B$5)/Pool!$C$5+Settings!$B$6*(R131-Pool!$B$6)/Pool!$C$6+Settings!$B$7*(S131-Pool!$B$7)/Pool!$C$7+Settings!$B$8*(AO131-Pool!$B$8)/Pool!$C$8+Settings!$B$9*(AP131-Pool!$B$9)/Pool!$C$9+Settings!$B$10*-(T131-Pool!$B$10)/Pool!$C$10</f>
        <v/>
      </c>
      <c r="AR131">
        <f>IF(RANK(AQ131,$AQ$2:$AQ$266)&lt;=Settings!$F$5,1,0)</f>
        <v/>
      </c>
      <c r="AS131" s="6">
        <f>X131*(U131-Pool!$D$12)</f>
        <v/>
      </c>
      <c r="AT131" s="6">
        <f>Z131*(V131-Pool!$D$13)</f>
        <v/>
      </c>
    </row>
    <row r="132">
      <c r="A132">
        <f>RANK(H132,$H$2:$H$266)</f>
        <v/>
      </c>
      <c r="B132" t="inlineStr">
        <is>
          <t>Max Christie</t>
        </is>
      </c>
      <c r="C132">
        <f>INDEX('Player Data'!$C:$C,AL132)</f>
        <v/>
      </c>
      <c r="D132">
        <f>SUMPRODUCT(($AN$2:$AN$266=AN132)*($H$2:$H$266&gt;H132))+1</f>
        <v/>
      </c>
      <c r="E132">
        <f>INDEX('Player Data'!$B:$B,AL132)</f>
        <v/>
      </c>
      <c r="F132" s="2" t="n"/>
      <c r="G132" s="3">
        <f>Settings!$B$2*AB132+Settings!$B$3*AC132+Settings!$B$4*AD132+Settings!$B$5*AE132+Settings!$B$6*AF132+Settings!$B$7*AG132+Settings!$B$8*AH132+Settings!$B$9*AI132+Settings!$B$10*AJ132</f>
        <v/>
      </c>
      <c r="H132" s="3">
        <f>G132-LARGE($G$2:$G$266,Settings!$F$4)</f>
        <v/>
      </c>
      <c r="I132">
        <f>IF(INDEX('Player Data'!$R:$R,AL132)="","",INDEX('Player Data'!$R:$R,AL132))</f>
        <v/>
      </c>
      <c r="J132" s="4">
        <f>IF(I132="","",I132-A132)</f>
        <v/>
      </c>
      <c r="L132" s="5">
        <f>IF(Settings!$F$7="Yes",INDEX('Minutes &amp; Health'!$O:$O,AL132),Settings!$F$8)</f>
        <v/>
      </c>
      <c r="M132" s="6">
        <f>INDEX('Minutes &amp; Health'!$P:$P,AL132)</f>
        <v/>
      </c>
      <c r="N132" s="5">
        <f>INDEX('Player Data'!$F:$F,AL132)/INDEX('Player Data'!$E:$E,AL132)*M132*L132*AM132</f>
        <v/>
      </c>
      <c r="O132" s="5">
        <f>INDEX('Player Data'!$G:$G,AL132)/INDEX('Player Data'!$E:$E,AL132)*M132*L132*AM132</f>
        <v/>
      </c>
      <c r="P132" s="5">
        <f>INDEX('Player Data'!$H:$H,AL132)/INDEX('Player Data'!$E:$E,AL132)*M132*L132*AM132</f>
        <v/>
      </c>
      <c r="Q132" s="5">
        <f>INDEX('Player Data'!$I:$I,AL132)/INDEX('Player Data'!$E:$E,AL132)*M132*L132*AM132</f>
        <v/>
      </c>
      <c r="R132" s="5">
        <f>INDEX('Player Data'!$J:$J,AL132)/INDEX('Player Data'!$E:$E,AL132)*M132*L132*AM132</f>
        <v/>
      </c>
      <c r="S132" s="5">
        <f>INDEX('Player Data'!$K:$K,AL132)/INDEX('Player Data'!$E:$E,AL132)*M132*L132*AM132</f>
        <v/>
      </c>
      <c r="T132" s="5">
        <f>INDEX('Player Data'!$L:$L,AL132)/INDEX('Player Data'!$E:$E,AL132)*M132*L132*AM132</f>
        <v/>
      </c>
      <c r="U132" s="7">
        <f>INDEX('Player Data'!$M:$M,AL132)</f>
        <v/>
      </c>
      <c r="V132" s="7">
        <f>INDEX('Player Data'!$N:$N,AL132)</f>
        <v/>
      </c>
      <c r="W132" s="5">
        <f>X132*U132</f>
        <v/>
      </c>
      <c r="X132" s="5">
        <f>INDEX('Player Data'!$O:$O,AL132)/INDEX('Player Data'!$E:$E,AL132)*M132*L132*AM132</f>
        <v/>
      </c>
      <c r="Y132" s="5">
        <f>Z132*V132</f>
        <v/>
      </c>
      <c r="Z132" s="5">
        <f>INDEX('Player Data'!$P:$P,AL132)/INDEX('Player Data'!$E:$E,AL132)*M132*L132*AM132</f>
        <v/>
      </c>
      <c r="AB132" s="3">
        <f>(N132-Pool!$D$2)/Pool!$E$2</f>
        <v/>
      </c>
      <c r="AC132" s="3">
        <f>(O132-Pool!$D$3)/Pool!$E$3</f>
        <v/>
      </c>
      <c r="AD132" s="3">
        <f>(P132-Pool!$D$4)/Pool!$E$4</f>
        <v/>
      </c>
      <c r="AE132" s="3">
        <f>(Q132-Pool!$D$5)/Pool!$E$5</f>
        <v/>
      </c>
      <c r="AF132" s="3">
        <f>(R132-Pool!$D$6)/Pool!$E$6</f>
        <v/>
      </c>
      <c r="AG132" s="3">
        <f>(S132-Pool!$D$7)/Pool!$E$7</f>
        <v/>
      </c>
      <c r="AH132" s="3">
        <f>(AS132-Pool!$D$8)/Pool!$E$8</f>
        <v/>
      </c>
      <c r="AI132" s="3">
        <f>(AT132-Pool!$D$9)/Pool!$E$9</f>
        <v/>
      </c>
      <c r="AJ132" s="3">
        <f>-(T132-Pool!$D$10)/Pool!$E$10</f>
        <v/>
      </c>
      <c r="AL132">
        <f>MATCH(B132,'Player Data'!$A:$A,0)</f>
        <v/>
      </c>
      <c r="AM132" s="3">
        <f>1+IF(Settings!$F$10="ON",IFERROR(VLOOKUP(TRIM(F132),Settings!$D$12:$F$17,3,FALSE),0),0)</f>
        <v/>
      </c>
      <c r="AN132">
        <f>IFERROR(LEFT(C132,FIND(",",C132)-1),C132)</f>
        <v/>
      </c>
      <c r="AO132" s="6">
        <f>X132*(U132-Pool!$B$12)</f>
        <v/>
      </c>
      <c r="AP132" s="6">
        <f>Z132*(V132-Pool!$B$13)</f>
        <v/>
      </c>
      <c r="AQ132" s="3">
        <f>Settings!$B$2*(N132-Pool!$B$2)/Pool!$C$2+Settings!$B$3*(O132-Pool!$B$3)/Pool!$C$3+Settings!$B$4*(P132-Pool!$B$4)/Pool!$C$4+Settings!$B$5*(Q132-Pool!$B$5)/Pool!$C$5+Settings!$B$6*(R132-Pool!$B$6)/Pool!$C$6+Settings!$B$7*(S132-Pool!$B$7)/Pool!$C$7+Settings!$B$8*(AO132-Pool!$B$8)/Pool!$C$8+Settings!$B$9*(AP132-Pool!$B$9)/Pool!$C$9+Settings!$B$10*-(T132-Pool!$B$10)/Pool!$C$10</f>
        <v/>
      </c>
      <c r="AR132">
        <f>IF(RANK(AQ132,$AQ$2:$AQ$266)&lt;=Settings!$F$5,1,0)</f>
        <v/>
      </c>
      <c r="AS132" s="6">
        <f>X132*(U132-Pool!$D$12)</f>
        <v/>
      </c>
      <c r="AT132" s="6">
        <f>Z132*(V132-Pool!$D$13)</f>
        <v/>
      </c>
    </row>
    <row r="133">
      <c r="A133">
        <f>RANK(H133,$H$2:$H$266)</f>
        <v/>
      </c>
      <c r="B133" t="inlineStr">
        <is>
          <t>Collin Sexton</t>
        </is>
      </c>
      <c r="C133">
        <f>INDEX('Player Data'!$C:$C,AL133)</f>
        <v/>
      </c>
      <c r="D133">
        <f>SUMPRODUCT(($AN$2:$AN$266=AN133)*($H$2:$H$266&gt;H133))+1</f>
        <v/>
      </c>
      <c r="E133">
        <f>INDEX('Player Data'!$B:$B,AL133)</f>
        <v/>
      </c>
      <c r="F133" s="2" t="n"/>
      <c r="G133" s="3">
        <f>Settings!$B$2*AB133+Settings!$B$3*AC133+Settings!$B$4*AD133+Settings!$B$5*AE133+Settings!$B$6*AF133+Settings!$B$7*AG133+Settings!$B$8*AH133+Settings!$B$9*AI133+Settings!$B$10*AJ133</f>
        <v/>
      </c>
      <c r="H133" s="3">
        <f>G133-LARGE($G$2:$G$266,Settings!$F$4)</f>
        <v/>
      </c>
      <c r="I133">
        <f>IF(INDEX('Player Data'!$R:$R,AL133)="","",INDEX('Player Data'!$R:$R,AL133))</f>
        <v/>
      </c>
      <c r="J133" s="4">
        <f>IF(I133="","",I133-A133)</f>
        <v/>
      </c>
      <c r="L133" s="5">
        <f>IF(Settings!$F$7="Yes",INDEX('Minutes &amp; Health'!$O:$O,AL133),Settings!$F$8)</f>
        <v/>
      </c>
      <c r="M133" s="6">
        <f>INDEX('Minutes &amp; Health'!$P:$P,AL133)</f>
        <v/>
      </c>
      <c r="N133" s="5">
        <f>INDEX('Player Data'!$F:$F,AL133)/INDEX('Player Data'!$E:$E,AL133)*M133*L133*AM133</f>
        <v/>
      </c>
      <c r="O133" s="5">
        <f>INDEX('Player Data'!$G:$G,AL133)/INDEX('Player Data'!$E:$E,AL133)*M133*L133*AM133</f>
        <v/>
      </c>
      <c r="P133" s="5">
        <f>INDEX('Player Data'!$H:$H,AL133)/INDEX('Player Data'!$E:$E,AL133)*M133*L133*AM133</f>
        <v/>
      </c>
      <c r="Q133" s="5">
        <f>INDEX('Player Data'!$I:$I,AL133)/INDEX('Player Data'!$E:$E,AL133)*M133*L133*AM133</f>
        <v/>
      </c>
      <c r="R133" s="5">
        <f>INDEX('Player Data'!$J:$J,AL133)/INDEX('Player Data'!$E:$E,AL133)*M133*L133*AM133</f>
        <v/>
      </c>
      <c r="S133" s="5">
        <f>INDEX('Player Data'!$K:$K,AL133)/INDEX('Player Data'!$E:$E,AL133)*M133*L133*AM133</f>
        <v/>
      </c>
      <c r="T133" s="5">
        <f>INDEX('Player Data'!$L:$L,AL133)/INDEX('Player Data'!$E:$E,AL133)*M133*L133*AM133</f>
        <v/>
      </c>
      <c r="U133" s="7">
        <f>INDEX('Player Data'!$M:$M,AL133)</f>
        <v/>
      </c>
      <c r="V133" s="7">
        <f>INDEX('Player Data'!$N:$N,AL133)</f>
        <v/>
      </c>
      <c r="W133" s="5">
        <f>X133*U133</f>
        <v/>
      </c>
      <c r="X133" s="5">
        <f>INDEX('Player Data'!$O:$O,AL133)/INDEX('Player Data'!$E:$E,AL133)*M133*L133*AM133</f>
        <v/>
      </c>
      <c r="Y133" s="5">
        <f>Z133*V133</f>
        <v/>
      </c>
      <c r="Z133" s="5">
        <f>INDEX('Player Data'!$P:$P,AL133)/INDEX('Player Data'!$E:$E,AL133)*M133*L133*AM133</f>
        <v/>
      </c>
      <c r="AB133" s="3">
        <f>(N133-Pool!$D$2)/Pool!$E$2</f>
        <v/>
      </c>
      <c r="AC133" s="3">
        <f>(O133-Pool!$D$3)/Pool!$E$3</f>
        <v/>
      </c>
      <c r="AD133" s="3">
        <f>(P133-Pool!$D$4)/Pool!$E$4</f>
        <v/>
      </c>
      <c r="AE133" s="3">
        <f>(Q133-Pool!$D$5)/Pool!$E$5</f>
        <v/>
      </c>
      <c r="AF133" s="3">
        <f>(R133-Pool!$D$6)/Pool!$E$6</f>
        <v/>
      </c>
      <c r="AG133" s="3">
        <f>(S133-Pool!$D$7)/Pool!$E$7</f>
        <v/>
      </c>
      <c r="AH133" s="3">
        <f>(AS133-Pool!$D$8)/Pool!$E$8</f>
        <v/>
      </c>
      <c r="AI133" s="3">
        <f>(AT133-Pool!$D$9)/Pool!$E$9</f>
        <v/>
      </c>
      <c r="AJ133" s="3">
        <f>-(T133-Pool!$D$10)/Pool!$E$10</f>
        <v/>
      </c>
      <c r="AL133">
        <f>MATCH(B133,'Player Data'!$A:$A,0)</f>
        <v/>
      </c>
      <c r="AM133" s="3">
        <f>1+IF(Settings!$F$10="ON",IFERROR(VLOOKUP(TRIM(F133),Settings!$D$12:$F$17,3,FALSE),0),0)</f>
        <v/>
      </c>
      <c r="AN133">
        <f>IFERROR(LEFT(C133,FIND(",",C133)-1),C133)</f>
        <v/>
      </c>
      <c r="AO133" s="6">
        <f>X133*(U133-Pool!$B$12)</f>
        <v/>
      </c>
      <c r="AP133" s="6">
        <f>Z133*(V133-Pool!$B$13)</f>
        <v/>
      </c>
      <c r="AQ133" s="3">
        <f>Settings!$B$2*(N133-Pool!$B$2)/Pool!$C$2+Settings!$B$3*(O133-Pool!$B$3)/Pool!$C$3+Settings!$B$4*(P133-Pool!$B$4)/Pool!$C$4+Settings!$B$5*(Q133-Pool!$B$5)/Pool!$C$5+Settings!$B$6*(R133-Pool!$B$6)/Pool!$C$6+Settings!$B$7*(S133-Pool!$B$7)/Pool!$C$7+Settings!$B$8*(AO133-Pool!$B$8)/Pool!$C$8+Settings!$B$9*(AP133-Pool!$B$9)/Pool!$C$9+Settings!$B$10*-(T133-Pool!$B$10)/Pool!$C$10</f>
        <v/>
      </c>
      <c r="AR133">
        <f>IF(RANK(AQ133,$AQ$2:$AQ$266)&lt;=Settings!$F$5,1,0)</f>
        <v/>
      </c>
      <c r="AS133" s="6">
        <f>X133*(U133-Pool!$D$12)</f>
        <v/>
      </c>
      <c r="AT133" s="6">
        <f>Z133*(V133-Pool!$D$13)</f>
        <v/>
      </c>
    </row>
    <row r="134">
      <c r="A134">
        <f>RANK(H134,$H$2:$H$266)</f>
        <v/>
      </c>
      <c r="B134" t="inlineStr">
        <is>
          <t>Keaton Wagler</t>
        </is>
      </c>
      <c r="C134">
        <f>INDEX('Player Data'!$C:$C,AL134)</f>
        <v/>
      </c>
      <c r="D134">
        <f>SUMPRODUCT(($AN$2:$AN$266=AN134)*($H$2:$H$266&gt;H134))+1</f>
        <v/>
      </c>
      <c r="E134">
        <f>INDEX('Player Data'!$B:$B,AL134)</f>
        <v/>
      </c>
      <c r="F134" s="2" t="n"/>
      <c r="G134" s="3">
        <f>Settings!$B$2*AB134+Settings!$B$3*AC134+Settings!$B$4*AD134+Settings!$B$5*AE134+Settings!$B$6*AF134+Settings!$B$7*AG134+Settings!$B$8*AH134+Settings!$B$9*AI134+Settings!$B$10*AJ134</f>
        <v/>
      </c>
      <c r="H134" s="3">
        <f>G134-LARGE($G$2:$G$266,Settings!$F$4)</f>
        <v/>
      </c>
      <c r="I134">
        <f>IF(INDEX('Player Data'!$R:$R,AL134)="","",INDEX('Player Data'!$R:$R,AL134))</f>
        <v/>
      </c>
      <c r="J134" s="4">
        <f>IF(I134="","",I134-A134)</f>
        <v/>
      </c>
      <c r="L134" s="5">
        <f>IF(Settings!$F$7="Yes",INDEX('Minutes &amp; Health'!$O:$O,AL134),Settings!$F$8)</f>
        <v/>
      </c>
      <c r="M134" s="6">
        <f>INDEX('Minutes &amp; Health'!$P:$P,AL134)</f>
        <v/>
      </c>
      <c r="N134" s="5">
        <f>INDEX('Player Data'!$F:$F,AL134)/INDEX('Player Data'!$E:$E,AL134)*M134*L134*AM134</f>
        <v/>
      </c>
      <c r="O134" s="5">
        <f>INDEX('Player Data'!$G:$G,AL134)/INDEX('Player Data'!$E:$E,AL134)*M134*L134*AM134</f>
        <v/>
      </c>
      <c r="P134" s="5">
        <f>INDEX('Player Data'!$H:$H,AL134)/INDEX('Player Data'!$E:$E,AL134)*M134*L134*AM134</f>
        <v/>
      </c>
      <c r="Q134" s="5">
        <f>INDEX('Player Data'!$I:$I,AL134)/INDEX('Player Data'!$E:$E,AL134)*M134*L134*AM134</f>
        <v/>
      </c>
      <c r="R134" s="5">
        <f>INDEX('Player Data'!$J:$J,AL134)/INDEX('Player Data'!$E:$E,AL134)*M134*L134*AM134</f>
        <v/>
      </c>
      <c r="S134" s="5">
        <f>INDEX('Player Data'!$K:$K,AL134)/INDEX('Player Data'!$E:$E,AL134)*M134*L134*AM134</f>
        <v/>
      </c>
      <c r="T134" s="5">
        <f>INDEX('Player Data'!$L:$L,AL134)/INDEX('Player Data'!$E:$E,AL134)*M134*L134*AM134</f>
        <v/>
      </c>
      <c r="U134" s="7">
        <f>INDEX('Player Data'!$M:$M,AL134)</f>
        <v/>
      </c>
      <c r="V134" s="7">
        <f>INDEX('Player Data'!$N:$N,AL134)</f>
        <v/>
      </c>
      <c r="W134" s="5">
        <f>X134*U134</f>
        <v/>
      </c>
      <c r="X134" s="5">
        <f>INDEX('Player Data'!$O:$O,AL134)/INDEX('Player Data'!$E:$E,AL134)*M134*L134*AM134</f>
        <v/>
      </c>
      <c r="Y134" s="5">
        <f>Z134*V134</f>
        <v/>
      </c>
      <c r="Z134" s="5">
        <f>INDEX('Player Data'!$P:$P,AL134)/INDEX('Player Data'!$E:$E,AL134)*M134*L134*AM134</f>
        <v/>
      </c>
      <c r="AB134" s="3">
        <f>(N134-Pool!$D$2)/Pool!$E$2</f>
        <v/>
      </c>
      <c r="AC134" s="3">
        <f>(O134-Pool!$D$3)/Pool!$E$3</f>
        <v/>
      </c>
      <c r="AD134" s="3">
        <f>(P134-Pool!$D$4)/Pool!$E$4</f>
        <v/>
      </c>
      <c r="AE134" s="3">
        <f>(Q134-Pool!$D$5)/Pool!$E$5</f>
        <v/>
      </c>
      <c r="AF134" s="3">
        <f>(R134-Pool!$D$6)/Pool!$E$6</f>
        <v/>
      </c>
      <c r="AG134" s="3">
        <f>(S134-Pool!$D$7)/Pool!$E$7</f>
        <v/>
      </c>
      <c r="AH134" s="3">
        <f>(AS134-Pool!$D$8)/Pool!$E$8</f>
        <v/>
      </c>
      <c r="AI134" s="3">
        <f>(AT134-Pool!$D$9)/Pool!$E$9</f>
        <v/>
      </c>
      <c r="AJ134" s="3">
        <f>-(T134-Pool!$D$10)/Pool!$E$10</f>
        <v/>
      </c>
      <c r="AL134">
        <f>MATCH(B134,'Player Data'!$A:$A,0)</f>
        <v/>
      </c>
      <c r="AM134" s="3">
        <f>1+IF(Settings!$F$10="ON",IFERROR(VLOOKUP(TRIM(F134),Settings!$D$12:$F$17,3,FALSE),0),0)</f>
        <v/>
      </c>
      <c r="AN134">
        <f>IFERROR(LEFT(C134,FIND(",",C134)-1),C134)</f>
        <v/>
      </c>
      <c r="AO134" s="6">
        <f>X134*(U134-Pool!$B$12)</f>
        <v/>
      </c>
      <c r="AP134" s="6">
        <f>Z134*(V134-Pool!$B$13)</f>
        <v/>
      </c>
      <c r="AQ134" s="3">
        <f>Settings!$B$2*(N134-Pool!$B$2)/Pool!$C$2+Settings!$B$3*(O134-Pool!$B$3)/Pool!$C$3+Settings!$B$4*(P134-Pool!$B$4)/Pool!$C$4+Settings!$B$5*(Q134-Pool!$B$5)/Pool!$C$5+Settings!$B$6*(R134-Pool!$B$6)/Pool!$C$6+Settings!$B$7*(S134-Pool!$B$7)/Pool!$C$7+Settings!$B$8*(AO134-Pool!$B$8)/Pool!$C$8+Settings!$B$9*(AP134-Pool!$B$9)/Pool!$C$9+Settings!$B$10*-(T134-Pool!$B$10)/Pool!$C$10</f>
        <v/>
      </c>
      <c r="AR134">
        <f>IF(RANK(AQ134,$AQ$2:$AQ$266)&lt;=Settings!$F$5,1,0)</f>
        <v/>
      </c>
      <c r="AS134" s="6">
        <f>X134*(U134-Pool!$D$12)</f>
        <v/>
      </c>
      <c r="AT134" s="6">
        <f>Z134*(V134-Pool!$D$13)</f>
        <v/>
      </c>
    </row>
    <row r="135">
      <c r="A135">
        <f>RANK(H135,$H$2:$H$266)</f>
        <v/>
      </c>
      <c r="B135" t="inlineStr">
        <is>
          <t>Kyshawn George</t>
        </is>
      </c>
      <c r="C135">
        <f>INDEX('Player Data'!$C:$C,AL135)</f>
        <v/>
      </c>
      <c r="D135">
        <f>SUMPRODUCT(($AN$2:$AN$266=AN135)*($H$2:$H$266&gt;H135))+1</f>
        <v/>
      </c>
      <c r="E135">
        <f>INDEX('Player Data'!$B:$B,AL135)</f>
        <v/>
      </c>
      <c r="F135" s="2" t="n"/>
      <c r="G135" s="3">
        <f>Settings!$B$2*AB135+Settings!$B$3*AC135+Settings!$B$4*AD135+Settings!$B$5*AE135+Settings!$B$6*AF135+Settings!$B$7*AG135+Settings!$B$8*AH135+Settings!$B$9*AI135+Settings!$B$10*AJ135</f>
        <v/>
      </c>
      <c r="H135" s="3">
        <f>G135-LARGE($G$2:$G$266,Settings!$F$4)</f>
        <v/>
      </c>
      <c r="I135">
        <f>IF(INDEX('Player Data'!$R:$R,AL135)="","",INDEX('Player Data'!$R:$R,AL135))</f>
        <v/>
      </c>
      <c r="J135" s="4">
        <f>IF(I135="","",I135-A135)</f>
        <v/>
      </c>
      <c r="L135" s="5">
        <f>IF(Settings!$F$7="Yes",INDEX('Minutes &amp; Health'!$O:$O,AL135),Settings!$F$8)</f>
        <v/>
      </c>
      <c r="M135" s="6">
        <f>INDEX('Minutes &amp; Health'!$P:$P,AL135)</f>
        <v/>
      </c>
      <c r="N135" s="5">
        <f>INDEX('Player Data'!$F:$F,AL135)/INDEX('Player Data'!$E:$E,AL135)*M135*L135*AM135</f>
        <v/>
      </c>
      <c r="O135" s="5">
        <f>INDEX('Player Data'!$G:$G,AL135)/INDEX('Player Data'!$E:$E,AL135)*M135*L135*AM135</f>
        <v/>
      </c>
      <c r="P135" s="5">
        <f>INDEX('Player Data'!$H:$H,AL135)/INDEX('Player Data'!$E:$E,AL135)*M135*L135*AM135</f>
        <v/>
      </c>
      <c r="Q135" s="5">
        <f>INDEX('Player Data'!$I:$I,AL135)/INDEX('Player Data'!$E:$E,AL135)*M135*L135*AM135</f>
        <v/>
      </c>
      <c r="R135" s="5">
        <f>INDEX('Player Data'!$J:$J,AL135)/INDEX('Player Data'!$E:$E,AL135)*M135*L135*AM135</f>
        <v/>
      </c>
      <c r="S135" s="5">
        <f>INDEX('Player Data'!$K:$K,AL135)/INDEX('Player Data'!$E:$E,AL135)*M135*L135*AM135</f>
        <v/>
      </c>
      <c r="T135" s="5">
        <f>INDEX('Player Data'!$L:$L,AL135)/INDEX('Player Data'!$E:$E,AL135)*M135*L135*AM135</f>
        <v/>
      </c>
      <c r="U135" s="7">
        <f>INDEX('Player Data'!$M:$M,AL135)</f>
        <v/>
      </c>
      <c r="V135" s="7">
        <f>INDEX('Player Data'!$N:$N,AL135)</f>
        <v/>
      </c>
      <c r="W135" s="5">
        <f>X135*U135</f>
        <v/>
      </c>
      <c r="X135" s="5">
        <f>INDEX('Player Data'!$O:$O,AL135)/INDEX('Player Data'!$E:$E,AL135)*M135*L135*AM135</f>
        <v/>
      </c>
      <c r="Y135" s="5">
        <f>Z135*V135</f>
        <v/>
      </c>
      <c r="Z135" s="5">
        <f>INDEX('Player Data'!$P:$P,AL135)/INDEX('Player Data'!$E:$E,AL135)*M135*L135*AM135</f>
        <v/>
      </c>
      <c r="AB135" s="3">
        <f>(N135-Pool!$D$2)/Pool!$E$2</f>
        <v/>
      </c>
      <c r="AC135" s="3">
        <f>(O135-Pool!$D$3)/Pool!$E$3</f>
        <v/>
      </c>
      <c r="AD135" s="3">
        <f>(P135-Pool!$D$4)/Pool!$E$4</f>
        <v/>
      </c>
      <c r="AE135" s="3">
        <f>(Q135-Pool!$D$5)/Pool!$E$5</f>
        <v/>
      </c>
      <c r="AF135" s="3">
        <f>(R135-Pool!$D$6)/Pool!$E$6</f>
        <v/>
      </c>
      <c r="AG135" s="3">
        <f>(S135-Pool!$D$7)/Pool!$E$7</f>
        <v/>
      </c>
      <c r="AH135" s="3">
        <f>(AS135-Pool!$D$8)/Pool!$E$8</f>
        <v/>
      </c>
      <c r="AI135" s="3">
        <f>(AT135-Pool!$D$9)/Pool!$E$9</f>
        <v/>
      </c>
      <c r="AJ135" s="3">
        <f>-(T135-Pool!$D$10)/Pool!$E$10</f>
        <v/>
      </c>
      <c r="AL135">
        <f>MATCH(B135,'Player Data'!$A:$A,0)</f>
        <v/>
      </c>
      <c r="AM135" s="3">
        <f>1+IF(Settings!$F$10="ON",IFERROR(VLOOKUP(TRIM(F135),Settings!$D$12:$F$17,3,FALSE),0),0)</f>
        <v/>
      </c>
      <c r="AN135">
        <f>IFERROR(LEFT(C135,FIND(",",C135)-1),C135)</f>
        <v/>
      </c>
      <c r="AO135" s="6">
        <f>X135*(U135-Pool!$B$12)</f>
        <v/>
      </c>
      <c r="AP135" s="6">
        <f>Z135*(V135-Pool!$B$13)</f>
        <v/>
      </c>
      <c r="AQ135" s="3">
        <f>Settings!$B$2*(N135-Pool!$B$2)/Pool!$C$2+Settings!$B$3*(O135-Pool!$B$3)/Pool!$C$3+Settings!$B$4*(P135-Pool!$B$4)/Pool!$C$4+Settings!$B$5*(Q135-Pool!$B$5)/Pool!$C$5+Settings!$B$6*(R135-Pool!$B$6)/Pool!$C$6+Settings!$B$7*(S135-Pool!$B$7)/Pool!$C$7+Settings!$B$8*(AO135-Pool!$B$8)/Pool!$C$8+Settings!$B$9*(AP135-Pool!$B$9)/Pool!$C$9+Settings!$B$10*-(T135-Pool!$B$10)/Pool!$C$10</f>
        <v/>
      </c>
      <c r="AR135">
        <f>IF(RANK(AQ135,$AQ$2:$AQ$266)&lt;=Settings!$F$5,1,0)</f>
        <v/>
      </c>
      <c r="AS135" s="6">
        <f>X135*(U135-Pool!$D$12)</f>
        <v/>
      </c>
      <c r="AT135" s="6">
        <f>Z135*(V135-Pool!$D$13)</f>
        <v/>
      </c>
    </row>
    <row r="136">
      <c r="A136">
        <f>RANK(H136,$H$2:$H$266)</f>
        <v/>
      </c>
      <c r="B136" t="inlineStr">
        <is>
          <t>Wendell Carter Jr.</t>
        </is>
      </c>
      <c r="C136">
        <f>INDEX('Player Data'!$C:$C,AL136)</f>
        <v/>
      </c>
      <c r="D136">
        <f>SUMPRODUCT(($AN$2:$AN$266=AN136)*($H$2:$H$266&gt;H136))+1</f>
        <v/>
      </c>
      <c r="E136">
        <f>INDEX('Player Data'!$B:$B,AL136)</f>
        <v/>
      </c>
      <c r="F136" s="2" t="n"/>
      <c r="G136" s="3">
        <f>Settings!$B$2*AB136+Settings!$B$3*AC136+Settings!$B$4*AD136+Settings!$B$5*AE136+Settings!$B$6*AF136+Settings!$B$7*AG136+Settings!$B$8*AH136+Settings!$B$9*AI136+Settings!$B$10*AJ136</f>
        <v/>
      </c>
      <c r="H136" s="3">
        <f>G136-LARGE($G$2:$G$266,Settings!$F$4)</f>
        <v/>
      </c>
      <c r="I136">
        <f>IF(INDEX('Player Data'!$R:$R,AL136)="","",INDEX('Player Data'!$R:$R,AL136))</f>
        <v/>
      </c>
      <c r="J136" s="4">
        <f>IF(I136="","",I136-A136)</f>
        <v/>
      </c>
      <c r="L136" s="5">
        <f>IF(Settings!$F$7="Yes",INDEX('Minutes &amp; Health'!$O:$O,AL136),Settings!$F$8)</f>
        <v/>
      </c>
      <c r="M136" s="6">
        <f>INDEX('Minutes &amp; Health'!$P:$P,AL136)</f>
        <v/>
      </c>
      <c r="N136" s="5">
        <f>INDEX('Player Data'!$F:$F,AL136)/INDEX('Player Data'!$E:$E,AL136)*M136*L136*AM136</f>
        <v/>
      </c>
      <c r="O136" s="5">
        <f>INDEX('Player Data'!$G:$G,AL136)/INDEX('Player Data'!$E:$E,AL136)*M136*L136*AM136</f>
        <v/>
      </c>
      <c r="P136" s="5">
        <f>INDEX('Player Data'!$H:$H,AL136)/INDEX('Player Data'!$E:$E,AL136)*M136*L136*AM136</f>
        <v/>
      </c>
      <c r="Q136" s="5">
        <f>INDEX('Player Data'!$I:$I,AL136)/INDEX('Player Data'!$E:$E,AL136)*M136*L136*AM136</f>
        <v/>
      </c>
      <c r="R136" s="5">
        <f>INDEX('Player Data'!$J:$J,AL136)/INDEX('Player Data'!$E:$E,AL136)*M136*L136*AM136</f>
        <v/>
      </c>
      <c r="S136" s="5">
        <f>INDEX('Player Data'!$K:$K,AL136)/INDEX('Player Data'!$E:$E,AL136)*M136*L136*AM136</f>
        <v/>
      </c>
      <c r="T136" s="5">
        <f>INDEX('Player Data'!$L:$L,AL136)/INDEX('Player Data'!$E:$E,AL136)*M136*L136*AM136</f>
        <v/>
      </c>
      <c r="U136" s="7">
        <f>INDEX('Player Data'!$M:$M,AL136)</f>
        <v/>
      </c>
      <c r="V136" s="7">
        <f>INDEX('Player Data'!$N:$N,AL136)</f>
        <v/>
      </c>
      <c r="W136" s="5">
        <f>X136*U136</f>
        <v/>
      </c>
      <c r="X136" s="5">
        <f>INDEX('Player Data'!$O:$O,AL136)/INDEX('Player Data'!$E:$E,AL136)*M136*L136*AM136</f>
        <v/>
      </c>
      <c r="Y136" s="5">
        <f>Z136*V136</f>
        <v/>
      </c>
      <c r="Z136" s="5">
        <f>INDEX('Player Data'!$P:$P,AL136)/INDEX('Player Data'!$E:$E,AL136)*M136*L136*AM136</f>
        <v/>
      </c>
      <c r="AB136" s="3">
        <f>(N136-Pool!$D$2)/Pool!$E$2</f>
        <v/>
      </c>
      <c r="AC136" s="3">
        <f>(O136-Pool!$D$3)/Pool!$E$3</f>
        <v/>
      </c>
      <c r="AD136" s="3">
        <f>(P136-Pool!$D$4)/Pool!$E$4</f>
        <v/>
      </c>
      <c r="AE136" s="3">
        <f>(Q136-Pool!$D$5)/Pool!$E$5</f>
        <v/>
      </c>
      <c r="AF136" s="3">
        <f>(R136-Pool!$D$6)/Pool!$E$6</f>
        <v/>
      </c>
      <c r="AG136" s="3">
        <f>(S136-Pool!$D$7)/Pool!$E$7</f>
        <v/>
      </c>
      <c r="AH136" s="3">
        <f>(AS136-Pool!$D$8)/Pool!$E$8</f>
        <v/>
      </c>
      <c r="AI136" s="3">
        <f>(AT136-Pool!$D$9)/Pool!$E$9</f>
        <v/>
      </c>
      <c r="AJ136" s="3">
        <f>-(T136-Pool!$D$10)/Pool!$E$10</f>
        <v/>
      </c>
      <c r="AL136">
        <f>MATCH(B136,'Player Data'!$A:$A,0)</f>
        <v/>
      </c>
      <c r="AM136" s="3">
        <f>1+IF(Settings!$F$10="ON",IFERROR(VLOOKUP(TRIM(F136),Settings!$D$12:$F$17,3,FALSE),0),0)</f>
        <v/>
      </c>
      <c r="AN136">
        <f>IFERROR(LEFT(C136,FIND(",",C136)-1),C136)</f>
        <v/>
      </c>
      <c r="AO136" s="6">
        <f>X136*(U136-Pool!$B$12)</f>
        <v/>
      </c>
      <c r="AP136" s="6">
        <f>Z136*(V136-Pool!$B$13)</f>
        <v/>
      </c>
      <c r="AQ136" s="3">
        <f>Settings!$B$2*(N136-Pool!$B$2)/Pool!$C$2+Settings!$B$3*(O136-Pool!$B$3)/Pool!$C$3+Settings!$B$4*(P136-Pool!$B$4)/Pool!$C$4+Settings!$B$5*(Q136-Pool!$B$5)/Pool!$C$5+Settings!$B$6*(R136-Pool!$B$6)/Pool!$C$6+Settings!$B$7*(S136-Pool!$B$7)/Pool!$C$7+Settings!$B$8*(AO136-Pool!$B$8)/Pool!$C$8+Settings!$B$9*(AP136-Pool!$B$9)/Pool!$C$9+Settings!$B$10*-(T136-Pool!$B$10)/Pool!$C$10</f>
        <v/>
      </c>
      <c r="AR136">
        <f>IF(RANK(AQ136,$AQ$2:$AQ$266)&lt;=Settings!$F$5,1,0)</f>
        <v/>
      </c>
      <c r="AS136" s="6">
        <f>X136*(U136-Pool!$D$12)</f>
        <v/>
      </c>
      <c r="AT136" s="6">
        <f>Z136*(V136-Pool!$D$13)</f>
        <v/>
      </c>
    </row>
    <row r="137">
      <c r="A137">
        <f>RANK(H137,$H$2:$H$266)</f>
        <v/>
      </c>
      <c r="B137" t="inlineStr">
        <is>
          <t>Kevin Porter Jr.</t>
        </is>
      </c>
      <c r="C137">
        <f>INDEX('Player Data'!$C:$C,AL137)</f>
        <v/>
      </c>
      <c r="D137">
        <f>SUMPRODUCT(($AN$2:$AN$266=AN137)*($H$2:$H$266&gt;H137))+1</f>
        <v/>
      </c>
      <c r="E137">
        <f>INDEX('Player Data'!$B:$B,AL137)</f>
        <v/>
      </c>
      <c r="F137" s="2" t="n"/>
      <c r="G137" s="3">
        <f>Settings!$B$2*AB137+Settings!$B$3*AC137+Settings!$B$4*AD137+Settings!$B$5*AE137+Settings!$B$6*AF137+Settings!$B$7*AG137+Settings!$B$8*AH137+Settings!$B$9*AI137+Settings!$B$10*AJ137</f>
        <v/>
      </c>
      <c r="H137" s="3">
        <f>G137-LARGE($G$2:$G$266,Settings!$F$4)</f>
        <v/>
      </c>
      <c r="I137">
        <f>IF(INDEX('Player Data'!$R:$R,AL137)="","",INDEX('Player Data'!$R:$R,AL137))</f>
        <v/>
      </c>
      <c r="J137" s="4">
        <f>IF(I137="","",I137-A137)</f>
        <v/>
      </c>
      <c r="L137" s="5">
        <f>IF(Settings!$F$7="Yes",INDEX('Minutes &amp; Health'!$O:$O,AL137),Settings!$F$8)</f>
        <v/>
      </c>
      <c r="M137" s="6">
        <f>INDEX('Minutes &amp; Health'!$P:$P,AL137)</f>
        <v/>
      </c>
      <c r="N137" s="5">
        <f>INDEX('Player Data'!$F:$F,AL137)/INDEX('Player Data'!$E:$E,AL137)*M137*L137*AM137</f>
        <v/>
      </c>
      <c r="O137" s="5">
        <f>INDEX('Player Data'!$G:$G,AL137)/INDEX('Player Data'!$E:$E,AL137)*M137*L137*AM137</f>
        <v/>
      </c>
      <c r="P137" s="5">
        <f>INDEX('Player Data'!$H:$H,AL137)/INDEX('Player Data'!$E:$E,AL137)*M137*L137*AM137</f>
        <v/>
      </c>
      <c r="Q137" s="5">
        <f>INDEX('Player Data'!$I:$I,AL137)/INDEX('Player Data'!$E:$E,AL137)*M137*L137*AM137</f>
        <v/>
      </c>
      <c r="R137" s="5">
        <f>INDEX('Player Data'!$J:$J,AL137)/INDEX('Player Data'!$E:$E,AL137)*M137*L137*AM137</f>
        <v/>
      </c>
      <c r="S137" s="5">
        <f>INDEX('Player Data'!$K:$K,AL137)/INDEX('Player Data'!$E:$E,AL137)*M137*L137*AM137</f>
        <v/>
      </c>
      <c r="T137" s="5">
        <f>INDEX('Player Data'!$L:$L,AL137)/INDEX('Player Data'!$E:$E,AL137)*M137*L137*AM137</f>
        <v/>
      </c>
      <c r="U137" s="7">
        <f>INDEX('Player Data'!$M:$M,AL137)</f>
        <v/>
      </c>
      <c r="V137" s="7">
        <f>INDEX('Player Data'!$N:$N,AL137)</f>
        <v/>
      </c>
      <c r="W137" s="5">
        <f>X137*U137</f>
        <v/>
      </c>
      <c r="X137" s="5">
        <f>INDEX('Player Data'!$O:$O,AL137)/INDEX('Player Data'!$E:$E,AL137)*M137*L137*AM137</f>
        <v/>
      </c>
      <c r="Y137" s="5">
        <f>Z137*V137</f>
        <v/>
      </c>
      <c r="Z137" s="5">
        <f>INDEX('Player Data'!$P:$P,AL137)/INDEX('Player Data'!$E:$E,AL137)*M137*L137*AM137</f>
        <v/>
      </c>
      <c r="AB137" s="3">
        <f>(N137-Pool!$D$2)/Pool!$E$2</f>
        <v/>
      </c>
      <c r="AC137" s="3">
        <f>(O137-Pool!$D$3)/Pool!$E$3</f>
        <v/>
      </c>
      <c r="AD137" s="3">
        <f>(P137-Pool!$D$4)/Pool!$E$4</f>
        <v/>
      </c>
      <c r="AE137" s="3">
        <f>(Q137-Pool!$D$5)/Pool!$E$5</f>
        <v/>
      </c>
      <c r="AF137" s="3">
        <f>(R137-Pool!$D$6)/Pool!$E$6</f>
        <v/>
      </c>
      <c r="AG137" s="3">
        <f>(S137-Pool!$D$7)/Pool!$E$7</f>
        <v/>
      </c>
      <c r="AH137" s="3">
        <f>(AS137-Pool!$D$8)/Pool!$E$8</f>
        <v/>
      </c>
      <c r="AI137" s="3">
        <f>(AT137-Pool!$D$9)/Pool!$E$9</f>
        <v/>
      </c>
      <c r="AJ137" s="3">
        <f>-(T137-Pool!$D$10)/Pool!$E$10</f>
        <v/>
      </c>
      <c r="AL137">
        <f>MATCH(B137,'Player Data'!$A:$A,0)</f>
        <v/>
      </c>
      <c r="AM137" s="3">
        <f>1+IF(Settings!$F$10="ON",IFERROR(VLOOKUP(TRIM(F137),Settings!$D$12:$F$17,3,FALSE),0),0)</f>
        <v/>
      </c>
      <c r="AN137">
        <f>IFERROR(LEFT(C137,FIND(",",C137)-1),C137)</f>
        <v/>
      </c>
      <c r="AO137" s="6">
        <f>X137*(U137-Pool!$B$12)</f>
        <v/>
      </c>
      <c r="AP137" s="6">
        <f>Z137*(V137-Pool!$B$13)</f>
        <v/>
      </c>
      <c r="AQ137" s="3">
        <f>Settings!$B$2*(N137-Pool!$B$2)/Pool!$C$2+Settings!$B$3*(O137-Pool!$B$3)/Pool!$C$3+Settings!$B$4*(P137-Pool!$B$4)/Pool!$C$4+Settings!$B$5*(Q137-Pool!$B$5)/Pool!$C$5+Settings!$B$6*(R137-Pool!$B$6)/Pool!$C$6+Settings!$B$7*(S137-Pool!$B$7)/Pool!$C$7+Settings!$B$8*(AO137-Pool!$B$8)/Pool!$C$8+Settings!$B$9*(AP137-Pool!$B$9)/Pool!$C$9+Settings!$B$10*-(T137-Pool!$B$10)/Pool!$C$10</f>
        <v/>
      </c>
      <c r="AR137">
        <f>IF(RANK(AQ137,$AQ$2:$AQ$266)&lt;=Settings!$F$5,1,0)</f>
        <v/>
      </c>
      <c r="AS137" s="6">
        <f>X137*(U137-Pool!$D$12)</f>
        <v/>
      </c>
      <c r="AT137" s="6">
        <f>Z137*(V137-Pool!$D$13)</f>
        <v/>
      </c>
    </row>
    <row r="138">
      <c r="A138">
        <f>RANK(H138,$H$2:$H$266)</f>
        <v/>
      </c>
      <c r="B138" t="inlineStr">
        <is>
          <t>Julian Champagnie</t>
        </is>
      </c>
      <c r="C138">
        <f>INDEX('Player Data'!$C:$C,AL138)</f>
        <v/>
      </c>
      <c r="D138">
        <f>SUMPRODUCT(($AN$2:$AN$266=AN138)*($H$2:$H$266&gt;H138))+1</f>
        <v/>
      </c>
      <c r="E138">
        <f>INDEX('Player Data'!$B:$B,AL138)</f>
        <v/>
      </c>
      <c r="F138" s="2" t="n"/>
      <c r="G138" s="3">
        <f>Settings!$B$2*AB138+Settings!$B$3*AC138+Settings!$B$4*AD138+Settings!$B$5*AE138+Settings!$B$6*AF138+Settings!$B$7*AG138+Settings!$B$8*AH138+Settings!$B$9*AI138+Settings!$B$10*AJ138</f>
        <v/>
      </c>
      <c r="H138" s="3">
        <f>G138-LARGE($G$2:$G$266,Settings!$F$4)</f>
        <v/>
      </c>
      <c r="I138">
        <f>IF(INDEX('Player Data'!$R:$R,AL138)="","",INDEX('Player Data'!$R:$R,AL138))</f>
        <v/>
      </c>
      <c r="J138" s="4">
        <f>IF(I138="","",I138-A138)</f>
        <v/>
      </c>
      <c r="L138" s="5">
        <f>IF(Settings!$F$7="Yes",INDEX('Minutes &amp; Health'!$O:$O,AL138),Settings!$F$8)</f>
        <v/>
      </c>
      <c r="M138" s="6">
        <f>INDEX('Minutes &amp; Health'!$P:$P,AL138)</f>
        <v/>
      </c>
      <c r="N138" s="5">
        <f>INDEX('Player Data'!$F:$F,AL138)/INDEX('Player Data'!$E:$E,AL138)*M138*L138*AM138</f>
        <v/>
      </c>
      <c r="O138" s="5">
        <f>INDEX('Player Data'!$G:$G,AL138)/INDEX('Player Data'!$E:$E,AL138)*M138*L138*AM138</f>
        <v/>
      </c>
      <c r="P138" s="5">
        <f>INDEX('Player Data'!$H:$H,AL138)/INDEX('Player Data'!$E:$E,AL138)*M138*L138*AM138</f>
        <v/>
      </c>
      <c r="Q138" s="5">
        <f>INDEX('Player Data'!$I:$I,AL138)/INDEX('Player Data'!$E:$E,AL138)*M138*L138*AM138</f>
        <v/>
      </c>
      <c r="R138" s="5">
        <f>INDEX('Player Data'!$J:$J,AL138)/INDEX('Player Data'!$E:$E,AL138)*M138*L138*AM138</f>
        <v/>
      </c>
      <c r="S138" s="5">
        <f>INDEX('Player Data'!$K:$K,AL138)/INDEX('Player Data'!$E:$E,AL138)*M138*L138*AM138</f>
        <v/>
      </c>
      <c r="T138" s="5">
        <f>INDEX('Player Data'!$L:$L,AL138)/INDEX('Player Data'!$E:$E,AL138)*M138*L138*AM138</f>
        <v/>
      </c>
      <c r="U138" s="7">
        <f>INDEX('Player Data'!$M:$M,AL138)</f>
        <v/>
      </c>
      <c r="V138" s="7">
        <f>INDEX('Player Data'!$N:$N,AL138)</f>
        <v/>
      </c>
      <c r="W138" s="5">
        <f>X138*U138</f>
        <v/>
      </c>
      <c r="X138" s="5">
        <f>INDEX('Player Data'!$O:$O,AL138)/INDEX('Player Data'!$E:$E,AL138)*M138*L138*AM138</f>
        <v/>
      </c>
      <c r="Y138" s="5">
        <f>Z138*V138</f>
        <v/>
      </c>
      <c r="Z138" s="5">
        <f>INDEX('Player Data'!$P:$P,AL138)/INDEX('Player Data'!$E:$E,AL138)*M138*L138*AM138</f>
        <v/>
      </c>
      <c r="AB138" s="3">
        <f>(N138-Pool!$D$2)/Pool!$E$2</f>
        <v/>
      </c>
      <c r="AC138" s="3">
        <f>(O138-Pool!$D$3)/Pool!$E$3</f>
        <v/>
      </c>
      <c r="AD138" s="3">
        <f>(P138-Pool!$D$4)/Pool!$E$4</f>
        <v/>
      </c>
      <c r="AE138" s="3">
        <f>(Q138-Pool!$D$5)/Pool!$E$5</f>
        <v/>
      </c>
      <c r="AF138" s="3">
        <f>(R138-Pool!$D$6)/Pool!$E$6</f>
        <v/>
      </c>
      <c r="AG138" s="3">
        <f>(S138-Pool!$D$7)/Pool!$E$7</f>
        <v/>
      </c>
      <c r="AH138" s="3">
        <f>(AS138-Pool!$D$8)/Pool!$E$8</f>
        <v/>
      </c>
      <c r="AI138" s="3">
        <f>(AT138-Pool!$D$9)/Pool!$E$9</f>
        <v/>
      </c>
      <c r="AJ138" s="3">
        <f>-(T138-Pool!$D$10)/Pool!$E$10</f>
        <v/>
      </c>
      <c r="AL138">
        <f>MATCH(B138,'Player Data'!$A:$A,0)</f>
        <v/>
      </c>
      <c r="AM138" s="3">
        <f>1+IF(Settings!$F$10="ON",IFERROR(VLOOKUP(TRIM(F138),Settings!$D$12:$F$17,3,FALSE),0),0)</f>
        <v/>
      </c>
      <c r="AN138">
        <f>IFERROR(LEFT(C138,FIND(",",C138)-1),C138)</f>
        <v/>
      </c>
      <c r="AO138" s="6">
        <f>X138*(U138-Pool!$B$12)</f>
        <v/>
      </c>
      <c r="AP138" s="6">
        <f>Z138*(V138-Pool!$B$13)</f>
        <v/>
      </c>
      <c r="AQ138" s="3">
        <f>Settings!$B$2*(N138-Pool!$B$2)/Pool!$C$2+Settings!$B$3*(O138-Pool!$B$3)/Pool!$C$3+Settings!$B$4*(P138-Pool!$B$4)/Pool!$C$4+Settings!$B$5*(Q138-Pool!$B$5)/Pool!$C$5+Settings!$B$6*(R138-Pool!$B$6)/Pool!$C$6+Settings!$B$7*(S138-Pool!$B$7)/Pool!$C$7+Settings!$B$8*(AO138-Pool!$B$8)/Pool!$C$8+Settings!$B$9*(AP138-Pool!$B$9)/Pool!$C$9+Settings!$B$10*-(T138-Pool!$B$10)/Pool!$C$10</f>
        <v/>
      </c>
      <c r="AR138">
        <f>IF(RANK(AQ138,$AQ$2:$AQ$266)&lt;=Settings!$F$5,1,0)</f>
        <v/>
      </c>
      <c r="AS138" s="6">
        <f>X138*(U138-Pool!$D$12)</f>
        <v/>
      </c>
      <c r="AT138" s="6">
        <f>Z138*(V138-Pool!$D$13)</f>
        <v/>
      </c>
    </row>
    <row r="139">
      <c r="A139">
        <f>RANK(H139,$H$2:$H$266)</f>
        <v/>
      </c>
      <c r="B139" t="inlineStr">
        <is>
          <t>Yaxel Lendeborg</t>
        </is>
      </c>
      <c r="C139">
        <f>INDEX('Player Data'!$C:$C,AL139)</f>
        <v/>
      </c>
      <c r="D139">
        <f>SUMPRODUCT(($AN$2:$AN$266=AN139)*($H$2:$H$266&gt;H139))+1</f>
        <v/>
      </c>
      <c r="E139">
        <f>INDEX('Player Data'!$B:$B,AL139)</f>
        <v/>
      </c>
      <c r="F139" s="2" t="n"/>
      <c r="G139" s="3">
        <f>Settings!$B$2*AB139+Settings!$B$3*AC139+Settings!$B$4*AD139+Settings!$B$5*AE139+Settings!$B$6*AF139+Settings!$B$7*AG139+Settings!$B$8*AH139+Settings!$B$9*AI139+Settings!$B$10*AJ139</f>
        <v/>
      </c>
      <c r="H139" s="3">
        <f>G139-LARGE($G$2:$G$266,Settings!$F$4)</f>
        <v/>
      </c>
      <c r="I139">
        <f>IF(INDEX('Player Data'!$R:$R,AL139)="","",INDEX('Player Data'!$R:$R,AL139))</f>
        <v/>
      </c>
      <c r="J139" s="4">
        <f>IF(I139="","",I139-A139)</f>
        <v/>
      </c>
      <c r="L139" s="5">
        <f>IF(Settings!$F$7="Yes",INDEX('Minutes &amp; Health'!$O:$O,AL139),Settings!$F$8)</f>
        <v/>
      </c>
      <c r="M139" s="6">
        <f>INDEX('Minutes &amp; Health'!$P:$P,AL139)</f>
        <v/>
      </c>
      <c r="N139" s="5">
        <f>INDEX('Player Data'!$F:$F,AL139)/INDEX('Player Data'!$E:$E,AL139)*M139*L139*AM139</f>
        <v/>
      </c>
      <c r="O139" s="5">
        <f>INDEX('Player Data'!$G:$G,AL139)/INDEX('Player Data'!$E:$E,AL139)*M139*L139*AM139</f>
        <v/>
      </c>
      <c r="P139" s="5">
        <f>INDEX('Player Data'!$H:$H,AL139)/INDEX('Player Data'!$E:$E,AL139)*M139*L139*AM139</f>
        <v/>
      </c>
      <c r="Q139" s="5">
        <f>INDEX('Player Data'!$I:$I,AL139)/INDEX('Player Data'!$E:$E,AL139)*M139*L139*AM139</f>
        <v/>
      </c>
      <c r="R139" s="5">
        <f>INDEX('Player Data'!$J:$J,AL139)/INDEX('Player Data'!$E:$E,AL139)*M139*L139*AM139</f>
        <v/>
      </c>
      <c r="S139" s="5">
        <f>INDEX('Player Data'!$K:$K,AL139)/INDEX('Player Data'!$E:$E,AL139)*M139*L139*AM139</f>
        <v/>
      </c>
      <c r="T139" s="5">
        <f>INDEX('Player Data'!$L:$L,AL139)/INDEX('Player Data'!$E:$E,AL139)*M139*L139*AM139</f>
        <v/>
      </c>
      <c r="U139" s="7">
        <f>INDEX('Player Data'!$M:$M,AL139)</f>
        <v/>
      </c>
      <c r="V139" s="7">
        <f>INDEX('Player Data'!$N:$N,AL139)</f>
        <v/>
      </c>
      <c r="W139" s="5">
        <f>X139*U139</f>
        <v/>
      </c>
      <c r="X139" s="5">
        <f>INDEX('Player Data'!$O:$O,AL139)/INDEX('Player Data'!$E:$E,AL139)*M139*L139*AM139</f>
        <v/>
      </c>
      <c r="Y139" s="5">
        <f>Z139*V139</f>
        <v/>
      </c>
      <c r="Z139" s="5">
        <f>INDEX('Player Data'!$P:$P,AL139)/INDEX('Player Data'!$E:$E,AL139)*M139*L139*AM139</f>
        <v/>
      </c>
      <c r="AB139" s="3">
        <f>(N139-Pool!$D$2)/Pool!$E$2</f>
        <v/>
      </c>
      <c r="AC139" s="3">
        <f>(O139-Pool!$D$3)/Pool!$E$3</f>
        <v/>
      </c>
      <c r="AD139" s="3">
        <f>(P139-Pool!$D$4)/Pool!$E$4</f>
        <v/>
      </c>
      <c r="AE139" s="3">
        <f>(Q139-Pool!$D$5)/Pool!$E$5</f>
        <v/>
      </c>
      <c r="AF139" s="3">
        <f>(R139-Pool!$D$6)/Pool!$E$6</f>
        <v/>
      </c>
      <c r="AG139" s="3">
        <f>(S139-Pool!$D$7)/Pool!$E$7</f>
        <v/>
      </c>
      <c r="AH139" s="3">
        <f>(AS139-Pool!$D$8)/Pool!$E$8</f>
        <v/>
      </c>
      <c r="AI139" s="3">
        <f>(AT139-Pool!$D$9)/Pool!$E$9</f>
        <v/>
      </c>
      <c r="AJ139" s="3">
        <f>-(T139-Pool!$D$10)/Pool!$E$10</f>
        <v/>
      </c>
      <c r="AL139">
        <f>MATCH(B139,'Player Data'!$A:$A,0)</f>
        <v/>
      </c>
      <c r="AM139" s="3">
        <f>1+IF(Settings!$F$10="ON",IFERROR(VLOOKUP(TRIM(F139),Settings!$D$12:$F$17,3,FALSE),0),0)</f>
        <v/>
      </c>
      <c r="AN139">
        <f>IFERROR(LEFT(C139,FIND(",",C139)-1),C139)</f>
        <v/>
      </c>
      <c r="AO139" s="6">
        <f>X139*(U139-Pool!$B$12)</f>
        <v/>
      </c>
      <c r="AP139" s="6">
        <f>Z139*(V139-Pool!$B$13)</f>
        <v/>
      </c>
      <c r="AQ139" s="3">
        <f>Settings!$B$2*(N139-Pool!$B$2)/Pool!$C$2+Settings!$B$3*(O139-Pool!$B$3)/Pool!$C$3+Settings!$B$4*(P139-Pool!$B$4)/Pool!$C$4+Settings!$B$5*(Q139-Pool!$B$5)/Pool!$C$5+Settings!$B$6*(R139-Pool!$B$6)/Pool!$C$6+Settings!$B$7*(S139-Pool!$B$7)/Pool!$C$7+Settings!$B$8*(AO139-Pool!$B$8)/Pool!$C$8+Settings!$B$9*(AP139-Pool!$B$9)/Pool!$C$9+Settings!$B$10*-(T139-Pool!$B$10)/Pool!$C$10</f>
        <v/>
      </c>
      <c r="AR139">
        <f>IF(RANK(AQ139,$AQ$2:$AQ$266)&lt;=Settings!$F$5,1,0)</f>
        <v/>
      </c>
      <c r="AS139" s="6">
        <f>X139*(U139-Pool!$D$12)</f>
        <v/>
      </c>
      <c r="AT139" s="6">
        <f>Z139*(V139-Pool!$D$13)</f>
        <v/>
      </c>
    </row>
    <row r="140">
      <c r="A140">
        <f>RANK(H140,$H$2:$H$266)</f>
        <v/>
      </c>
      <c r="B140" t="inlineStr">
        <is>
          <t>Stephon Castle</t>
        </is>
      </c>
      <c r="C140">
        <f>INDEX('Player Data'!$C:$C,AL140)</f>
        <v/>
      </c>
      <c r="D140">
        <f>SUMPRODUCT(($AN$2:$AN$266=AN140)*($H$2:$H$266&gt;H140))+1</f>
        <v/>
      </c>
      <c r="E140">
        <f>INDEX('Player Data'!$B:$B,AL140)</f>
        <v/>
      </c>
      <c r="F140" s="2" t="n"/>
      <c r="G140" s="3">
        <f>Settings!$B$2*AB140+Settings!$B$3*AC140+Settings!$B$4*AD140+Settings!$B$5*AE140+Settings!$B$6*AF140+Settings!$B$7*AG140+Settings!$B$8*AH140+Settings!$B$9*AI140+Settings!$B$10*AJ140</f>
        <v/>
      </c>
      <c r="H140" s="3">
        <f>G140-LARGE($G$2:$G$266,Settings!$F$4)</f>
        <v/>
      </c>
      <c r="I140">
        <f>IF(INDEX('Player Data'!$R:$R,AL140)="","",INDEX('Player Data'!$R:$R,AL140))</f>
        <v/>
      </c>
      <c r="J140" s="4">
        <f>IF(I140="","",I140-A140)</f>
        <v/>
      </c>
      <c r="L140" s="5">
        <f>IF(Settings!$F$7="Yes",INDEX('Minutes &amp; Health'!$O:$O,AL140),Settings!$F$8)</f>
        <v/>
      </c>
      <c r="M140" s="6">
        <f>INDEX('Minutes &amp; Health'!$P:$P,AL140)</f>
        <v/>
      </c>
      <c r="N140" s="5">
        <f>INDEX('Player Data'!$F:$F,AL140)/INDEX('Player Data'!$E:$E,AL140)*M140*L140*AM140</f>
        <v/>
      </c>
      <c r="O140" s="5">
        <f>INDEX('Player Data'!$G:$G,AL140)/INDEX('Player Data'!$E:$E,AL140)*M140*L140*AM140</f>
        <v/>
      </c>
      <c r="P140" s="5">
        <f>INDEX('Player Data'!$H:$H,AL140)/INDEX('Player Data'!$E:$E,AL140)*M140*L140*AM140</f>
        <v/>
      </c>
      <c r="Q140" s="5">
        <f>INDEX('Player Data'!$I:$I,AL140)/INDEX('Player Data'!$E:$E,AL140)*M140*L140*AM140</f>
        <v/>
      </c>
      <c r="R140" s="5">
        <f>INDEX('Player Data'!$J:$J,AL140)/INDEX('Player Data'!$E:$E,AL140)*M140*L140*AM140</f>
        <v/>
      </c>
      <c r="S140" s="5">
        <f>INDEX('Player Data'!$K:$K,AL140)/INDEX('Player Data'!$E:$E,AL140)*M140*L140*AM140</f>
        <v/>
      </c>
      <c r="T140" s="5">
        <f>INDEX('Player Data'!$L:$L,AL140)/INDEX('Player Data'!$E:$E,AL140)*M140*L140*AM140</f>
        <v/>
      </c>
      <c r="U140" s="7">
        <f>INDEX('Player Data'!$M:$M,AL140)</f>
        <v/>
      </c>
      <c r="V140" s="7">
        <f>INDEX('Player Data'!$N:$N,AL140)</f>
        <v/>
      </c>
      <c r="W140" s="5">
        <f>X140*U140</f>
        <v/>
      </c>
      <c r="X140" s="5">
        <f>INDEX('Player Data'!$O:$O,AL140)/INDEX('Player Data'!$E:$E,AL140)*M140*L140*AM140</f>
        <v/>
      </c>
      <c r="Y140" s="5">
        <f>Z140*V140</f>
        <v/>
      </c>
      <c r="Z140" s="5">
        <f>INDEX('Player Data'!$P:$P,AL140)/INDEX('Player Data'!$E:$E,AL140)*M140*L140*AM140</f>
        <v/>
      </c>
      <c r="AB140" s="3">
        <f>(N140-Pool!$D$2)/Pool!$E$2</f>
        <v/>
      </c>
      <c r="AC140" s="3">
        <f>(O140-Pool!$D$3)/Pool!$E$3</f>
        <v/>
      </c>
      <c r="AD140" s="3">
        <f>(P140-Pool!$D$4)/Pool!$E$4</f>
        <v/>
      </c>
      <c r="AE140" s="3">
        <f>(Q140-Pool!$D$5)/Pool!$E$5</f>
        <v/>
      </c>
      <c r="AF140" s="3">
        <f>(R140-Pool!$D$6)/Pool!$E$6</f>
        <v/>
      </c>
      <c r="AG140" s="3">
        <f>(S140-Pool!$D$7)/Pool!$E$7</f>
        <v/>
      </c>
      <c r="AH140" s="3">
        <f>(AS140-Pool!$D$8)/Pool!$E$8</f>
        <v/>
      </c>
      <c r="AI140" s="3">
        <f>(AT140-Pool!$D$9)/Pool!$E$9</f>
        <v/>
      </c>
      <c r="AJ140" s="3">
        <f>-(T140-Pool!$D$10)/Pool!$E$10</f>
        <v/>
      </c>
      <c r="AL140">
        <f>MATCH(B140,'Player Data'!$A:$A,0)</f>
        <v/>
      </c>
      <c r="AM140" s="3">
        <f>1+IF(Settings!$F$10="ON",IFERROR(VLOOKUP(TRIM(F140),Settings!$D$12:$F$17,3,FALSE),0),0)</f>
        <v/>
      </c>
      <c r="AN140">
        <f>IFERROR(LEFT(C140,FIND(",",C140)-1),C140)</f>
        <v/>
      </c>
      <c r="AO140" s="6">
        <f>X140*(U140-Pool!$B$12)</f>
        <v/>
      </c>
      <c r="AP140" s="6">
        <f>Z140*(V140-Pool!$B$13)</f>
        <v/>
      </c>
      <c r="AQ140" s="3">
        <f>Settings!$B$2*(N140-Pool!$B$2)/Pool!$C$2+Settings!$B$3*(O140-Pool!$B$3)/Pool!$C$3+Settings!$B$4*(P140-Pool!$B$4)/Pool!$C$4+Settings!$B$5*(Q140-Pool!$B$5)/Pool!$C$5+Settings!$B$6*(R140-Pool!$B$6)/Pool!$C$6+Settings!$B$7*(S140-Pool!$B$7)/Pool!$C$7+Settings!$B$8*(AO140-Pool!$B$8)/Pool!$C$8+Settings!$B$9*(AP140-Pool!$B$9)/Pool!$C$9+Settings!$B$10*-(T140-Pool!$B$10)/Pool!$C$10</f>
        <v/>
      </c>
      <c r="AR140">
        <f>IF(RANK(AQ140,$AQ$2:$AQ$266)&lt;=Settings!$F$5,1,0)</f>
        <v/>
      </c>
      <c r="AS140" s="6">
        <f>X140*(U140-Pool!$D$12)</f>
        <v/>
      </c>
      <c r="AT140" s="6">
        <f>Z140*(V140-Pool!$D$13)</f>
        <v/>
      </c>
    </row>
    <row r="141">
      <c r="A141">
        <f>RANK(H141,$H$2:$H$266)</f>
        <v/>
      </c>
      <c r="B141" t="inlineStr">
        <is>
          <t>P.J. Washington Jr.</t>
        </is>
      </c>
      <c r="C141">
        <f>INDEX('Player Data'!$C:$C,AL141)</f>
        <v/>
      </c>
      <c r="D141">
        <f>SUMPRODUCT(($AN$2:$AN$266=AN141)*($H$2:$H$266&gt;H141))+1</f>
        <v/>
      </c>
      <c r="E141">
        <f>INDEX('Player Data'!$B:$B,AL141)</f>
        <v/>
      </c>
      <c r="F141" s="2" t="n"/>
      <c r="G141" s="3">
        <f>Settings!$B$2*AB141+Settings!$B$3*AC141+Settings!$B$4*AD141+Settings!$B$5*AE141+Settings!$B$6*AF141+Settings!$B$7*AG141+Settings!$B$8*AH141+Settings!$B$9*AI141+Settings!$B$10*AJ141</f>
        <v/>
      </c>
      <c r="H141" s="3">
        <f>G141-LARGE($G$2:$G$266,Settings!$F$4)</f>
        <v/>
      </c>
      <c r="I141">
        <f>IF(INDEX('Player Data'!$R:$R,AL141)="","",INDEX('Player Data'!$R:$R,AL141))</f>
        <v/>
      </c>
      <c r="J141" s="4">
        <f>IF(I141="","",I141-A141)</f>
        <v/>
      </c>
      <c r="L141" s="5">
        <f>IF(Settings!$F$7="Yes",INDEX('Minutes &amp; Health'!$O:$O,AL141),Settings!$F$8)</f>
        <v/>
      </c>
      <c r="M141" s="6">
        <f>INDEX('Minutes &amp; Health'!$P:$P,AL141)</f>
        <v/>
      </c>
      <c r="N141" s="5">
        <f>INDEX('Player Data'!$F:$F,AL141)/INDEX('Player Data'!$E:$E,AL141)*M141*L141*AM141</f>
        <v/>
      </c>
      <c r="O141" s="5">
        <f>INDEX('Player Data'!$G:$G,AL141)/INDEX('Player Data'!$E:$E,AL141)*M141*L141*AM141</f>
        <v/>
      </c>
      <c r="P141" s="5">
        <f>INDEX('Player Data'!$H:$H,AL141)/INDEX('Player Data'!$E:$E,AL141)*M141*L141*AM141</f>
        <v/>
      </c>
      <c r="Q141" s="5">
        <f>INDEX('Player Data'!$I:$I,AL141)/INDEX('Player Data'!$E:$E,AL141)*M141*L141*AM141</f>
        <v/>
      </c>
      <c r="R141" s="5">
        <f>INDEX('Player Data'!$J:$J,AL141)/INDEX('Player Data'!$E:$E,AL141)*M141*L141*AM141</f>
        <v/>
      </c>
      <c r="S141" s="5">
        <f>INDEX('Player Data'!$K:$K,AL141)/INDEX('Player Data'!$E:$E,AL141)*M141*L141*AM141</f>
        <v/>
      </c>
      <c r="T141" s="5">
        <f>INDEX('Player Data'!$L:$L,AL141)/INDEX('Player Data'!$E:$E,AL141)*M141*L141*AM141</f>
        <v/>
      </c>
      <c r="U141" s="7">
        <f>INDEX('Player Data'!$M:$M,AL141)</f>
        <v/>
      </c>
      <c r="V141" s="7">
        <f>INDEX('Player Data'!$N:$N,AL141)</f>
        <v/>
      </c>
      <c r="W141" s="5">
        <f>X141*U141</f>
        <v/>
      </c>
      <c r="X141" s="5">
        <f>INDEX('Player Data'!$O:$O,AL141)/INDEX('Player Data'!$E:$E,AL141)*M141*L141*AM141</f>
        <v/>
      </c>
      <c r="Y141" s="5">
        <f>Z141*V141</f>
        <v/>
      </c>
      <c r="Z141" s="5">
        <f>INDEX('Player Data'!$P:$P,AL141)/INDEX('Player Data'!$E:$E,AL141)*M141*L141*AM141</f>
        <v/>
      </c>
      <c r="AB141" s="3">
        <f>(N141-Pool!$D$2)/Pool!$E$2</f>
        <v/>
      </c>
      <c r="AC141" s="3">
        <f>(O141-Pool!$D$3)/Pool!$E$3</f>
        <v/>
      </c>
      <c r="AD141" s="3">
        <f>(P141-Pool!$D$4)/Pool!$E$4</f>
        <v/>
      </c>
      <c r="AE141" s="3">
        <f>(Q141-Pool!$D$5)/Pool!$E$5</f>
        <v/>
      </c>
      <c r="AF141" s="3">
        <f>(R141-Pool!$D$6)/Pool!$E$6</f>
        <v/>
      </c>
      <c r="AG141" s="3">
        <f>(S141-Pool!$D$7)/Pool!$E$7</f>
        <v/>
      </c>
      <c r="AH141" s="3">
        <f>(AS141-Pool!$D$8)/Pool!$E$8</f>
        <v/>
      </c>
      <c r="AI141" s="3">
        <f>(AT141-Pool!$D$9)/Pool!$E$9</f>
        <v/>
      </c>
      <c r="AJ141" s="3">
        <f>-(T141-Pool!$D$10)/Pool!$E$10</f>
        <v/>
      </c>
      <c r="AL141">
        <f>MATCH(B141,'Player Data'!$A:$A,0)</f>
        <v/>
      </c>
      <c r="AM141" s="3">
        <f>1+IF(Settings!$F$10="ON",IFERROR(VLOOKUP(TRIM(F141),Settings!$D$12:$F$17,3,FALSE),0),0)</f>
        <v/>
      </c>
      <c r="AN141">
        <f>IFERROR(LEFT(C141,FIND(",",C141)-1),C141)</f>
        <v/>
      </c>
      <c r="AO141" s="6">
        <f>X141*(U141-Pool!$B$12)</f>
        <v/>
      </c>
      <c r="AP141" s="6">
        <f>Z141*(V141-Pool!$B$13)</f>
        <v/>
      </c>
      <c r="AQ141" s="3">
        <f>Settings!$B$2*(N141-Pool!$B$2)/Pool!$C$2+Settings!$B$3*(O141-Pool!$B$3)/Pool!$C$3+Settings!$B$4*(P141-Pool!$B$4)/Pool!$C$4+Settings!$B$5*(Q141-Pool!$B$5)/Pool!$C$5+Settings!$B$6*(R141-Pool!$B$6)/Pool!$C$6+Settings!$B$7*(S141-Pool!$B$7)/Pool!$C$7+Settings!$B$8*(AO141-Pool!$B$8)/Pool!$C$8+Settings!$B$9*(AP141-Pool!$B$9)/Pool!$C$9+Settings!$B$10*-(T141-Pool!$B$10)/Pool!$C$10</f>
        <v/>
      </c>
      <c r="AR141">
        <f>IF(RANK(AQ141,$AQ$2:$AQ$266)&lt;=Settings!$F$5,1,0)</f>
        <v/>
      </c>
      <c r="AS141" s="6">
        <f>X141*(U141-Pool!$D$12)</f>
        <v/>
      </c>
      <c r="AT141" s="6">
        <f>Z141*(V141-Pool!$D$13)</f>
        <v/>
      </c>
    </row>
    <row r="142">
      <c r="A142">
        <f>RANK(H142,$H$2:$H$266)</f>
        <v/>
      </c>
      <c r="B142" t="inlineStr">
        <is>
          <t>Morez Johnson Jr.</t>
        </is>
      </c>
      <c r="C142">
        <f>INDEX('Player Data'!$C:$C,AL142)</f>
        <v/>
      </c>
      <c r="D142">
        <f>SUMPRODUCT(($AN$2:$AN$266=AN142)*($H$2:$H$266&gt;H142))+1</f>
        <v/>
      </c>
      <c r="E142">
        <f>INDEX('Player Data'!$B:$B,AL142)</f>
        <v/>
      </c>
      <c r="F142" s="2" t="n"/>
      <c r="G142" s="3">
        <f>Settings!$B$2*AB142+Settings!$B$3*AC142+Settings!$B$4*AD142+Settings!$B$5*AE142+Settings!$B$6*AF142+Settings!$B$7*AG142+Settings!$B$8*AH142+Settings!$B$9*AI142+Settings!$B$10*AJ142</f>
        <v/>
      </c>
      <c r="H142" s="3">
        <f>G142-LARGE($G$2:$G$266,Settings!$F$4)</f>
        <v/>
      </c>
      <c r="I142">
        <f>IF(INDEX('Player Data'!$R:$R,AL142)="","",INDEX('Player Data'!$R:$R,AL142))</f>
        <v/>
      </c>
      <c r="J142" s="4">
        <f>IF(I142="","",I142-A142)</f>
        <v/>
      </c>
      <c r="L142" s="5">
        <f>IF(Settings!$F$7="Yes",INDEX('Minutes &amp; Health'!$O:$O,AL142),Settings!$F$8)</f>
        <v/>
      </c>
      <c r="M142" s="6">
        <f>INDEX('Minutes &amp; Health'!$P:$P,AL142)</f>
        <v/>
      </c>
      <c r="N142" s="5">
        <f>INDEX('Player Data'!$F:$F,AL142)/INDEX('Player Data'!$E:$E,AL142)*M142*L142*AM142</f>
        <v/>
      </c>
      <c r="O142" s="5">
        <f>INDEX('Player Data'!$G:$G,AL142)/INDEX('Player Data'!$E:$E,AL142)*M142*L142*AM142</f>
        <v/>
      </c>
      <c r="P142" s="5">
        <f>INDEX('Player Data'!$H:$H,AL142)/INDEX('Player Data'!$E:$E,AL142)*M142*L142*AM142</f>
        <v/>
      </c>
      <c r="Q142" s="5">
        <f>INDEX('Player Data'!$I:$I,AL142)/INDEX('Player Data'!$E:$E,AL142)*M142*L142*AM142</f>
        <v/>
      </c>
      <c r="R142" s="5">
        <f>INDEX('Player Data'!$J:$J,AL142)/INDEX('Player Data'!$E:$E,AL142)*M142*L142*AM142</f>
        <v/>
      </c>
      <c r="S142" s="5">
        <f>INDEX('Player Data'!$K:$K,AL142)/INDEX('Player Data'!$E:$E,AL142)*M142*L142*AM142</f>
        <v/>
      </c>
      <c r="T142" s="5">
        <f>INDEX('Player Data'!$L:$L,AL142)/INDEX('Player Data'!$E:$E,AL142)*M142*L142*AM142</f>
        <v/>
      </c>
      <c r="U142" s="7">
        <f>INDEX('Player Data'!$M:$M,AL142)</f>
        <v/>
      </c>
      <c r="V142" s="7">
        <f>INDEX('Player Data'!$N:$N,AL142)</f>
        <v/>
      </c>
      <c r="W142" s="5">
        <f>X142*U142</f>
        <v/>
      </c>
      <c r="X142" s="5">
        <f>INDEX('Player Data'!$O:$O,AL142)/INDEX('Player Data'!$E:$E,AL142)*M142*L142*AM142</f>
        <v/>
      </c>
      <c r="Y142" s="5">
        <f>Z142*V142</f>
        <v/>
      </c>
      <c r="Z142" s="5">
        <f>INDEX('Player Data'!$P:$P,AL142)/INDEX('Player Data'!$E:$E,AL142)*M142*L142*AM142</f>
        <v/>
      </c>
      <c r="AB142" s="3">
        <f>(N142-Pool!$D$2)/Pool!$E$2</f>
        <v/>
      </c>
      <c r="AC142" s="3">
        <f>(O142-Pool!$D$3)/Pool!$E$3</f>
        <v/>
      </c>
      <c r="AD142" s="3">
        <f>(P142-Pool!$D$4)/Pool!$E$4</f>
        <v/>
      </c>
      <c r="AE142" s="3">
        <f>(Q142-Pool!$D$5)/Pool!$E$5</f>
        <v/>
      </c>
      <c r="AF142" s="3">
        <f>(R142-Pool!$D$6)/Pool!$E$6</f>
        <v/>
      </c>
      <c r="AG142" s="3">
        <f>(S142-Pool!$D$7)/Pool!$E$7</f>
        <v/>
      </c>
      <c r="AH142" s="3">
        <f>(AS142-Pool!$D$8)/Pool!$E$8</f>
        <v/>
      </c>
      <c r="AI142" s="3">
        <f>(AT142-Pool!$D$9)/Pool!$E$9</f>
        <v/>
      </c>
      <c r="AJ142" s="3">
        <f>-(T142-Pool!$D$10)/Pool!$E$10</f>
        <v/>
      </c>
      <c r="AL142">
        <f>MATCH(B142,'Player Data'!$A:$A,0)</f>
        <v/>
      </c>
      <c r="AM142" s="3">
        <f>1+IF(Settings!$F$10="ON",IFERROR(VLOOKUP(TRIM(F142),Settings!$D$12:$F$17,3,FALSE),0),0)</f>
        <v/>
      </c>
      <c r="AN142">
        <f>IFERROR(LEFT(C142,FIND(",",C142)-1),C142)</f>
        <v/>
      </c>
      <c r="AO142" s="6">
        <f>X142*(U142-Pool!$B$12)</f>
        <v/>
      </c>
      <c r="AP142" s="6">
        <f>Z142*(V142-Pool!$B$13)</f>
        <v/>
      </c>
      <c r="AQ142" s="3">
        <f>Settings!$B$2*(N142-Pool!$B$2)/Pool!$C$2+Settings!$B$3*(O142-Pool!$B$3)/Pool!$C$3+Settings!$B$4*(P142-Pool!$B$4)/Pool!$C$4+Settings!$B$5*(Q142-Pool!$B$5)/Pool!$C$5+Settings!$B$6*(R142-Pool!$B$6)/Pool!$C$6+Settings!$B$7*(S142-Pool!$B$7)/Pool!$C$7+Settings!$B$8*(AO142-Pool!$B$8)/Pool!$C$8+Settings!$B$9*(AP142-Pool!$B$9)/Pool!$C$9+Settings!$B$10*-(T142-Pool!$B$10)/Pool!$C$10</f>
        <v/>
      </c>
      <c r="AR142">
        <f>IF(RANK(AQ142,$AQ$2:$AQ$266)&lt;=Settings!$F$5,1,0)</f>
        <v/>
      </c>
      <c r="AS142" s="6">
        <f>X142*(U142-Pool!$D$12)</f>
        <v/>
      </c>
      <c r="AT142" s="6">
        <f>Z142*(V142-Pool!$D$13)</f>
        <v/>
      </c>
    </row>
    <row r="143">
      <c r="A143">
        <f>RANK(H143,$H$2:$H$266)</f>
        <v/>
      </c>
      <c r="B143" t="inlineStr">
        <is>
          <t>Al Horford</t>
        </is>
      </c>
      <c r="C143">
        <f>INDEX('Player Data'!$C:$C,AL143)</f>
        <v/>
      </c>
      <c r="D143">
        <f>SUMPRODUCT(($AN$2:$AN$266=AN143)*($H$2:$H$266&gt;H143))+1</f>
        <v/>
      </c>
      <c r="E143">
        <f>INDEX('Player Data'!$B:$B,AL143)</f>
        <v/>
      </c>
      <c r="F143" s="2" t="n"/>
      <c r="G143" s="3">
        <f>Settings!$B$2*AB143+Settings!$B$3*AC143+Settings!$B$4*AD143+Settings!$B$5*AE143+Settings!$B$6*AF143+Settings!$B$7*AG143+Settings!$B$8*AH143+Settings!$B$9*AI143+Settings!$B$10*AJ143</f>
        <v/>
      </c>
      <c r="H143" s="3">
        <f>G143-LARGE($G$2:$G$266,Settings!$F$4)</f>
        <v/>
      </c>
      <c r="I143">
        <f>IF(INDEX('Player Data'!$R:$R,AL143)="","",INDEX('Player Data'!$R:$R,AL143))</f>
        <v/>
      </c>
      <c r="J143" s="4">
        <f>IF(I143="","",I143-A143)</f>
        <v/>
      </c>
      <c r="L143" s="5">
        <f>IF(Settings!$F$7="Yes",INDEX('Minutes &amp; Health'!$O:$O,AL143),Settings!$F$8)</f>
        <v/>
      </c>
      <c r="M143" s="6">
        <f>INDEX('Minutes &amp; Health'!$P:$P,AL143)</f>
        <v/>
      </c>
      <c r="N143" s="5">
        <f>INDEX('Player Data'!$F:$F,AL143)/INDEX('Player Data'!$E:$E,AL143)*M143*L143*AM143</f>
        <v/>
      </c>
      <c r="O143" s="5">
        <f>INDEX('Player Data'!$G:$G,AL143)/INDEX('Player Data'!$E:$E,AL143)*M143*L143*AM143</f>
        <v/>
      </c>
      <c r="P143" s="5">
        <f>INDEX('Player Data'!$H:$H,AL143)/INDEX('Player Data'!$E:$E,AL143)*M143*L143*AM143</f>
        <v/>
      </c>
      <c r="Q143" s="5">
        <f>INDEX('Player Data'!$I:$I,AL143)/INDEX('Player Data'!$E:$E,AL143)*M143*L143*AM143</f>
        <v/>
      </c>
      <c r="R143" s="5">
        <f>INDEX('Player Data'!$J:$J,AL143)/INDEX('Player Data'!$E:$E,AL143)*M143*L143*AM143</f>
        <v/>
      </c>
      <c r="S143" s="5">
        <f>INDEX('Player Data'!$K:$K,AL143)/INDEX('Player Data'!$E:$E,AL143)*M143*L143*AM143</f>
        <v/>
      </c>
      <c r="T143" s="5">
        <f>INDEX('Player Data'!$L:$L,AL143)/INDEX('Player Data'!$E:$E,AL143)*M143*L143*AM143</f>
        <v/>
      </c>
      <c r="U143" s="7">
        <f>INDEX('Player Data'!$M:$M,AL143)</f>
        <v/>
      </c>
      <c r="V143" s="7">
        <f>INDEX('Player Data'!$N:$N,AL143)</f>
        <v/>
      </c>
      <c r="W143" s="5">
        <f>X143*U143</f>
        <v/>
      </c>
      <c r="X143" s="5">
        <f>INDEX('Player Data'!$O:$O,AL143)/INDEX('Player Data'!$E:$E,AL143)*M143*L143*AM143</f>
        <v/>
      </c>
      <c r="Y143" s="5">
        <f>Z143*V143</f>
        <v/>
      </c>
      <c r="Z143" s="5">
        <f>INDEX('Player Data'!$P:$P,AL143)/INDEX('Player Data'!$E:$E,AL143)*M143*L143*AM143</f>
        <v/>
      </c>
      <c r="AB143" s="3">
        <f>(N143-Pool!$D$2)/Pool!$E$2</f>
        <v/>
      </c>
      <c r="AC143" s="3">
        <f>(O143-Pool!$D$3)/Pool!$E$3</f>
        <v/>
      </c>
      <c r="AD143" s="3">
        <f>(P143-Pool!$D$4)/Pool!$E$4</f>
        <v/>
      </c>
      <c r="AE143" s="3">
        <f>(Q143-Pool!$D$5)/Pool!$E$5</f>
        <v/>
      </c>
      <c r="AF143" s="3">
        <f>(R143-Pool!$D$6)/Pool!$E$6</f>
        <v/>
      </c>
      <c r="AG143" s="3">
        <f>(S143-Pool!$D$7)/Pool!$E$7</f>
        <v/>
      </c>
      <c r="AH143" s="3">
        <f>(AS143-Pool!$D$8)/Pool!$E$8</f>
        <v/>
      </c>
      <c r="AI143" s="3">
        <f>(AT143-Pool!$D$9)/Pool!$E$9</f>
        <v/>
      </c>
      <c r="AJ143" s="3">
        <f>-(T143-Pool!$D$10)/Pool!$E$10</f>
        <v/>
      </c>
      <c r="AL143">
        <f>MATCH(B143,'Player Data'!$A:$A,0)</f>
        <v/>
      </c>
      <c r="AM143" s="3">
        <f>1+IF(Settings!$F$10="ON",IFERROR(VLOOKUP(TRIM(F143),Settings!$D$12:$F$17,3,FALSE),0),0)</f>
        <v/>
      </c>
      <c r="AN143">
        <f>IFERROR(LEFT(C143,FIND(",",C143)-1),C143)</f>
        <v/>
      </c>
      <c r="AO143" s="6">
        <f>X143*(U143-Pool!$B$12)</f>
        <v/>
      </c>
      <c r="AP143" s="6">
        <f>Z143*(V143-Pool!$B$13)</f>
        <v/>
      </c>
      <c r="AQ143" s="3">
        <f>Settings!$B$2*(N143-Pool!$B$2)/Pool!$C$2+Settings!$B$3*(O143-Pool!$B$3)/Pool!$C$3+Settings!$B$4*(P143-Pool!$B$4)/Pool!$C$4+Settings!$B$5*(Q143-Pool!$B$5)/Pool!$C$5+Settings!$B$6*(R143-Pool!$B$6)/Pool!$C$6+Settings!$B$7*(S143-Pool!$B$7)/Pool!$C$7+Settings!$B$8*(AO143-Pool!$B$8)/Pool!$C$8+Settings!$B$9*(AP143-Pool!$B$9)/Pool!$C$9+Settings!$B$10*-(T143-Pool!$B$10)/Pool!$C$10</f>
        <v/>
      </c>
      <c r="AR143">
        <f>IF(RANK(AQ143,$AQ$2:$AQ$266)&lt;=Settings!$F$5,1,0)</f>
        <v/>
      </c>
      <c r="AS143" s="6">
        <f>X143*(U143-Pool!$D$12)</f>
        <v/>
      </c>
      <c r="AT143" s="6">
        <f>Z143*(V143-Pool!$D$13)</f>
        <v/>
      </c>
    </row>
    <row r="144">
      <c r="A144">
        <f>RANK(H144,$H$2:$H$266)</f>
        <v/>
      </c>
      <c r="B144" t="inlineStr">
        <is>
          <t>Saddiq Bey</t>
        </is>
      </c>
      <c r="C144">
        <f>INDEX('Player Data'!$C:$C,AL144)</f>
        <v/>
      </c>
      <c r="D144">
        <f>SUMPRODUCT(($AN$2:$AN$266=AN144)*($H$2:$H$266&gt;H144))+1</f>
        <v/>
      </c>
      <c r="E144">
        <f>INDEX('Player Data'!$B:$B,AL144)</f>
        <v/>
      </c>
      <c r="F144" s="2" t="n"/>
      <c r="G144" s="3">
        <f>Settings!$B$2*AB144+Settings!$B$3*AC144+Settings!$B$4*AD144+Settings!$B$5*AE144+Settings!$B$6*AF144+Settings!$B$7*AG144+Settings!$B$8*AH144+Settings!$B$9*AI144+Settings!$B$10*AJ144</f>
        <v/>
      </c>
      <c r="H144" s="3">
        <f>G144-LARGE($G$2:$G$266,Settings!$F$4)</f>
        <v/>
      </c>
      <c r="I144">
        <f>IF(INDEX('Player Data'!$R:$R,AL144)="","",INDEX('Player Data'!$R:$R,AL144))</f>
        <v/>
      </c>
      <c r="J144" s="4">
        <f>IF(I144="","",I144-A144)</f>
        <v/>
      </c>
      <c r="L144" s="5">
        <f>IF(Settings!$F$7="Yes",INDEX('Minutes &amp; Health'!$O:$O,AL144),Settings!$F$8)</f>
        <v/>
      </c>
      <c r="M144" s="6">
        <f>INDEX('Minutes &amp; Health'!$P:$P,AL144)</f>
        <v/>
      </c>
      <c r="N144" s="5">
        <f>INDEX('Player Data'!$F:$F,AL144)/INDEX('Player Data'!$E:$E,AL144)*M144*L144*AM144</f>
        <v/>
      </c>
      <c r="O144" s="5">
        <f>INDEX('Player Data'!$G:$G,AL144)/INDEX('Player Data'!$E:$E,AL144)*M144*L144*AM144</f>
        <v/>
      </c>
      <c r="P144" s="5">
        <f>INDEX('Player Data'!$H:$H,AL144)/INDEX('Player Data'!$E:$E,AL144)*M144*L144*AM144</f>
        <v/>
      </c>
      <c r="Q144" s="5">
        <f>INDEX('Player Data'!$I:$I,AL144)/INDEX('Player Data'!$E:$E,AL144)*M144*L144*AM144</f>
        <v/>
      </c>
      <c r="R144" s="5">
        <f>INDEX('Player Data'!$J:$J,AL144)/INDEX('Player Data'!$E:$E,AL144)*M144*L144*AM144</f>
        <v/>
      </c>
      <c r="S144" s="5">
        <f>INDEX('Player Data'!$K:$K,AL144)/INDEX('Player Data'!$E:$E,AL144)*M144*L144*AM144</f>
        <v/>
      </c>
      <c r="T144" s="5">
        <f>INDEX('Player Data'!$L:$L,AL144)/INDEX('Player Data'!$E:$E,AL144)*M144*L144*AM144</f>
        <v/>
      </c>
      <c r="U144" s="7">
        <f>INDEX('Player Data'!$M:$M,AL144)</f>
        <v/>
      </c>
      <c r="V144" s="7">
        <f>INDEX('Player Data'!$N:$N,AL144)</f>
        <v/>
      </c>
      <c r="W144" s="5">
        <f>X144*U144</f>
        <v/>
      </c>
      <c r="X144" s="5">
        <f>INDEX('Player Data'!$O:$O,AL144)/INDEX('Player Data'!$E:$E,AL144)*M144*L144*AM144</f>
        <v/>
      </c>
      <c r="Y144" s="5">
        <f>Z144*V144</f>
        <v/>
      </c>
      <c r="Z144" s="5">
        <f>INDEX('Player Data'!$P:$P,AL144)/INDEX('Player Data'!$E:$E,AL144)*M144*L144*AM144</f>
        <v/>
      </c>
      <c r="AB144" s="3">
        <f>(N144-Pool!$D$2)/Pool!$E$2</f>
        <v/>
      </c>
      <c r="AC144" s="3">
        <f>(O144-Pool!$D$3)/Pool!$E$3</f>
        <v/>
      </c>
      <c r="AD144" s="3">
        <f>(P144-Pool!$D$4)/Pool!$E$4</f>
        <v/>
      </c>
      <c r="AE144" s="3">
        <f>(Q144-Pool!$D$5)/Pool!$E$5</f>
        <v/>
      </c>
      <c r="AF144" s="3">
        <f>(R144-Pool!$D$6)/Pool!$E$6</f>
        <v/>
      </c>
      <c r="AG144" s="3">
        <f>(S144-Pool!$D$7)/Pool!$E$7</f>
        <v/>
      </c>
      <c r="AH144" s="3">
        <f>(AS144-Pool!$D$8)/Pool!$E$8</f>
        <v/>
      </c>
      <c r="AI144" s="3">
        <f>(AT144-Pool!$D$9)/Pool!$E$9</f>
        <v/>
      </c>
      <c r="AJ144" s="3">
        <f>-(T144-Pool!$D$10)/Pool!$E$10</f>
        <v/>
      </c>
      <c r="AL144">
        <f>MATCH(B144,'Player Data'!$A:$A,0)</f>
        <v/>
      </c>
      <c r="AM144" s="3">
        <f>1+IF(Settings!$F$10="ON",IFERROR(VLOOKUP(TRIM(F144),Settings!$D$12:$F$17,3,FALSE),0),0)</f>
        <v/>
      </c>
      <c r="AN144">
        <f>IFERROR(LEFT(C144,FIND(",",C144)-1),C144)</f>
        <v/>
      </c>
      <c r="AO144" s="6">
        <f>X144*(U144-Pool!$B$12)</f>
        <v/>
      </c>
      <c r="AP144" s="6">
        <f>Z144*(V144-Pool!$B$13)</f>
        <v/>
      </c>
      <c r="AQ144" s="3">
        <f>Settings!$B$2*(N144-Pool!$B$2)/Pool!$C$2+Settings!$B$3*(O144-Pool!$B$3)/Pool!$C$3+Settings!$B$4*(P144-Pool!$B$4)/Pool!$C$4+Settings!$B$5*(Q144-Pool!$B$5)/Pool!$C$5+Settings!$B$6*(R144-Pool!$B$6)/Pool!$C$6+Settings!$B$7*(S144-Pool!$B$7)/Pool!$C$7+Settings!$B$8*(AO144-Pool!$B$8)/Pool!$C$8+Settings!$B$9*(AP144-Pool!$B$9)/Pool!$C$9+Settings!$B$10*-(T144-Pool!$B$10)/Pool!$C$10</f>
        <v/>
      </c>
      <c r="AR144">
        <f>IF(RANK(AQ144,$AQ$2:$AQ$266)&lt;=Settings!$F$5,1,0)</f>
        <v/>
      </c>
      <c r="AS144" s="6">
        <f>X144*(U144-Pool!$D$12)</f>
        <v/>
      </c>
      <c r="AT144" s="6">
        <f>Z144*(V144-Pool!$D$13)</f>
        <v/>
      </c>
    </row>
    <row r="145">
      <c r="A145">
        <f>RANK(H145,$H$2:$H$266)</f>
        <v/>
      </c>
      <c r="B145" t="inlineStr">
        <is>
          <t>Anthony Black</t>
        </is>
      </c>
      <c r="C145">
        <f>INDEX('Player Data'!$C:$C,AL145)</f>
        <v/>
      </c>
      <c r="D145">
        <f>SUMPRODUCT(($AN$2:$AN$266=AN145)*($H$2:$H$266&gt;H145))+1</f>
        <v/>
      </c>
      <c r="E145">
        <f>INDEX('Player Data'!$B:$B,AL145)</f>
        <v/>
      </c>
      <c r="F145" s="2" t="inlineStr">
        <is>
          <t>+</t>
        </is>
      </c>
      <c r="G145" s="3">
        <f>Settings!$B$2*AB145+Settings!$B$3*AC145+Settings!$B$4*AD145+Settings!$B$5*AE145+Settings!$B$6*AF145+Settings!$B$7*AG145+Settings!$B$8*AH145+Settings!$B$9*AI145+Settings!$B$10*AJ145</f>
        <v/>
      </c>
      <c r="H145" s="3">
        <f>G145-LARGE($G$2:$G$266,Settings!$F$4)</f>
        <v/>
      </c>
      <c r="I145">
        <f>IF(INDEX('Player Data'!$R:$R,AL145)="","",INDEX('Player Data'!$R:$R,AL145))</f>
        <v/>
      </c>
      <c r="J145" s="4">
        <f>IF(I145="","",I145-A145)</f>
        <v/>
      </c>
      <c r="L145" s="5">
        <f>IF(Settings!$F$7="Yes",INDEX('Minutes &amp; Health'!$O:$O,AL145),Settings!$F$8)</f>
        <v/>
      </c>
      <c r="M145" s="6">
        <f>INDEX('Minutes &amp; Health'!$P:$P,AL145)</f>
        <v/>
      </c>
      <c r="N145" s="5">
        <f>INDEX('Player Data'!$F:$F,AL145)/INDEX('Player Data'!$E:$E,AL145)*M145*L145*AM145</f>
        <v/>
      </c>
      <c r="O145" s="5">
        <f>INDEX('Player Data'!$G:$G,AL145)/INDEX('Player Data'!$E:$E,AL145)*M145*L145*AM145</f>
        <v/>
      </c>
      <c r="P145" s="5">
        <f>INDEX('Player Data'!$H:$H,AL145)/INDEX('Player Data'!$E:$E,AL145)*M145*L145*AM145</f>
        <v/>
      </c>
      <c r="Q145" s="5">
        <f>INDEX('Player Data'!$I:$I,AL145)/INDEX('Player Data'!$E:$E,AL145)*M145*L145*AM145</f>
        <v/>
      </c>
      <c r="R145" s="5">
        <f>INDEX('Player Data'!$J:$J,AL145)/INDEX('Player Data'!$E:$E,AL145)*M145*L145*AM145</f>
        <v/>
      </c>
      <c r="S145" s="5">
        <f>INDEX('Player Data'!$K:$K,AL145)/INDEX('Player Data'!$E:$E,AL145)*M145*L145*AM145</f>
        <v/>
      </c>
      <c r="T145" s="5">
        <f>INDEX('Player Data'!$L:$L,AL145)/INDEX('Player Data'!$E:$E,AL145)*M145*L145*AM145</f>
        <v/>
      </c>
      <c r="U145" s="7">
        <f>INDEX('Player Data'!$M:$M,AL145)</f>
        <v/>
      </c>
      <c r="V145" s="7">
        <f>INDEX('Player Data'!$N:$N,AL145)</f>
        <v/>
      </c>
      <c r="W145" s="5">
        <f>X145*U145</f>
        <v/>
      </c>
      <c r="X145" s="5">
        <f>INDEX('Player Data'!$O:$O,AL145)/INDEX('Player Data'!$E:$E,AL145)*M145*L145*AM145</f>
        <v/>
      </c>
      <c r="Y145" s="5">
        <f>Z145*V145</f>
        <v/>
      </c>
      <c r="Z145" s="5">
        <f>INDEX('Player Data'!$P:$P,AL145)/INDEX('Player Data'!$E:$E,AL145)*M145*L145*AM145</f>
        <v/>
      </c>
      <c r="AB145" s="3">
        <f>(N145-Pool!$D$2)/Pool!$E$2</f>
        <v/>
      </c>
      <c r="AC145" s="3">
        <f>(O145-Pool!$D$3)/Pool!$E$3</f>
        <v/>
      </c>
      <c r="AD145" s="3">
        <f>(P145-Pool!$D$4)/Pool!$E$4</f>
        <v/>
      </c>
      <c r="AE145" s="3">
        <f>(Q145-Pool!$D$5)/Pool!$E$5</f>
        <v/>
      </c>
      <c r="AF145" s="3">
        <f>(R145-Pool!$D$6)/Pool!$E$6</f>
        <v/>
      </c>
      <c r="AG145" s="3">
        <f>(S145-Pool!$D$7)/Pool!$E$7</f>
        <v/>
      </c>
      <c r="AH145" s="3">
        <f>(AS145-Pool!$D$8)/Pool!$E$8</f>
        <v/>
      </c>
      <c r="AI145" s="3">
        <f>(AT145-Pool!$D$9)/Pool!$E$9</f>
        <v/>
      </c>
      <c r="AJ145" s="3">
        <f>-(T145-Pool!$D$10)/Pool!$E$10</f>
        <v/>
      </c>
      <c r="AL145">
        <f>MATCH(B145,'Player Data'!$A:$A,0)</f>
        <v/>
      </c>
      <c r="AM145" s="3">
        <f>1+IF(Settings!$F$10="ON",IFERROR(VLOOKUP(TRIM(F145),Settings!$D$12:$F$17,3,FALSE),0),0)</f>
        <v/>
      </c>
      <c r="AN145">
        <f>IFERROR(LEFT(C145,FIND(",",C145)-1),C145)</f>
        <v/>
      </c>
      <c r="AO145" s="6">
        <f>X145*(U145-Pool!$B$12)</f>
        <v/>
      </c>
      <c r="AP145" s="6">
        <f>Z145*(V145-Pool!$B$13)</f>
        <v/>
      </c>
      <c r="AQ145" s="3">
        <f>Settings!$B$2*(N145-Pool!$B$2)/Pool!$C$2+Settings!$B$3*(O145-Pool!$B$3)/Pool!$C$3+Settings!$B$4*(P145-Pool!$B$4)/Pool!$C$4+Settings!$B$5*(Q145-Pool!$B$5)/Pool!$C$5+Settings!$B$6*(R145-Pool!$B$6)/Pool!$C$6+Settings!$B$7*(S145-Pool!$B$7)/Pool!$C$7+Settings!$B$8*(AO145-Pool!$B$8)/Pool!$C$8+Settings!$B$9*(AP145-Pool!$B$9)/Pool!$C$9+Settings!$B$10*-(T145-Pool!$B$10)/Pool!$C$10</f>
        <v/>
      </c>
      <c r="AR145">
        <f>IF(RANK(AQ145,$AQ$2:$AQ$266)&lt;=Settings!$F$5,1,0)</f>
        <v/>
      </c>
      <c r="AS145" s="6">
        <f>X145*(U145-Pool!$D$12)</f>
        <v/>
      </c>
      <c r="AT145" s="6">
        <f>Z145*(V145-Pool!$D$13)</f>
        <v/>
      </c>
    </row>
    <row r="146">
      <c r="A146">
        <f>RANK(H146,$H$2:$H$266)</f>
        <v/>
      </c>
      <c r="B146" t="inlineStr">
        <is>
          <t>Ace Bailey</t>
        </is>
      </c>
      <c r="C146">
        <f>INDEX('Player Data'!$C:$C,AL146)</f>
        <v/>
      </c>
      <c r="D146">
        <f>SUMPRODUCT(($AN$2:$AN$266=AN146)*($H$2:$H$266&gt;H146))+1</f>
        <v/>
      </c>
      <c r="E146">
        <f>INDEX('Player Data'!$B:$B,AL146)</f>
        <v/>
      </c>
      <c r="F146" s="2" t="n"/>
      <c r="G146" s="3">
        <f>Settings!$B$2*AB146+Settings!$B$3*AC146+Settings!$B$4*AD146+Settings!$B$5*AE146+Settings!$B$6*AF146+Settings!$B$7*AG146+Settings!$B$8*AH146+Settings!$B$9*AI146+Settings!$B$10*AJ146</f>
        <v/>
      </c>
      <c r="H146" s="3">
        <f>G146-LARGE($G$2:$G$266,Settings!$F$4)</f>
        <v/>
      </c>
      <c r="I146">
        <f>IF(INDEX('Player Data'!$R:$R,AL146)="","",INDEX('Player Data'!$R:$R,AL146))</f>
        <v/>
      </c>
      <c r="J146" s="4">
        <f>IF(I146="","",I146-A146)</f>
        <v/>
      </c>
      <c r="L146" s="5">
        <f>IF(Settings!$F$7="Yes",INDEX('Minutes &amp; Health'!$O:$O,AL146),Settings!$F$8)</f>
        <v/>
      </c>
      <c r="M146" s="6">
        <f>INDEX('Minutes &amp; Health'!$P:$P,AL146)</f>
        <v/>
      </c>
      <c r="N146" s="5">
        <f>INDEX('Player Data'!$F:$F,AL146)/INDEX('Player Data'!$E:$E,AL146)*M146*L146*AM146</f>
        <v/>
      </c>
      <c r="O146" s="5">
        <f>INDEX('Player Data'!$G:$G,AL146)/INDEX('Player Data'!$E:$E,AL146)*M146*L146*AM146</f>
        <v/>
      </c>
      <c r="P146" s="5">
        <f>INDEX('Player Data'!$H:$H,AL146)/INDEX('Player Data'!$E:$E,AL146)*M146*L146*AM146</f>
        <v/>
      </c>
      <c r="Q146" s="5">
        <f>INDEX('Player Data'!$I:$I,AL146)/INDEX('Player Data'!$E:$E,AL146)*M146*L146*AM146</f>
        <v/>
      </c>
      <c r="R146" s="5">
        <f>INDEX('Player Data'!$J:$J,AL146)/INDEX('Player Data'!$E:$E,AL146)*M146*L146*AM146</f>
        <v/>
      </c>
      <c r="S146" s="5">
        <f>INDEX('Player Data'!$K:$K,AL146)/INDEX('Player Data'!$E:$E,AL146)*M146*L146*AM146</f>
        <v/>
      </c>
      <c r="T146" s="5">
        <f>INDEX('Player Data'!$L:$L,AL146)/INDEX('Player Data'!$E:$E,AL146)*M146*L146*AM146</f>
        <v/>
      </c>
      <c r="U146" s="7">
        <f>INDEX('Player Data'!$M:$M,AL146)</f>
        <v/>
      </c>
      <c r="V146" s="7">
        <f>INDEX('Player Data'!$N:$N,AL146)</f>
        <v/>
      </c>
      <c r="W146" s="5">
        <f>X146*U146</f>
        <v/>
      </c>
      <c r="X146" s="5">
        <f>INDEX('Player Data'!$O:$O,AL146)/INDEX('Player Data'!$E:$E,AL146)*M146*L146*AM146</f>
        <v/>
      </c>
      <c r="Y146" s="5">
        <f>Z146*V146</f>
        <v/>
      </c>
      <c r="Z146" s="5">
        <f>INDEX('Player Data'!$P:$P,AL146)/INDEX('Player Data'!$E:$E,AL146)*M146*L146*AM146</f>
        <v/>
      </c>
      <c r="AB146" s="3">
        <f>(N146-Pool!$D$2)/Pool!$E$2</f>
        <v/>
      </c>
      <c r="AC146" s="3">
        <f>(O146-Pool!$D$3)/Pool!$E$3</f>
        <v/>
      </c>
      <c r="AD146" s="3">
        <f>(P146-Pool!$D$4)/Pool!$E$4</f>
        <v/>
      </c>
      <c r="AE146" s="3">
        <f>(Q146-Pool!$D$5)/Pool!$E$5</f>
        <v/>
      </c>
      <c r="AF146" s="3">
        <f>(R146-Pool!$D$6)/Pool!$E$6</f>
        <v/>
      </c>
      <c r="AG146" s="3">
        <f>(S146-Pool!$D$7)/Pool!$E$7</f>
        <v/>
      </c>
      <c r="AH146" s="3">
        <f>(AS146-Pool!$D$8)/Pool!$E$8</f>
        <v/>
      </c>
      <c r="AI146" s="3">
        <f>(AT146-Pool!$D$9)/Pool!$E$9</f>
        <v/>
      </c>
      <c r="AJ146" s="3">
        <f>-(T146-Pool!$D$10)/Pool!$E$10</f>
        <v/>
      </c>
      <c r="AL146">
        <f>MATCH(B146,'Player Data'!$A:$A,0)</f>
        <v/>
      </c>
      <c r="AM146" s="3">
        <f>1+IF(Settings!$F$10="ON",IFERROR(VLOOKUP(TRIM(F146),Settings!$D$12:$F$17,3,FALSE),0),0)</f>
        <v/>
      </c>
      <c r="AN146">
        <f>IFERROR(LEFT(C146,FIND(",",C146)-1),C146)</f>
        <v/>
      </c>
      <c r="AO146" s="6">
        <f>X146*(U146-Pool!$B$12)</f>
        <v/>
      </c>
      <c r="AP146" s="6">
        <f>Z146*(V146-Pool!$B$13)</f>
        <v/>
      </c>
      <c r="AQ146" s="3">
        <f>Settings!$B$2*(N146-Pool!$B$2)/Pool!$C$2+Settings!$B$3*(O146-Pool!$B$3)/Pool!$C$3+Settings!$B$4*(P146-Pool!$B$4)/Pool!$C$4+Settings!$B$5*(Q146-Pool!$B$5)/Pool!$C$5+Settings!$B$6*(R146-Pool!$B$6)/Pool!$C$6+Settings!$B$7*(S146-Pool!$B$7)/Pool!$C$7+Settings!$B$8*(AO146-Pool!$B$8)/Pool!$C$8+Settings!$B$9*(AP146-Pool!$B$9)/Pool!$C$9+Settings!$B$10*-(T146-Pool!$B$10)/Pool!$C$10</f>
        <v/>
      </c>
      <c r="AR146">
        <f>IF(RANK(AQ146,$AQ$2:$AQ$266)&lt;=Settings!$F$5,1,0)</f>
        <v/>
      </c>
      <c r="AS146" s="6">
        <f>X146*(U146-Pool!$D$12)</f>
        <v/>
      </c>
      <c r="AT146" s="6">
        <f>Z146*(V146-Pool!$D$13)</f>
        <v/>
      </c>
    </row>
    <row r="147">
      <c r="A147">
        <f>RANK(H147,$H$2:$H$266)</f>
        <v/>
      </c>
      <c r="B147" t="inlineStr">
        <is>
          <t>Draymond Green</t>
        </is>
      </c>
      <c r="C147">
        <f>INDEX('Player Data'!$C:$C,AL147)</f>
        <v/>
      </c>
      <c r="D147">
        <f>SUMPRODUCT(($AN$2:$AN$266=AN147)*($H$2:$H$266&gt;H147))+1</f>
        <v/>
      </c>
      <c r="E147">
        <f>INDEX('Player Data'!$B:$B,AL147)</f>
        <v/>
      </c>
      <c r="F147" s="2" t="n"/>
      <c r="G147" s="3">
        <f>Settings!$B$2*AB147+Settings!$B$3*AC147+Settings!$B$4*AD147+Settings!$B$5*AE147+Settings!$B$6*AF147+Settings!$B$7*AG147+Settings!$B$8*AH147+Settings!$B$9*AI147+Settings!$B$10*AJ147</f>
        <v/>
      </c>
      <c r="H147" s="3">
        <f>G147-LARGE($G$2:$G$266,Settings!$F$4)</f>
        <v/>
      </c>
      <c r="I147">
        <f>IF(INDEX('Player Data'!$R:$R,AL147)="","",INDEX('Player Data'!$R:$R,AL147))</f>
        <v/>
      </c>
      <c r="J147" s="4">
        <f>IF(I147="","",I147-A147)</f>
        <v/>
      </c>
      <c r="L147" s="5">
        <f>IF(Settings!$F$7="Yes",INDEX('Minutes &amp; Health'!$O:$O,AL147),Settings!$F$8)</f>
        <v/>
      </c>
      <c r="M147" s="6">
        <f>INDEX('Minutes &amp; Health'!$P:$P,AL147)</f>
        <v/>
      </c>
      <c r="N147" s="5">
        <f>INDEX('Player Data'!$F:$F,AL147)/INDEX('Player Data'!$E:$E,AL147)*M147*L147*AM147</f>
        <v/>
      </c>
      <c r="O147" s="5">
        <f>INDEX('Player Data'!$G:$G,AL147)/INDEX('Player Data'!$E:$E,AL147)*M147*L147*AM147</f>
        <v/>
      </c>
      <c r="P147" s="5">
        <f>INDEX('Player Data'!$H:$H,AL147)/INDEX('Player Data'!$E:$E,AL147)*M147*L147*AM147</f>
        <v/>
      </c>
      <c r="Q147" s="5">
        <f>INDEX('Player Data'!$I:$I,AL147)/INDEX('Player Data'!$E:$E,AL147)*M147*L147*AM147</f>
        <v/>
      </c>
      <c r="R147" s="5">
        <f>INDEX('Player Data'!$J:$J,AL147)/INDEX('Player Data'!$E:$E,AL147)*M147*L147*AM147</f>
        <v/>
      </c>
      <c r="S147" s="5">
        <f>INDEX('Player Data'!$K:$K,AL147)/INDEX('Player Data'!$E:$E,AL147)*M147*L147*AM147</f>
        <v/>
      </c>
      <c r="T147" s="5">
        <f>INDEX('Player Data'!$L:$L,AL147)/INDEX('Player Data'!$E:$E,AL147)*M147*L147*AM147</f>
        <v/>
      </c>
      <c r="U147" s="7">
        <f>INDEX('Player Data'!$M:$M,AL147)</f>
        <v/>
      </c>
      <c r="V147" s="7">
        <f>INDEX('Player Data'!$N:$N,AL147)</f>
        <v/>
      </c>
      <c r="W147" s="5">
        <f>X147*U147</f>
        <v/>
      </c>
      <c r="X147" s="5">
        <f>INDEX('Player Data'!$O:$O,AL147)/INDEX('Player Data'!$E:$E,AL147)*M147*L147*AM147</f>
        <v/>
      </c>
      <c r="Y147" s="5">
        <f>Z147*V147</f>
        <v/>
      </c>
      <c r="Z147" s="5">
        <f>INDEX('Player Data'!$P:$P,AL147)/INDEX('Player Data'!$E:$E,AL147)*M147*L147*AM147</f>
        <v/>
      </c>
      <c r="AB147" s="3">
        <f>(N147-Pool!$D$2)/Pool!$E$2</f>
        <v/>
      </c>
      <c r="AC147" s="3">
        <f>(O147-Pool!$D$3)/Pool!$E$3</f>
        <v/>
      </c>
      <c r="AD147" s="3">
        <f>(P147-Pool!$D$4)/Pool!$E$4</f>
        <v/>
      </c>
      <c r="AE147" s="3">
        <f>(Q147-Pool!$D$5)/Pool!$E$5</f>
        <v/>
      </c>
      <c r="AF147" s="3">
        <f>(R147-Pool!$D$6)/Pool!$E$6</f>
        <v/>
      </c>
      <c r="AG147" s="3">
        <f>(S147-Pool!$D$7)/Pool!$E$7</f>
        <v/>
      </c>
      <c r="AH147" s="3">
        <f>(AS147-Pool!$D$8)/Pool!$E$8</f>
        <v/>
      </c>
      <c r="AI147" s="3">
        <f>(AT147-Pool!$D$9)/Pool!$E$9</f>
        <v/>
      </c>
      <c r="AJ147" s="3">
        <f>-(T147-Pool!$D$10)/Pool!$E$10</f>
        <v/>
      </c>
      <c r="AL147">
        <f>MATCH(B147,'Player Data'!$A:$A,0)</f>
        <v/>
      </c>
      <c r="AM147" s="3">
        <f>1+IF(Settings!$F$10="ON",IFERROR(VLOOKUP(TRIM(F147),Settings!$D$12:$F$17,3,FALSE),0),0)</f>
        <v/>
      </c>
      <c r="AN147">
        <f>IFERROR(LEFT(C147,FIND(",",C147)-1),C147)</f>
        <v/>
      </c>
      <c r="AO147" s="6">
        <f>X147*(U147-Pool!$B$12)</f>
        <v/>
      </c>
      <c r="AP147" s="6">
        <f>Z147*(V147-Pool!$B$13)</f>
        <v/>
      </c>
      <c r="AQ147" s="3">
        <f>Settings!$B$2*(N147-Pool!$B$2)/Pool!$C$2+Settings!$B$3*(O147-Pool!$B$3)/Pool!$C$3+Settings!$B$4*(P147-Pool!$B$4)/Pool!$C$4+Settings!$B$5*(Q147-Pool!$B$5)/Pool!$C$5+Settings!$B$6*(R147-Pool!$B$6)/Pool!$C$6+Settings!$B$7*(S147-Pool!$B$7)/Pool!$C$7+Settings!$B$8*(AO147-Pool!$B$8)/Pool!$C$8+Settings!$B$9*(AP147-Pool!$B$9)/Pool!$C$9+Settings!$B$10*-(T147-Pool!$B$10)/Pool!$C$10</f>
        <v/>
      </c>
      <c r="AR147">
        <f>IF(RANK(AQ147,$AQ$2:$AQ$266)&lt;=Settings!$F$5,1,0)</f>
        <v/>
      </c>
      <c r="AS147" s="6">
        <f>X147*(U147-Pool!$D$12)</f>
        <v/>
      </c>
      <c r="AT147" s="6">
        <f>Z147*(V147-Pool!$D$13)</f>
        <v/>
      </c>
    </row>
    <row r="148">
      <c r="A148">
        <f>RANK(H148,$H$2:$H$266)</f>
        <v/>
      </c>
      <c r="B148" t="inlineStr">
        <is>
          <t>Robert Williams III</t>
        </is>
      </c>
      <c r="C148">
        <f>INDEX('Player Data'!$C:$C,AL148)</f>
        <v/>
      </c>
      <c r="D148">
        <f>SUMPRODUCT(($AN$2:$AN$266=AN148)*($H$2:$H$266&gt;H148))+1</f>
        <v/>
      </c>
      <c r="E148">
        <f>INDEX('Player Data'!$B:$B,AL148)</f>
        <v/>
      </c>
      <c r="F148" s="2" t="n"/>
      <c r="G148" s="3">
        <f>Settings!$B$2*AB148+Settings!$B$3*AC148+Settings!$B$4*AD148+Settings!$B$5*AE148+Settings!$B$6*AF148+Settings!$B$7*AG148+Settings!$B$8*AH148+Settings!$B$9*AI148+Settings!$B$10*AJ148</f>
        <v/>
      </c>
      <c r="H148" s="3">
        <f>G148-LARGE($G$2:$G$266,Settings!$F$4)</f>
        <v/>
      </c>
      <c r="I148">
        <f>IF(INDEX('Player Data'!$R:$R,AL148)="","",INDEX('Player Data'!$R:$R,AL148))</f>
        <v/>
      </c>
      <c r="J148" s="4">
        <f>IF(I148="","",I148-A148)</f>
        <v/>
      </c>
      <c r="L148" s="5">
        <f>IF(Settings!$F$7="Yes",INDEX('Minutes &amp; Health'!$O:$O,AL148),Settings!$F$8)</f>
        <v/>
      </c>
      <c r="M148" s="6">
        <f>INDEX('Minutes &amp; Health'!$P:$P,AL148)</f>
        <v/>
      </c>
      <c r="N148" s="5">
        <f>INDEX('Player Data'!$F:$F,AL148)/INDEX('Player Data'!$E:$E,AL148)*M148*L148*AM148</f>
        <v/>
      </c>
      <c r="O148" s="5">
        <f>INDEX('Player Data'!$G:$G,AL148)/INDEX('Player Data'!$E:$E,AL148)*M148*L148*AM148</f>
        <v/>
      </c>
      <c r="P148" s="5">
        <f>INDEX('Player Data'!$H:$H,AL148)/INDEX('Player Data'!$E:$E,AL148)*M148*L148*AM148</f>
        <v/>
      </c>
      <c r="Q148" s="5">
        <f>INDEX('Player Data'!$I:$I,AL148)/INDEX('Player Data'!$E:$E,AL148)*M148*L148*AM148</f>
        <v/>
      </c>
      <c r="R148" s="5">
        <f>INDEX('Player Data'!$J:$J,AL148)/INDEX('Player Data'!$E:$E,AL148)*M148*L148*AM148</f>
        <v/>
      </c>
      <c r="S148" s="5">
        <f>INDEX('Player Data'!$K:$K,AL148)/INDEX('Player Data'!$E:$E,AL148)*M148*L148*AM148</f>
        <v/>
      </c>
      <c r="T148" s="5">
        <f>INDEX('Player Data'!$L:$L,AL148)/INDEX('Player Data'!$E:$E,AL148)*M148*L148*AM148</f>
        <v/>
      </c>
      <c r="U148" s="7">
        <f>INDEX('Player Data'!$M:$M,AL148)</f>
        <v/>
      </c>
      <c r="V148" s="7">
        <f>INDEX('Player Data'!$N:$N,AL148)</f>
        <v/>
      </c>
      <c r="W148" s="5">
        <f>X148*U148</f>
        <v/>
      </c>
      <c r="X148" s="5">
        <f>INDEX('Player Data'!$O:$O,AL148)/INDEX('Player Data'!$E:$E,AL148)*M148*L148*AM148</f>
        <v/>
      </c>
      <c r="Y148" s="5">
        <f>Z148*V148</f>
        <v/>
      </c>
      <c r="Z148" s="5">
        <f>INDEX('Player Data'!$P:$P,AL148)/INDEX('Player Data'!$E:$E,AL148)*M148*L148*AM148</f>
        <v/>
      </c>
      <c r="AB148" s="3">
        <f>(N148-Pool!$D$2)/Pool!$E$2</f>
        <v/>
      </c>
      <c r="AC148" s="3">
        <f>(O148-Pool!$D$3)/Pool!$E$3</f>
        <v/>
      </c>
      <c r="AD148" s="3">
        <f>(P148-Pool!$D$4)/Pool!$E$4</f>
        <v/>
      </c>
      <c r="AE148" s="3">
        <f>(Q148-Pool!$D$5)/Pool!$E$5</f>
        <v/>
      </c>
      <c r="AF148" s="3">
        <f>(R148-Pool!$D$6)/Pool!$E$6</f>
        <v/>
      </c>
      <c r="AG148" s="3">
        <f>(S148-Pool!$D$7)/Pool!$E$7</f>
        <v/>
      </c>
      <c r="AH148" s="3">
        <f>(AS148-Pool!$D$8)/Pool!$E$8</f>
        <v/>
      </c>
      <c r="AI148" s="3">
        <f>(AT148-Pool!$D$9)/Pool!$E$9</f>
        <v/>
      </c>
      <c r="AJ148" s="3">
        <f>-(T148-Pool!$D$10)/Pool!$E$10</f>
        <v/>
      </c>
      <c r="AL148">
        <f>MATCH(B148,'Player Data'!$A:$A,0)</f>
        <v/>
      </c>
      <c r="AM148" s="3">
        <f>1+IF(Settings!$F$10="ON",IFERROR(VLOOKUP(TRIM(F148),Settings!$D$12:$F$17,3,FALSE),0),0)</f>
        <v/>
      </c>
      <c r="AN148">
        <f>IFERROR(LEFT(C148,FIND(",",C148)-1),C148)</f>
        <v/>
      </c>
      <c r="AO148" s="6">
        <f>X148*(U148-Pool!$B$12)</f>
        <v/>
      </c>
      <c r="AP148" s="6">
        <f>Z148*(V148-Pool!$B$13)</f>
        <v/>
      </c>
      <c r="AQ148" s="3">
        <f>Settings!$B$2*(N148-Pool!$B$2)/Pool!$C$2+Settings!$B$3*(O148-Pool!$B$3)/Pool!$C$3+Settings!$B$4*(P148-Pool!$B$4)/Pool!$C$4+Settings!$B$5*(Q148-Pool!$B$5)/Pool!$C$5+Settings!$B$6*(R148-Pool!$B$6)/Pool!$C$6+Settings!$B$7*(S148-Pool!$B$7)/Pool!$C$7+Settings!$B$8*(AO148-Pool!$B$8)/Pool!$C$8+Settings!$B$9*(AP148-Pool!$B$9)/Pool!$C$9+Settings!$B$10*-(T148-Pool!$B$10)/Pool!$C$10</f>
        <v/>
      </c>
      <c r="AR148">
        <f>IF(RANK(AQ148,$AQ$2:$AQ$266)&lt;=Settings!$F$5,1,0)</f>
        <v/>
      </c>
      <c r="AS148" s="6">
        <f>X148*(U148-Pool!$D$12)</f>
        <v/>
      </c>
      <c r="AT148" s="6">
        <f>Z148*(V148-Pool!$D$13)</f>
        <v/>
      </c>
    </row>
    <row r="149">
      <c r="A149">
        <f>RANK(H149,$H$2:$H$266)</f>
        <v/>
      </c>
      <c r="B149" t="inlineStr">
        <is>
          <t>Day'Ron Sharpe</t>
        </is>
      </c>
      <c r="C149">
        <f>INDEX('Player Data'!$C:$C,AL149)</f>
        <v/>
      </c>
      <c r="D149">
        <f>SUMPRODUCT(($AN$2:$AN$266=AN149)*($H$2:$H$266&gt;H149))+1</f>
        <v/>
      </c>
      <c r="E149">
        <f>INDEX('Player Data'!$B:$B,AL149)</f>
        <v/>
      </c>
      <c r="F149" s="2" t="n"/>
      <c r="G149" s="3">
        <f>Settings!$B$2*AB149+Settings!$B$3*AC149+Settings!$B$4*AD149+Settings!$B$5*AE149+Settings!$B$6*AF149+Settings!$B$7*AG149+Settings!$B$8*AH149+Settings!$B$9*AI149+Settings!$B$10*AJ149</f>
        <v/>
      </c>
      <c r="H149" s="3">
        <f>G149-LARGE($G$2:$G$266,Settings!$F$4)</f>
        <v/>
      </c>
      <c r="I149">
        <f>IF(INDEX('Player Data'!$R:$R,AL149)="","",INDEX('Player Data'!$R:$R,AL149))</f>
        <v/>
      </c>
      <c r="J149" s="4">
        <f>IF(I149="","",I149-A149)</f>
        <v/>
      </c>
      <c r="L149" s="5">
        <f>IF(Settings!$F$7="Yes",INDEX('Minutes &amp; Health'!$O:$O,AL149),Settings!$F$8)</f>
        <v/>
      </c>
      <c r="M149" s="6">
        <f>INDEX('Minutes &amp; Health'!$P:$P,AL149)</f>
        <v/>
      </c>
      <c r="N149" s="5">
        <f>INDEX('Player Data'!$F:$F,AL149)/INDEX('Player Data'!$E:$E,AL149)*M149*L149*AM149</f>
        <v/>
      </c>
      <c r="O149" s="5">
        <f>INDEX('Player Data'!$G:$G,AL149)/INDEX('Player Data'!$E:$E,AL149)*M149*L149*AM149</f>
        <v/>
      </c>
      <c r="P149" s="5">
        <f>INDEX('Player Data'!$H:$H,AL149)/INDEX('Player Data'!$E:$E,AL149)*M149*L149*AM149</f>
        <v/>
      </c>
      <c r="Q149" s="5">
        <f>INDEX('Player Data'!$I:$I,AL149)/INDEX('Player Data'!$E:$E,AL149)*M149*L149*AM149</f>
        <v/>
      </c>
      <c r="R149" s="5">
        <f>INDEX('Player Data'!$J:$J,AL149)/INDEX('Player Data'!$E:$E,AL149)*M149*L149*AM149</f>
        <v/>
      </c>
      <c r="S149" s="5">
        <f>INDEX('Player Data'!$K:$K,AL149)/INDEX('Player Data'!$E:$E,AL149)*M149*L149*AM149</f>
        <v/>
      </c>
      <c r="T149" s="5">
        <f>INDEX('Player Data'!$L:$L,AL149)/INDEX('Player Data'!$E:$E,AL149)*M149*L149*AM149</f>
        <v/>
      </c>
      <c r="U149" s="7">
        <f>INDEX('Player Data'!$M:$M,AL149)</f>
        <v/>
      </c>
      <c r="V149" s="7">
        <f>INDEX('Player Data'!$N:$N,AL149)</f>
        <v/>
      </c>
      <c r="W149" s="5">
        <f>X149*U149</f>
        <v/>
      </c>
      <c r="X149" s="5">
        <f>INDEX('Player Data'!$O:$O,AL149)/INDEX('Player Data'!$E:$E,AL149)*M149*L149*AM149</f>
        <v/>
      </c>
      <c r="Y149" s="5">
        <f>Z149*V149</f>
        <v/>
      </c>
      <c r="Z149" s="5">
        <f>INDEX('Player Data'!$P:$P,AL149)/INDEX('Player Data'!$E:$E,AL149)*M149*L149*AM149</f>
        <v/>
      </c>
      <c r="AB149" s="3">
        <f>(N149-Pool!$D$2)/Pool!$E$2</f>
        <v/>
      </c>
      <c r="AC149" s="3">
        <f>(O149-Pool!$D$3)/Pool!$E$3</f>
        <v/>
      </c>
      <c r="AD149" s="3">
        <f>(P149-Pool!$D$4)/Pool!$E$4</f>
        <v/>
      </c>
      <c r="AE149" s="3">
        <f>(Q149-Pool!$D$5)/Pool!$E$5</f>
        <v/>
      </c>
      <c r="AF149" s="3">
        <f>(R149-Pool!$D$6)/Pool!$E$6</f>
        <v/>
      </c>
      <c r="AG149" s="3">
        <f>(S149-Pool!$D$7)/Pool!$E$7</f>
        <v/>
      </c>
      <c r="AH149" s="3">
        <f>(AS149-Pool!$D$8)/Pool!$E$8</f>
        <v/>
      </c>
      <c r="AI149" s="3">
        <f>(AT149-Pool!$D$9)/Pool!$E$9</f>
        <v/>
      </c>
      <c r="AJ149" s="3">
        <f>-(T149-Pool!$D$10)/Pool!$E$10</f>
        <v/>
      </c>
      <c r="AL149">
        <f>MATCH(B149,'Player Data'!$A:$A,0)</f>
        <v/>
      </c>
      <c r="AM149" s="3">
        <f>1+IF(Settings!$F$10="ON",IFERROR(VLOOKUP(TRIM(F149),Settings!$D$12:$F$17,3,FALSE),0),0)</f>
        <v/>
      </c>
      <c r="AN149">
        <f>IFERROR(LEFT(C149,FIND(",",C149)-1),C149)</f>
        <v/>
      </c>
      <c r="AO149" s="6">
        <f>X149*(U149-Pool!$B$12)</f>
        <v/>
      </c>
      <c r="AP149" s="6">
        <f>Z149*(V149-Pool!$B$13)</f>
        <v/>
      </c>
      <c r="AQ149" s="3">
        <f>Settings!$B$2*(N149-Pool!$B$2)/Pool!$C$2+Settings!$B$3*(O149-Pool!$B$3)/Pool!$C$3+Settings!$B$4*(P149-Pool!$B$4)/Pool!$C$4+Settings!$B$5*(Q149-Pool!$B$5)/Pool!$C$5+Settings!$B$6*(R149-Pool!$B$6)/Pool!$C$6+Settings!$B$7*(S149-Pool!$B$7)/Pool!$C$7+Settings!$B$8*(AO149-Pool!$B$8)/Pool!$C$8+Settings!$B$9*(AP149-Pool!$B$9)/Pool!$C$9+Settings!$B$10*-(T149-Pool!$B$10)/Pool!$C$10</f>
        <v/>
      </c>
      <c r="AR149">
        <f>IF(RANK(AQ149,$AQ$2:$AQ$266)&lt;=Settings!$F$5,1,0)</f>
        <v/>
      </c>
      <c r="AS149" s="6">
        <f>X149*(U149-Pool!$D$12)</f>
        <v/>
      </c>
      <c r="AT149" s="6">
        <f>Z149*(V149-Pool!$D$13)</f>
        <v/>
      </c>
    </row>
    <row r="150">
      <c r="A150">
        <f>RANK(H150,$H$2:$H$266)</f>
        <v/>
      </c>
      <c r="B150" t="inlineStr">
        <is>
          <t>Moussa Diabate</t>
        </is>
      </c>
      <c r="C150">
        <f>INDEX('Player Data'!$C:$C,AL150)</f>
        <v/>
      </c>
      <c r="D150">
        <f>SUMPRODUCT(($AN$2:$AN$266=AN150)*($H$2:$H$266&gt;H150))+1</f>
        <v/>
      </c>
      <c r="E150">
        <f>INDEX('Player Data'!$B:$B,AL150)</f>
        <v/>
      </c>
      <c r="F150" s="2" t="n"/>
      <c r="G150" s="3">
        <f>Settings!$B$2*AB150+Settings!$B$3*AC150+Settings!$B$4*AD150+Settings!$B$5*AE150+Settings!$B$6*AF150+Settings!$B$7*AG150+Settings!$B$8*AH150+Settings!$B$9*AI150+Settings!$B$10*AJ150</f>
        <v/>
      </c>
      <c r="H150" s="3">
        <f>G150-LARGE($G$2:$G$266,Settings!$F$4)</f>
        <v/>
      </c>
      <c r="I150">
        <f>IF(INDEX('Player Data'!$R:$R,AL150)="","",INDEX('Player Data'!$R:$R,AL150))</f>
        <v/>
      </c>
      <c r="J150" s="4">
        <f>IF(I150="","",I150-A150)</f>
        <v/>
      </c>
      <c r="L150" s="5">
        <f>IF(Settings!$F$7="Yes",INDEX('Minutes &amp; Health'!$O:$O,AL150),Settings!$F$8)</f>
        <v/>
      </c>
      <c r="M150" s="6">
        <f>INDEX('Minutes &amp; Health'!$P:$P,AL150)</f>
        <v/>
      </c>
      <c r="N150" s="5">
        <f>INDEX('Player Data'!$F:$F,AL150)/INDEX('Player Data'!$E:$E,AL150)*M150*L150*AM150</f>
        <v/>
      </c>
      <c r="O150" s="5">
        <f>INDEX('Player Data'!$G:$G,AL150)/INDEX('Player Data'!$E:$E,AL150)*M150*L150*AM150</f>
        <v/>
      </c>
      <c r="P150" s="5">
        <f>INDEX('Player Data'!$H:$H,AL150)/INDEX('Player Data'!$E:$E,AL150)*M150*L150*AM150</f>
        <v/>
      </c>
      <c r="Q150" s="5">
        <f>INDEX('Player Data'!$I:$I,AL150)/INDEX('Player Data'!$E:$E,AL150)*M150*L150*AM150</f>
        <v/>
      </c>
      <c r="R150" s="5">
        <f>INDEX('Player Data'!$J:$J,AL150)/INDEX('Player Data'!$E:$E,AL150)*M150*L150*AM150</f>
        <v/>
      </c>
      <c r="S150" s="5">
        <f>INDEX('Player Data'!$K:$K,AL150)/INDEX('Player Data'!$E:$E,AL150)*M150*L150*AM150</f>
        <v/>
      </c>
      <c r="T150" s="5">
        <f>INDEX('Player Data'!$L:$L,AL150)/INDEX('Player Data'!$E:$E,AL150)*M150*L150*AM150</f>
        <v/>
      </c>
      <c r="U150" s="7">
        <f>INDEX('Player Data'!$M:$M,AL150)</f>
        <v/>
      </c>
      <c r="V150" s="7">
        <f>INDEX('Player Data'!$N:$N,AL150)</f>
        <v/>
      </c>
      <c r="W150" s="5">
        <f>X150*U150</f>
        <v/>
      </c>
      <c r="X150" s="5">
        <f>INDEX('Player Data'!$O:$O,AL150)/INDEX('Player Data'!$E:$E,AL150)*M150*L150*AM150</f>
        <v/>
      </c>
      <c r="Y150" s="5">
        <f>Z150*V150</f>
        <v/>
      </c>
      <c r="Z150" s="5">
        <f>INDEX('Player Data'!$P:$P,AL150)/INDEX('Player Data'!$E:$E,AL150)*M150*L150*AM150</f>
        <v/>
      </c>
      <c r="AB150" s="3">
        <f>(N150-Pool!$D$2)/Pool!$E$2</f>
        <v/>
      </c>
      <c r="AC150" s="3">
        <f>(O150-Pool!$D$3)/Pool!$E$3</f>
        <v/>
      </c>
      <c r="AD150" s="3">
        <f>(P150-Pool!$D$4)/Pool!$E$4</f>
        <v/>
      </c>
      <c r="AE150" s="3">
        <f>(Q150-Pool!$D$5)/Pool!$E$5</f>
        <v/>
      </c>
      <c r="AF150" s="3">
        <f>(R150-Pool!$D$6)/Pool!$E$6</f>
        <v/>
      </c>
      <c r="AG150" s="3">
        <f>(S150-Pool!$D$7)/Pool!$E$7</f>
        <v/>
      </c>
      <c r="AH150" s="3">
        <f>(AS150-Pool!$D$8)/Pool!$E$8</f>
        <v/>
      </c>
      <c r="AI150" s="3">
        <f>(AT150-Pool!$D$9)/Pool!$E$9</f>
        <v/>
      </c>
      <c r="AJ150" s="3">
        <f>-(T150-Pool!$D$10)/Pool!$E$10</f>
        <v/>
      </c>
      <c r="AL150">
        <f>MATCH(B150,'Player Data'!$A:$A,0)</f>
        <v/>
      </c>
      <c r="AM150" s="3">
        <f>1+IF(Settings!$F$10="ON",IFERROR(VLOOKUP(TRIM(F150),Settings!$D$12:$F$17,3,FALSE),0),0)</f>
        <v/>
      </c>
      <c r="AN150">
        <f>IFERROR(LEFT(C150,FIND(",",C150)-1),C150)</f>
        <v/>
      </c>
      <c r="AO150" s="6">
        <f>X150*(U150-Pool!$B$12)</f>
        <v/>
      </c>
      <c r="AP150" s="6">
        <f>Z150*(V150-Pool!$B$13)</f>
        <v/>
      </c>
      <c r="AQ150" s="3">
        <f>Settings!$B$2*(N150-Pool!$B$2)/Pool!$C$2+Settings!$B$3*(O150-Pool!$B$3)/Pool!$C$3+Settings!$B$4*(P150-Pool!$B$4)/Pool!$C$4+Settings!$B$5*(Q150-Pool!$B$5)/Pool!$C$5+Settings!$B$6*(R150-Pool!$B$6)/Pool!$C$6+Settings!$B$7*(S150-Pool!$B$7)/Pool!$C$7+Settings!$B$8*(AO150-Pool!$B$8)/Pool!$C$8+Settings!$B$9*(AP150-Pool!$B$9)/Pool!$C$9+Settings!$B$10*-(T150-Pool!$B$10)/Pool!$C$10</f>
        <v/>
      </c>
      <c r="AR150">
        <f>IF(RANK(AQ150,$AQ$2:$AQ$266)&lt;=Settings!$F$5,1,0)</f>
        <v/>
      </c>
      <c r="AS150" s="6">
        <f>X150*(U150-Pool!$D$12)</f>
        <v/>
      </c>
      <c r="AT150" s="6">
        <f>Z150*(V150-Pool!$D$13)</f>
        <v/>
      </c>
    </row>
    <row r="151">
      <c r="A151">
        <f>RANK(H151,$H$2:$H$266)</f>
        <v/>
      </c>
      <c r="B151" t="inlineStr">
        <is>
          <t>Bobby Portis Jr.</t>
        </is>
      </c>
      <c r="C151">
        <f>INDEX('Player Data'!$C:$C,AL151)</f>
        <v/>
      </c>
      <c r="D151">
        <f>SUMPRODUCT(($AN$2:$AN$266=AN151)*($H$2:$H$266&gt;H151))+1</f>
        <v/>
      </c>
      <c r="E151">
        <f>INDEX('Player Data'!$B:$B,AL151)</f>
        <v/>
      </c>
      <c r="F151" s="2" t="n"/>
      <c r="G151" s="3">
        <f>Settings!$B$2*AB151+Settings!$B$3*AC151+Settings!$B$4*AD151+Settings!$B$5*AE151+Settings!$B$6*AF151+Settings!$B$7*AG151+Settings!$B$8*AH151+Settings!$B$9*AI151+Settings!$B$10*AJ151</f>
        <v/>
      </c>
      <c r="H151" s="3">
        <f>G151-LARGE($G$2:$G$266,Settings!$F$4)</f>
        <v/>
      </c>
      <c r="I151">
        <f>IF(INDEX('Player Data'!$R:$R,AL151)="","",INDEX('Player Data'!$R:$R,AL151))</f>
        <v/>
      </c>
      <c r="J151" s="4">
        <f>IF(I151="","",I151-A151)</f>
        <v/>
      </c>
      <c r="L151" s="5">
        <f>IF(Settings!$F$7="Yes",INDEX('Minutes &amp; Health'!$O:$O,AL151),Settings!$F$8)</f>
        <v/>
      </c>
      <c r="M151" s="6">
        <f>INDEX('Minutes &amp; Health'!$P:$P,AL151)</f>
        <v/>
      </c>
      <c r="N151" s="5">
        <f>INDEX('Player Data'!$F:$F,AL151)/INDEX('Player Data'!$E:$E,AL151)*M151*L151*AM151</f>
        <v/>
      </c>
      <c r="O151" s="5">
        <f>INDEX('Player Data'!$G:$G,AL151)/INDEX('Player Data'!$E:$E,AL151)*M151*L151*AM151</f>
        <v/>
      </c>
      <c r="P151" s="5">
        <f>INDEX('Player Data'!$H:$H,AL151)/INDEX('Player Data'!$E:$E,AL151)*M151*L151*AM151</f>
        <v/>
      </c>
      <c r="Q151" s="5">
        <f>INDEX('Player Data'!$I:$I,AL151)/INDEX('Player Data'!$E:$E,AL151)*M151*L151*AM151</f>
        <v/>
      </c>
      <c r="R151" s="5">
        <f>INDEX('Player Data'!$J:$J,AL151)/INDEX('Player Data'!$E:$E,AL151)*M151*L151*AM151</f>
        <v/>
      </c>
      <c r="S151" s="5">
        <f>INDEX('Player Data'!$K:$K,AL151)/INDEX('Player Data'!$E:$E,AL151)*M151*L151*AM151</f>
        <v/>
      </c>
      <c r="T151" s="5">
        <f>INDEX('Player Data'!$L:$L,AL151)/INDEX('Player Data'!$E:$E,AL151)*M151*L151*AM151</f>
        <v/>
      </c>
      <c r="U151" s="7">
        <f>INDEX('Player Data'!$M:$M,AL151)</f>
        <v/>
      </c>
      <c r="V151" s="7">
        <f>INDEX('Player Data'!$N:$N,AL151)</f>
        <v/>
      </c>
      <c r="W151" s="5">
        <f>X151*U151</f>
        <v/>
      </c>
      <c r="X151" s="5">
        <f>INDEX('Player Data'!$O:$O,AL151)/INDEX('Player Data'!$E:$E,AL151)*M151*L151*AM151</f>
        <v/>
      </c>
      <c r="Y151" s="5">
        <f>Z151*V151</f>
        <v/>
      </c>
      <c r="Z151" s="5">
        <f>INDEX('Player Data'!$P:$P,AL151)/INDEX('Player Data'!$E:$E,AL151)*M151*L151*AM151</f>
        <v/>
      </c>
      <c r="AB151" s="3">
        <f>(N151-Pool!$D$2)/Pool!$E$2</f>
        <v/>
      </c>
      <c r="AC151" s="3">
        <f>(O151-Pool!$D$3)/Pool!$E$3</f>
        <v/>
      </c>
      <c r="AD151" s="3">
        <f>(P151-Pool!$D$4)/Pool!$E$4</f>
        <v/>
      </c>
      <c r="AE151" s="3">
        <f>(Q151-Pool!$D$5)/Pool!$E$5</f>
        <v/>
      </c>
      <c r="AF151" s="3">
        <f>(R151-Pool!$D$6)/Pool!$E$6</f>
        <v/>
      </c>
      <c r="AG151" s="3">
        <f>(S151-Pool!$D$7)/Pool!$E$7</f>
        <v/>
      </c>
      <c r="AH151" s="3">
        <f>(AS151-Pool!$D$8)/Pool!$E$8</f>
        <v/>
      </c>
      <c r="AI151" s="3">
        <f>(AT151-Pool!$D$9)/Pool!$E$9</f>
        <v/>
      </c>
      <c r="AJ151" s="3">
        <f>-(T151-Pool!$D$10)/Pool!$E$10</f>
        <v/>
      </c>
      <c r="AL151">
        <f>MATCH(B151,'Player Data'!$A:$A,0)</f>
        <v/>
      </c>
      <c r="AM151" s="3">
        <f>1+IF(Settings!$F$10="ON",IFERROR(VLOOKUP(TRIM(F151),Settings!$D$12:$F$17,3,FALSE),0),0)</f>
        <v/>
      </c>
      <c r="AN151">
        <f>IFERROR(LEFT(C151,FIND(",",C151)-1),C151)</f>
        <v/>
      </c>
      <c r="AO151" s="6">
        <f>X151*(U151-Pool!$B$12)</f>
        <v/>
      </c>
      <c r="AP151" s="6">
        <f>Z151*(V151-Pool!$B$13)</f>
        <v/>
      </c>
      <c r="AQ151" s="3">
        <f>Settings!$B$2*(N151-Pool!$B$2)/Pool!$C$2+Settings!$B$3*(O151-Pool!$B$3)/Pool!$C$3+Settings!$B$4*(P151-Pool!$B$4)/Pool!$C$4+Settings!$B$5*(Q151-Pool!$B$5)/Pool!$C$5+Settings!$B$6*(R151-Pool!$B$6)/Pool!$C$6+Settings!$B$7*(S151-Pool!$B$7)/Pool!$C$7+Settings!$B$8*(AO151-Pool!$B$8)/Pool!$C$8+Settings!$B$9*(AP151-Pool!$B$9)/Pool!$C$9+Settings!$B$10*-(T151-Pool!$B$10)/Pool!$C$10</f>
        <v/>
      </c>
      <c r="AR151">
        <f>IF(RANK(AQ151,$AQ$2:$AQ$266)&lt;=Settings!$F$5,1,0)</f>
        <v/>
      </c>
      <c r="AS151" s="6">
        <f>X151*(U151-Pool!$D$12)</f>
        <v/>
      </c>
      <c r="AT151" s="6">
        <f>Z151*(V151-Pool!$D$13)</f>
        <v/>
      </c>
    </row>
    <row r="152">
      <c r="A152">
        <f>RANK(H152,$H$2:$H$266)</f>
        <v/>
      </c>
      <c r="B152" t="inlineStr">
        <is>
          <t>Ja Morant</t>
        </is>
      </c>
      <c r="C152">
        <f>INDEX('Player Data'!$C:$C,AL152)</f>
        <v/>
      </c>
      <c r="D152">
        <f>SUMPRODUCT(($AN$2:$AN$266=AN152)*($H$2:$H$266&gt;H152))+1</f>
        <v/>
      </c>
      <c r="E152">
        <f>INDEX('Player Data'!$B:$B,AL152)</f>
        <v/>
      </c>
      <c r="F152" s="2" t="inlineStr">
        <is>
          <t>- -</t>
        </is>
      </c>
      <c r="G152" s="3">
        <f>Settings!$B$2*AB152+Settings!$B$3*AC152+Settings!$B$4*AD152+Settings!$B$5*AE152+Settings!$B$6*AF152+Settings!$B$7*AG152+Settings!$B$8*AH152+Settings!$B$9*AI152+Settings!$B$10*AJ152</f>
        <v/>
      </c>
      <c r="H152" s="3">
        <f>G152-LARGE($G$2:$G$266,Settings!$F$4)</f>
        <v/>
      </c>
      <c r="I152">
        <f>IF(INDEX('Player Data'!$R:$R,AL152)="","",INDEX('Player Data'!$R:$R,AL152))</f>
        <v/>
      </c>
      <c r="J152" s="4">
        <f>IF(I152="","",I152-A152)</f>
        <v/>
      </c>
      <c r="L152" s="5">
        <f>IF(Settings!$F$7="Yes",INDEX('Minutes &amp; Health'!$O:$O,AL152),Settings!$F$8)</f>
        <v/>
      </c>
      <c r="M152" s="6">
        <f>INDEX('Minutes &amp; Health'!$P:$P,AL152)</f>
        <v/>
      </c>
      <c r="N152" s="5">
        <f>INDEX('Player Data'!$F:$F,AL152)/INDEX('Player Data'!$E:$E,AL152)*M152*L152*AM152</f>
        <v/>
      </c>
      <c r="O152" s="5">
        <f>INDEX('Player Data'!$G:$G,AL152)/INDEX('Player Data'!$E:$E,AL152)*M152*L152*AM152</f>
        <v/>
      </c>
      <c r="P152" s="5">
        <f>INDEX('Player Data'!$H:$H,AL152)/INDEX('Player Data'!$E:$E,AL152)*M152*L152*AM152</f>
        <v/>
      </c>
      <c r="Q152" s="5">
        <f>INDEX('Player Data'!$I:$I,AL152)/INDEX('Player Data'!$E:$E,AL152)*M152*L152*AM152</f>
        <v/>
      </c>
      <c r="R152" s="5">
        <f>INDEX('Player Data'!$J:$J,AL152)/INDEX('Player Data'!$E:$E,AL152)*M152*L152*AM152</f>
        <v/>
      </c>
      <c r="S152" s="5">
        <f>INDEX('Player Data'!$K:$K,AL152)/INDEX('Player Data'!$E:$E,AL152)*M152*L152*AM152</f>
        <v/>
      </c>
      <c r="T152" s="5">
        <f>INDEX('Player Data'!$L:$L,AL152)/INDEX('Player Data'!$E:$E,AL152)*M152*L152*AM152</f>
        <v/>
      </c>
      <c r="U152" s="7">
        <f>INDEX('Player Data'!$M:$M,AL152)</f>
        <v/>
      </c>
      <c r="V152" s="7">
        <f>INDEX('Player Data'!$N:$N,AL152)</f>
        <v/>
      </c>
      <c r="W152" s="5">
        <f>X152*U152</f>
        <v/>
      </c>
      <c r="X152" s="5">
        <f>INDEX('Player Data'!$O:$O,AL152)/INDEX('Player Data'!$E:$E,AL152)*M152*L152*AM152</f>
        <v/>
      </c>
      <c r="Y152" s="5">
        <f>Z152*V152</f>
        <v/>
      </c>
      <c r="Z152" s="5">
        <f>INDEX('Player Data'!$P:$P,AL152)/INDEX('Player Data'!$E:$E,AL152)*M152*L152*AM152</f>
        <v/>
      </c>
      <c r="AB152" s="3">
        <f>(N152-Pool!$D$2)/Pool!$E$2</f>
        <v/>
      </c>
      <c r="AC152" s="3">
        <f>(O152-Pool!$D$3)/Pool!$E$3</f>
        <v/>
      </c>
      <c r="AD152" s="3">
        <f>(P152-Pool!$D$4)/Pool!$E$4</f>
        <v/>
      </c>
      <c r="AE152" s="3">
        <f>(Q152-Pool!$D$5)/Pool!$E$5</f>
        <v/>
      </c>
      <c r="AF152" s="3">
        <f>(R152-Pool!$D$6)/Pool!$E$6</f>
        <v/>
      </c>
      <c r="AG152" s="3">
        <f>(S152-Pool!$D$7)/Pool!$E$7</f>
        <v/>
      </c>
      <c r="AH152" s="3">
        <f>(AS152-Pool!$D$8)/Pool!$E$8</f>
        <v/>
      </c>
      <c r="AI152" s="3">
        <f>(AT152-Pool!$D$9)/Pool!$E$9</f>
        <v/>
      </c>
      <c r="AJ152" s="3">
        <f>-(T152-Pool!$D$10)/Pool!$E$10</f>
        <v/>
      </c>
      <c r="AL152">
        <f>MATCH(B152,'Player Data'!$A:$A,0)</f>
        <v/>
      </c>
      <c r="AM152" s="3">
        <f>1+IF(Settings!$F$10="ON",IFERROR(VLOOKUP(TRIM(F152),Settings!$D$12:$F$17,3,FALSE),0),0)</f>
        <v/>
      </c>
      <c r="AN152">
        <f>IFERROR(LEFT(C152,FIND(",",C152)-1),C152)</f>
        <v/>
      </c>
      <c r="AO152" s="6">
        <f>X152*(U152-Pool!$B$12)</f>
        <v/>
      </c>
      <c r="AP152" s="6">
        <f>Z152*(V152-Pool!$B$13)</f>
        <v/>
      </c>
      <c r="AQ152" s="3">
        <f>Settings!$B$2*(N152-Pool!$B$2)/Pool!$C$2+Settings!$B$3*(O152-Pool!$B$3)/Pool!$C$3+Settings!$B$4*(P152-Pool!$B$4)/Pool!$C$4+Settings!$B$5*(Q152-Pool!$B$5)/Pool!$C$5+Settings!$B$6*(R152-Pool!$B$6)/Pool!$C$6+Settings!$B$7*(S152-Pool!$B$7)/Pool!$C$7+Settings!$B$8*(AO152-Pool!$B$8)/Pool!$C$8+Settings!$B$9*(AP152-Pool!$B$9)/Pool!$C$9+Settings!$B$10*-(T152-Pool!$B$10)/Pool!$C$10</f>
        <v/>
      </c>
      <c r="AR152">
        <f>IF(RANK(AQ152,$AQ$2:$AQ$266)&lt;=Settings!$F$5,1,0)</f>
        <v/>
      </c>
      <c r="AS152" s="6">
        <f>X152*(U152-Pool!$D$12)</f>
        <v/>
      </c>
      <c r="AT152" s="6">
        <f>Z152*(V152-Pool!$D$13)</f>
        <v/>
      </c>
    </row>
    <row r="153">
      <c r="A153">
        <f>RANK(H153,$H$2:$H$266)</f>
        <v/>
      </c>
      <c r="B153" t="inlineStr">
        <is>
          <t>Tari Eason</t>
        </is>
      </c>
      <c r="C153">
        <f>INDEX('Player Data'!$C:$C,AL153)</f>
        <v/>
      </c>
      <c r="D153">
        <f>SUMPRODUCT(($AN$2:$AN$266=AN153)*($H$2:$H$266&gt;H153))+1</f>
        <v/>
      </c>
      <c r="E153">
        <f>INDEX('Player Data'!$B:$B,AL153)</f>
        <v/>
      </c>
      <c r="F153" s="2" t="n"/>
      <c r="G153" s="3">
        <f>Settings!$B$2*AB153+Settings!$B$3*AC153+Settings!$B$4*AD153+Settings!$B$5*AE153+Settings!$B$6*AF153+Settings!$B$7*AG153+Settings!$B$8*AH153+Settings!$B$9*AI153+Settings!$B$10*AJ153</f>
        <v/>
      </c>
      <c r="H153" s="3">
        <f>G153-LARGE($G$2:$G$266,Settings!$F$4)</f>
        <v/>
      </c>
      <c r="I153">
        <f>IF(INDEX('Player Data'!$R:$R,AL153)="","",INDEX('Player Data'!$R:$R,AL153))</f>
        <v/>
      </c>
      <c r="J153" s="4">
        <f>IF(I153="","",I153-A153)</f>
        <v/>
      </c>
      <c r="L153" s="5">
        <f>IF(Settings!$F$7="Yes",INDEX('Minutes &amp; Health'!$O:$O,AL153),Settings!$F$8)</f>
        <v/>
      </c>
      <c r="M153" s="6">
        <f>INDEX('Minutes &amp; Health'!$P:$P,AL153)</f>
        <v/>
      </c>
      <c r="N153" s="5">
        <f>INDEX('Player Data'!$F:$F,AL153)/INDEX('Player Data'!$E:$E,AL153)*M153*L153*AM153</f>
        <v/>
      </c>
      <c r="O153" s="5">
        <f>INDEX('Player Data'!$G:$G,AL153)/INDEX('Player Data'!$E:$E,AL153)*M153*L153*AM153</f>
        <v/>
      </c>
      <c r="P153" s="5">
        <f>INDEX('Player Data'!$H:$H,AL153)/INDEX('Player Data'!$E:$E,AL153)*M153*L153*AM153</f>
        <v/>
      </c>
      <c r="Q153" s="5">
        <f>INDEX('Player Data'!$I:$I,AL153)/INDEX('Player Data'!$E:$E,AL153)*M153*L153*AM153</f>
        <v/>
      </c>
      <c r="R153" s="5">
        <f>INDEX('Player Data'!$J:$J,AL153)/INDEX('Player Data'!$E:$E,AL153)*M153*L153*AM153</f>
        <v/>
      </c>
      <c r="S153" s="5">
        <f>INDEX('Player Data'!$K:$K,AL153)/INDEX('Player Data'!$E:$E,AL153)*M153*L153*AM153</f>
        <v/>
      </c>
      <c r="T153" s="5">
        <f>INDEX('Player Data'!$L:$L,AL153)/INDEX('Player Data'!$E:$E,AL153)*M153*L153*AM153</f>
        <v/>
      </c>
      <c r="U153" s="7">
        <f>INDEX('Player Data'!$M:$M,AL153)</f>
        <v/>
      </c>
      <c r="V153" s="7">
        <f>INDEX('Player Data'!$N:$N,AL153)</f>
        <v/>
      </c>
      <c r="W153" s="5">
        <f>X153*U153</f>
        <v/>
      </c>
      <c r="X153" s="5">
        <f>INDEX('Player Data'!$O:$O,AL153)/INDEX('Player Data'!$E:$E,AL153)*M153*L153*AM153</f>
        <v/>
      </c>
      <c r="Y153" s="5">
        <f>Z153*V153</f>
        <v/>
      </c>
      <c r="Z153" s="5">
        <f>INDEX('Player Data'!$P:$P,AL153)/INDEX('Player Data'!$E:$E,AL153)*M153*L153*AM153</f>
        <v/>
      </c>
      <c r="AB153" s="3">
        <f>(N153-Pool!$D$2)/Pool!$E$2</f>
        <v/>
      </c>
      <c r="AC153" s="3">
        <f>(O153-Pool!$D$3)/Pool!$E$3</f>
        <v/>
      </c>
      <c r="AD153" s="3">
        <f>(P153-Pool!$D$4)/Pool!$E$4</f>
        <v/>
      </c>
      <c r="AE153" s="3">
        <f>(Q153-Pool!$D$5)/Pool!$E$5</f>
        <v/>
      </c>
      <c r="AF153" s="3">
        <f>(R153-Pool!$D$6)/Pool!$E$6</f>
        <v/>
      </c>
      <c r="AG153" s="3">
        <f>(S153-Pool!$D$7)/Pool!$E$7</f>
        <v/>
      </c>
      <c r="AH153" s="3">
        <f>(AS153-Pool!$D$8)/Pool!$E$8</f>
        <v/>
      </c>
      <c r="AI153" s="3">
        <f>(AT153-Pool!$D$9)/Pool!$E$9</f>
        <v/>
      </c>
      <c r="AJ153" s="3">
        <f>-(T153-Pool!$D$10)/Pool!$E$10</f>
        <v/>
      </c>
      <c r="AL153">
        <f>MATCH(B153,'Player Data'!$A:$A,0)</f>
        <v/>
      </c>
      <c r="AM153" s="3">
        <f>1+IF(Settings!$F$10="ON",IFERROR(VLOOKUP(TRIM(F153),Settings!$D$12:$F$17,3,FALSE),0),0)</f>
        <v/>
      </c>
      <c r="AN153">
        <f>IFERROR(LEFT(C153,FIND(",",C153)-1),C153)</f>
        <v/>
      </c>
      <c r="AO153" s="6">
        <f>X153*(U153-Pool!$B$12)</f>
        <v/>
      </c>
      <c r="AP153" s="6">
        <f>Z153*(V153-Pool!$B$13)</f>
        <v/>
      </c>
      <c r="AQ153" s="3">
        <f>Settings!$B$2*(N153-Pool!$B$2)/Pool!$C$2+Settings!$B$3*(O153-Pool!$B$3)/Pool!$C$3+Settings!$B$4*(P153-Pool!$B$4)/Pool!$C$4+Settings!$B$5*(Q153-Pool!$B$5)/Pool!$C$5+Settings!$B$6*(R153-Pool!$B$6)/Pool!$C$6+Settings!$B$7*(S153-Pool!$B$7)/Pool!$C$7+Settings!$B$8*(AO153-Pool!$B$8)/Pool!$C$8+Settings!$B$9*(AP153-Pool!$B$9)/Pool!$C$9+Settings!$B$10*-(T153-Pool!$B$10)/Pool!$C$10</f>
        <v/>
      </c>
      <c r="AR153">
        <f>IF(RANK(AQ153,$AQ$2:$AQ$266)&lt;=Settings!$F$5,1,0)</f>
        <v/>
      </c>
      <c r="AS153" s="6">
        <f>X153*(U153-Pool!$D$12)</f>
        <v/>
      </c>
      <c r="AT153" s="6">
        <f>Z153*(V153-Pool!$D$13)</f>
        <v/>
      </c>
    </row>
    <row r="154">
      <c r="A154">
        <f>RANK(H154,$H$2:$H$266)</f>
        <v/>
      </c>
      <c r="B154" t="inlineStr">
        <is>
          <t>Matisse Thybulle</t>
        </is>
      </c>
      <c r="C154">
        <f>INDEX('Player Data'!$C:$C,AL154)</f>
        <v/>
      </c>
      <c r="D154">
        <f>SUMPRODUCT(($AN$2:$AN$266=AN154)*($H$2:$H$266&gt;H154))+1</f>
        <v/>
      </c>
      <c r="E154">
        <f>INDEX('Player Data'!$B:$B,AL154)</f>
        <v/>
      </c>
      <c r="F154" s="2" t="n"/>
      <c r="G154" s="3">
        <f>Settings!$B$2*AB154+Settings!$B$3*AC154+Settings!$B$4*AD154+Settings!$B$5*AE154+Settings!$B$6*AF154+Settings!$B$7*AG154+Settings!$B$8*AH154+Settings!$B$9*AI154+Settings!$B$10*AJ154</f>
        <v/>
      </c>
      <c r="H154" s="3">
        <f>G154-LARGE($G$2:$G$266,Settings!$F$4)</f>
        <v/>
      </c>
      <c r="I154">
        <f>IF(INDEX('Player Data'!$R:$R,AL154)="","",INDEX('Player Data'!$R:$R,AL154))</f>
        <v/>
      </c>
      <c r="J154" s="4">
        <f>IF(I154="","",I154-A154)</f>
        <v/>
      </c>
      <c r="L154" s="5">
        <f>IF(Settings!$F$7="Yes",INDEX('Minutes &amp; Health'!$O:$O,AL154),Settings!$F$8)</f>
        <v/>
      </c>
      <c r="M154" s="6">
        <f>INDEX('Minutes &amp; Health'!$P:$P,AL154)</f>
        <v/>
      </c>
      <c r="N154" s="5">
        <f>INDEX('Player Data'!$F:$F,AL154)/INDEX('Player Data'!$E:$E,AL154)*M154*L154*AM154</f>
        <v/>
      </c>
      <c r="O154" s="5">
        <f>INDEX('Player Data'!$G:$G,AL154)/INDEX('Player Data'!$E:$E,AL154)*M154*L154*AM154</f>
        <v/>
      </c>
      <c r="P154" s="5">
        <f>INDEX('Player Data'!$H:$H,AL154)/INDEX('Player Data'!$E:$E,AL154)*M154*L154*AM154</f>
        <v/>
      </c>
      <c r="Q154" s="5">
        <f>INDEX('Player Data'!$I:$I,AL154)/INDEX('Player Data'!$E:$E,AL154)*M154*L154*AM154</f>
        <v/>
      </c>
      <c r="R154" s="5">
        <f>INDEX('Player Data'!$J:$J,AL154)/INDEX('Player Data'!$E:$E,AL154)*M154*L154*AM154</f>
        <v/>
      </c>
      <c r="S154" s="5">
        <f>INDEX('Player Data'!$K:$K,AL154)/INDEX('Player Data'!$E:$E,AL154)*M154*L154*AM154</f>
        <v/>
      </c>
      <c r="T154" s="5">
        <f>INDEX('Player Data'!$L:$L,AL154)/INDEX('Player Data'!$E:$E,AL154)*M154*L154*AM154</f>
        <v/>
      </c>
      <c r="U154" s="7">
        <f>INDEX('Player Data'!$M:$M,AL154)</f>
        <v/>
      </c>
      <c r="V154" s="7">
        <f>INDEX('Player Data'!$N:$N,AL154)</f>
        <v/>
      </c>
      <c r="W154" s="5">
        <f>X154*U154</f>
        <v/>
      </c>
      <c r="X154" s="5">
        <f>INDEX('Player Data'!$O:$O,AL154)/INDEX('Player Data'!$E:$E,AL154)*M154*L154*AM154</f>
        <v/>
      </c>
      <c r="Y154" s="5">
        <f>Z154*V154</f>
        <v/>
      </c>
      <c r="Z154" s="5">
        <f>INDEX('Player Data'!$P:$P,AL154)/INDEX('Player Data'!$E:$E,AL154)*M154*L154*AM154</f>
        <v/>
      </c>
      <c r="AB154" s="3">
        <f>(N154-Pool!$D$2)/Pool!$E$2</f>
        <v/>
      </c>
      <c r="AC154" s="3">
        <f>(O154-Pool!$D$3)/Pool!$E$3</f>
        <v/>
      </c>
      <c r="AD154" s="3">
        <f>(P154-Pool!$D$4)/Pool!$E$4</f>
        <v/>
      </c>
      <c r="AE154" s="3">
        <f>(Q154-Pool!$D$5)/Pool!$E$5</f>
        <v/>
      </c>
      <c r="AF154" s="3">
        <f>(R154-Pool!$D$6)/Pool!$E$6</f>
        <v/>
      </c>
      <c r="AG154" s="3">
        <f>(S154-Pool!$D$7)/Pool!$E$7</f>
        <v/>
      </c>
      <c r="AH154" s="3">
        <f>(AS154-Pool!$D$8)/Pool!$E$8</f>
        <v/>
      </c>
      <c r="AI154" s="3">
        <f>(AT154-Pool!$D$9)/Pool!$E$9</f>
        <v/>
      </c>
      <c r="AJ154" s="3">
        <f>-(T154-Pool!$D$10)/Pool!$E$10</f>
        <v/>
      </c>
      <c r="AL154">
        <f>MATCH(B154,'Player Data'!$A:$A,0)</f>
        <v/>
      </c>
      <c r="AM154" s="3">
        <f>1+IF(Settings!$F$10="ON",IFERROR(VLOOKUP(TRIM(F154),Settings!$D$12:$F$17,3,FALSE),0),0)</f>
        <v/>
      </c>
      <c r="AN154">
        <f>IFERROR(LEFT(C154,FIND(",",C154)-1),C154)</f>
        <v/>
      </c>
      <c r="AO154" s="6">
        <f>X154*(U154-Pool!$B$12)</f>
        <v/>
      </c>
      <c r="AP154" s="6">
        <f>Z154*(V154-Pool!$B$13)</f>
        <v/>
      </c>
      <c r="AQ154" s="3">
        <f>Settings!$B$2*(N154-Pool!$B$2)/Pool!$C$2+Settings!$B$3*(O154-Pool!$B$3)/Pool!$C$3+Settings!$B$4*(P154-Pool!$B$4)/Pool!$C$4+Settings!$B$5*(Q154-Pool!$B$5)/Pool!$C$5+Settings!$B$6*(R154-Pool!$B$6)/Pool!$C$6+Settings!$B$7*(S154-Pool!$B$7)/Pool!$C$7+Settings!$B$8*(AO154-Pool!$B$8)/Pool!$C$8+Settings!$B$9*(AP154-Pool!$B$9)/Pool!$C$9+Settings!$B$10*-(T154-Pool!$B$10)/Pool!$C$10</f>
        <v/>
      </c>
      <c r="AR154">
        <f>IF(RANK(AQ154,$AQ$2:$AQ$266)&lt;=Settings!$F$5,1,0)</f>
        <v/>
      </c>
      <c r="AS154" s="6">
        <f>X154*(U154-Pool!$D$12)</f>
        <v/>
      </c>
      <c r="AT154" s="6">
        <f>Z154*(V154-Pool!$D$13)</f>
        <v/>
      </c>
    </row>
    <row r="155">
      <c r="A155">
        <f>RANK(H155,$H$2:$H$266)</f>
        <v/>
      </c>
      <c r="B155" t="inlineStr">
        <is>
          <t>Isaiah Joe</t>
        </is>
      </c>
      <c r="C155">
        <f>INDEX('Player Data'!$C:$C,AL155)</f>
        <v/>
      </c>
      <c r="D155">
        <f>SUMPRODUCT(($AN$2:$AN$266=AN155)*($H$2:$H$266&gt;H155))+1</f>
        <v/>
      </c>
      <c r="E155">
        <f>INDEX('Player Data'!$B:$B,AL155)</f>
        <v/>
      </c>
      <c r="F155" s="2" t="n"/>
      <c r="G155" s="3">
        <f>Settings!$B$2*AB155+Settings!$B$3*AC155+Settings!$B$4*AD155+Settings!$B$5*AE155+Settings!$B$6*AF155+Settings!$B$7*AG155+Settings!$B$8*AH155+Settings!$B$9*AI155+Settings!$B$10*AJ155</f>
        <v/>
      </c>
      <c r="H155" s="3">
        <f>G155-LARGE($G$2:$G$266,Settings!$F$4)</f>
        <v/>
      </c>
      <c r="I155">
        <f>IF(INDEX('Player Data'!$R:$R,AL155)="","",INDEX('Player Data'!$R:$R,AL155))</f>
        <v/>
      </c>
      <c r="J155" s="4">
        <f>IF(I155="","",I155-A155)</f>
        <v/>
      </c>
      <c r="L155" s="5">
        <f>IF(Settings!$F$7="Yes",INDEX('Minutes &amp; Health'!$O:$O,AL155),Settings!$F$8)</f>
        <v/>
      </c>
      <c r="M155" s="6">
        <f>INDEX('Minutes &amp; Health'!$P:$P,AL155)</f>
        <v/>
      </c>
      <c r="N155" s="5">
        <f>INDEX('Player Data'!$F:$F,AL155)/INDEX('Player Data'!$E:$E,AL155)*M155*L155*AM155</f>
        <v/>
      </c>
      <c r="O155" s="5">
        <f>INDEX('Player Data'!$G:$G,AL155)/INDEX('Player Data'!$E:$E,AL155)*M155*L155*AM155</f>
        <v/>
      </c>
      <c r="P155" s="5">
        <f>INDEX('Player Data'!$H:$H,AL155)/INDEX('Player Data'!$E:$E,AL155)*M155*L155*AM155</f>
        <v/>
      </c>
      <c r="Q155" s="5">
        <f>INDEX('Player Data'!$I:$I,AL155)/INDEX('Player Data'!$E:$E,AL155)*M155*L155*AM155</f>
        <v/>
      </c>
      <c r="R155" s="5">
        <f>INDEX('Player Data'!$J:$J,AL155)/INDEX('Player Data'!$E:$E,AL155)*M155*L155*AM155</f>
        <v/>
      </c>
      <c r="S155" s="5">
        <f>INDEX('Player Data'!$K:$K,AL155)/INDEX('Player Data'!$E:$E,AL155)*M155*L155*AM155</f>
        <v/>
      </c>
      <c r="T155" s="5">
        <f>INDEX('Player Data'!$L:$L,AL155)/INDEX('Player Data'!$E:$E,AL155)*M155*L155*AM155</f>
        <v/>
      </c>
      <c r="U155" s="7">
        <f>INDEX('Player Data'!$M:$M,AL155)</f>
        <v/>
      </c>
      <c r="V155" s="7">
        <f>INDEX('Player Data'!$N:$N,AL155)</f>
        <v/>
      </c>
      <c r="W155" s="5">
        <f>X155*U155</f>
        <v/>
      </c>
      <c r="X155" s="5">
        <f>INDEX('Player Data'!$O:$O,AL155)/INDEX('Player Data'!$E:$E,AL155)*M155*L155*AM155</f>
        <v/>
      </c>
      <c r="Y155" s="5">
        <f>Z155*V155</f>
        <v/>
      </c>
      <c r="Z155" s="5">
        <f>INDEX('Player Data'!$P:$P,AL155)/INDEX('Player Data'!$E:$E,AL155)*M155*L155*AM155</f>
        <v/>
      </c>
      <c r="AB155" s="3">
        <f>(N155-Pool!$D$2)/Pool!$E$2</f>
        <v/>
      </c>
      <c r="AC155" s="3">
        <f>(O155-Pool!$D$3)/Pool!$E$3</f>
        <v/>
      </c>
      <c r="AD155" s="3">
        <f>(P155-Pool!$D$4)/Pool!$E$4</f>
        <v/>
      </c>
      <c r="AE155" s="3">
        <f>(Q155-Pool!$D$5)/Pool!$E$5</f>
        <v/>
      </c>
      <c r="AF155" s="3">
        <f>(R155-Pool!$D$6)/Pool!$E$6</f>
        <v/>
      </c>
      <c r="AG155" s="3">
        <f>(S155-Pool!$D$7)/Pool!$E$7</f>
        <v/>
      </c>
      <c r="AH155" s="3">
        <f>(AS155-Pool!$D$8)/Pool!$E$8</f>
        <v/>
      </c>
      <c r="AI155" s="3">
        <f>(AT155-Pool!$D$9)/Pool!$E$9</f>
        <v/>
      </c>
      <c r="AJ155" s="3">
        <f>-(T155-Pool!$D$10)/Pool!$E$10</f>
        <v/>
      </c>
      <c r="AL155">
        <f>MATCH(B155,'Player Data'!$A:$A,0)</f>
        <v/>
      </c>
      <c r="AM155" s="3">
        <f>1+IF(Settings!$F$10="ON",IFERROR(VLOOKUP(TRIM(F155),Settings!$D$12:$F$17,3,FALSE),0),0)</f>
        <v/>
      </c>
      <c r="AN155">
        <f>IFERROR(LEFT(C155,FIND(",",C155)-1),C155)</f>
        <v/>
      </c>
      <c r="AO155" s="6">
        <f>X155*(U155-Pool!$B$12)</f>
        <v/>
      </c>
      <c r="AP155" s="6">
        <f>Z155*(V155-Pool!$B$13)</f>
        <v/>
      </c>
      <c r="AQ155" s="3">
        <f>Settings!$B$2*(N155-Pool!$B$2)/Pool!$C$2+Settings!$B$3*(O155-Pool!$B$3)/Pool!$C$3+Settings!$B$4*(P155-Pool!$B$4)/Pool!$C$4+Settings!$B$5*(Q155-Pool!$B$5)/Pool!$C$5+Settings!$B$6*(R155-Pool!$B$6)/Pool!$C$6+Settings!$B$7*(S155-Pool!$B$7)/Pool!$C$7+Settings!$B$8*(AO155-Pool!$B$8)/Pool!$C$8+Settings!$B$9*(AP155-Pool!$B$9)/Pool!$C$9+Settings!$B$10*-(T155-Pool!$B$10)/Pool!$C$10</f>
        <v/>
      </c>
      <c r="AR155">
        <f>IF(RANK(AQ155,$AQ$2:$AQ$266)&lt;=Settings!$F$5,1,0)</f>
        <v/>
      </c>
      <c r="AS155" s="6">
        <f>X155*(U155-Pool!$D$12)</f>
        <v/>
      </c>
      <c r="AT155" s="6">
        <f>Z155*(V155-Pool!$D$13)</f>
        <v/>
      </c>
    </row>
    <row r="156">
      <c r="A156">
        <f>RANK(H156,$H$2:$H$266)</f>
        <v/>
      </c>
      <c r="B156" t="inlineStr">
        <is>
          <t>De'Anthony Melton</t>
        </is>
      </c>
      <c r="C156">
        <f>INDEX('Player Data'!$C:$C,AL156)</f>
        <v/>
      </c>
      <c r="D156">
        <f>SUMPRODUCT(($AN$2:$AN$266=AN156)*($H$2:$H$266&gt;H156))+1</f>
        <v/>
      </c>
      <c r="E156">
        <f>INDEX('Player Data'!$B:$B,AL156)</f>
        <v/>
      </c>
      <c r="F156" s="2" t="n"/>
      <c r="G156" s="3">
        <f>Settings!$B$2*AB156+Settings!$B$3*AC156+Settings!$B$4*AD156+Settings!$B$5*AE156+Settings!$B$6*AF156+Settings!$B$7*AG156+Settings!$B$8*AH156+Settings!$B$9*AI156+Settings!$B$10*AJ156</f>
        <v/>
      </c>
      <c r="H156" s="3">
        <f>G156-LARGE($G$2:$G$266,Settings!$F$4)</f>
        <v/>
      </c>
      <c r="I156">
        <f>IF(INDEX('Player Data'!$R:$R,AL156)="","",INDEX('Player Data'!$R:$R,AL156))</f>
        <v/>
      </c>
      <c r="J156" s="4">
        <f>IF(I156="","",I156-A156)</f>
        <v/>
      </c>
      <c r="L156" s="5">
        <f>IF(Settings!$F$7="Yes",INDEX('Minutes &amp; Health'!$O:$O,AL156),Settings!$F$8)</f>
        <v/>
      </c>
      <c r="M156" s="6">
        <f>INDEX('Minutes &amp; Health'!$P:$P,AL156)</f>
        <v/>
      </c>
      <c r="N156" s="5">
        <f>INDEX('Player Data'!$F:$F,AL156)/INDEX('Player Data'!$E:$E,AL156)*M156*L156*AM156</f>
        <v/>
      </c>
      <c r="O156" s="5">
        <f>INDEX('Player Data'!$G:$G,AL156)/INDEX('Player Data'!$E:$E,AL156)*M156*L156*AM156</f>
        <v/>
      </c>
      <c r="P156" s="5">
        <f>INDEX('Player Data'!$H:$H,AL156)/INDEX('Player Data'!$E:$E,AL156)*M156*L156*AM156</f>
        <v/>
      </c>
      <c r="Q156" s="5">
        <f>INDEX('Player Data'!$I:$I,AL156)/INDEX('Player Data'!$E:$E,AL156)*M156*L156*AM156</f>
        <v/>
      </c>
      <c r="R156" s="5">
        <f>INDEX('Player Data'!$J:$J,AL156)/INDEX('Player Data'!$E:$E,AL156)*M156*L156*AM156</f>
        <v/>
      </c>
      <c r="S156" s="5">
        <f>INDEX('Player Data'!$K:$K,AL156)/INDEX('Player Data'!$E:$E,AL156)*M156*L156*AM156</f>
        <v/>
      </c>
      <c r="T156" s="5">
        <f>INDEX('Player Data'!$L:$L,AL156)/INDEX('Player Data'!$E:$E,AL156)*M156*L156*AM156</f>
        <v/>
      </c>
      <c r="U156" s="7">
        <f>INDEX('Player Data'!$M:$M,AL156)</f>
        <v/>
      </c>
      <c r="V156" s="7">
        <f>INDEX('Player Data'!$N:$N,AL156)</f>
        <v/>
      </c>
      <c r="W156" s="5">
        <f>X156*U156</f>
        <v/>
      </c>
      <c r="X156" s="5">
        <f>INDEX('Player Data'!$O:$O,AL156)/INDEX('Player Data'!$E:$E,AL156)*M156*L156*AM156</f>
        <v/>
      </c>
      <c r="Y156" s="5">
        <f>Z156*V156</f>
        <v/>
      </c>
      <c r="Z156" s="5">
        <f>INDEX('Player Data'!$P:$P,AL156)/INDEX('Player Data'!$E:$E,AL156)*M156*L156*AM156</f>
        <v/>
      </c>
      <c r="AB156" s="3">
        <f>(N156-Pool!$D$2)/Pool!$E$2</f>
        <v/>
      </c>
      <c r="AC156" s="3">
        <f>(O156-Pool!$D$3)/Pool!$E$3</f>
        <v/>
      </c>
      <c r="AD156" s="3">
        <f>(P156-Pool!$D$4)/Pool!$E$4</f>
        <v/>
      </c>
      <c r="AE156" s="3">
        <f>(Q156-Pool!$D$5)/Pool!$E$5</f>
        <v/>
      </c>
      <c r="AF156" s="3">
        <f>(R156-Pool!$D$6)/Pool!$E$6</f>
        <v/>
      </c>
      <c r="AG156" s="3">
        <f>(S156-Pool!$D$7)/Pool!$E$7</f>
        <v/>
      </c>
      <c r="AH156" s="3">
        <f>(AS156-Pool!$D$8)/Pool!$E$8</f>
        <v/>
      </c>
      <c r="AI156" s="3">
        <f>(AT156-Pool!$D$9)/Pool!$E$9</f>
        <v/>
      </c>
      <c r="AJ156" s="3">
        <f>-(T156-Pool!$D$10)/Pool!$E$10</f>
        <v/>
      </c>
      <c r="AL156">
        <f>MATCH(B156,'Player Data'!$A:$A,0)</f>
        <v/>
      </c>
      <c r="AM156" s="3">
        <f>1+IF(Settings!$F$10="ON",IFERROR(VLOOKUP(TRIM(F156),Settings!$D$12:$F$17,3,FALSE),0),0)</f>
        <v/>
      </c>
      <c r="AN156">
        <f>IFERROR(LEFT(C156,FIND(",",C156)-1),C156)</f>
        <v/>
      </c>
      <c r="AO156" s="6">
        <f>X156*(U156-Pool!$B$12)</f>
        <v/>
      </c>
      <c r="AP156" s="6">
        <f>Z156*(V156-Pool!$B$13)</f>
        <v/>
      </c>
      <c r="AQ156" s="3">
        <f>Settings!$B$2*(N156-Pool!$B$2)/Pool!$C$2+Settings!$B$3*(O156-Pool!$B$3)/Pool!$C$3+Settings!$B$4*(P156-Pool!$B$4)/Pool!$C$4+Settings!$B$5*(Q156-Pool!$B$5)/Pool!$C$5+Settings!$B$6*(R156-Pool!$B$6)/Pool!$C$6+Settings!$B$7*(S156-Pool!$B$7)/Pool!$C$7+Settings!$B$8*(AO156-Pool!$B$8)/Pool!$C$8+Settings!$B$9*(AP156-Pool!$B$9)/Pool!$C$9+Settings!$B$10*-(T156-Pool!$B$10)/Pool!$C$10</f>
        <v/>
      </c>
      <c r="AR156">
        <f>IF(RANK(AQ156,$AQ$2:$AQ$266)&lt;=Settings!$F$5,1,0)</f>
        <v/>
      </c>
      <c r="AS156" s="6">
        <f>X156*(U156-Pool!$D$12)</f>
        <v/>
      </c>
      <c r="AT156" s="6">
        <f>Z156*(V156-Pool!$D$13)</f>
        <v/>
      </c>
    </row>
    <row r="157">
      <c r="A157">
        <f>RANK(H157,$H$2:$H$266)</f>
        <v/>
      </c>
      <c r="B157" t="inlineStr">
        <is>
          <t>Herbert Jones</t>
        </is>
      </c>
      <c r="C157">
        <f>INDEX('Player Data'!$C:$C,AL157)</f>
        <v/>
      </c>
      <c r="D157">
        <f>SUMPRODUCT(($AN$2:$AN$266=AN157)*($H$2:$H$266&gt;H157))+1</f>
        <v/>
      </c>
      <c r="E157">
        <f>INDEX('Player Data'!$B:$B,AL157)</f>
        <v/>
      </c>
      <c r="F157" s="2" t="n"/>
      <c r="G157" s="3">
        <f>Settings!$B$2*AB157+Settings!$B$3*AC157+Settings!$B$4*AD157+Settings!$B$5*AE157+Settings!$B$6*AF157+Settings!$B$7*AG157+Settings!$B$8*AH157+Settings!$B$9*AI157+Settings!$B$10*AJ157</f>
        <v/>
      </c>
      <c r="H157" s="3">
        <f>G157-LARGE($G$2:$G$266,Settings!$F$4)</f>
        <v/>
      </c>
      <c r="I157">
        <f>IF(INDEX('Player Data'!$R:$R,AL157)="","",INDEX('Player Data'!$R:$R,AL157))</f>
        <v/>
      </c>
      <c r="J157" s="4">
        <f>IF(I157="","",I157-A157)</f>
        <v/>
      </c>
      <c r="L157" s="5">
        <f>IF(Settings!$F$7="Yes",INDEX('Minutes &amp; Health'!$O:$O,AL157),Settings!$F$8)</f>
        <v/>
      </c>
      <c r="M157" s="6">
        <f>INDEX('Minutes &amp; Health'!$P:$P,AL157)</f>
        <v/>
      </c>
      <c r="N157" s="5">
        <f>INDEX('Player Data'!$F:$F,AL157)/INDEX('Player Data'!$E:$E,AL157)*M157*L157*AM157</f>
        <v/>
      </c>
      <c r="O157" s="5">
        <f>INDEX('Player Data'!$G:$G,AL157)/INDEX('Player Data'!$E:$E,AL157)*M157*L157*AM157</f>
        <v/>
      </c>
      <c r="P157" s="5">
        <f>INDEX('Player Data'!$H:$H,AL157)/INDEX('Player Data'!$E:$E,AL157)*M157*L157*AM157</f>
        <v/>
      </c>
      <c r="Q157" s="5">
        <f>INDEX('Player Data'!$I:$I,AL157)/INDEX('Player Data'!$E:$E,AL157)*M157*L157*AM157</f>
        <v/>
      </c>
      <c r="R157" s="5">
        <f>INDEX('Player Data'!$J:$J,AL157)/INDEX('Player Data'!$E:$E,AL157)*M157*L157*AM157</f>
        <v/>
      </c>
      <c r="S157" s="5">
        <f>INDEX('Player Data'!$K:$K,AL157)/INDEX('Player Data'!$E:$E,AL157)*M157*L157*AM157</f>
        <v/>
      </c>
      <c r="T157" s="5">
        <f>INDEX('Player Data'!$L:$L,AL157)/INDEX('Player Data'!$E:$E,AL157)*M157*L157*AM157</f>
        <v/>
      </c>
      <c r="U157" s="7">
        <f>INDEX('Player Data'!$M:$M,AL157)</f>
        <v/>
      </c>
      <c r="V157" s="7">
        <f>INDEX('Player Data'!$N:$N,AL157)</f>
        <v/>
      </c>
      <c r="W157" s="5">
        <f>X157*U157</f>
        <v/>
      </c>
      <c r="X157" s="5">
        <f>INDEX('Player Data'!$O:$O,AL157)/INDEX('Player Data'!$E:$E,AL157)*M157*L157*AM157</f>
        <v/>
      </c>
      <c r="Y157" s="5">
        <f>Z157*V157</f>
        <v/>
      </c>
      <c r="Z157" s="5">
        <f>INDEX('Player Data'!$P:$P,AL157)/INDEX('Player Data'!$E:$E,AL157)*M157*L157*AM157</f>
        <v/>
      </c>
      <c r="AB157" s="3">
        <f>(N157-Pool!$D$2)/Pool!$E$2</f>
        <v/>
      </c>
      <c r="AC157" s="3">
        <f>(O157-Pool!$D$3)/Pool!$E$3</f>
        <v/>
      </c>
      <c r="AD157" s="3">
        <f>(P157-Pool!$D$4)/Pool!$E$4</f>
        <v/>
      </c>
      <c r="AE157" s="3">
        <f>(Q157-Pool!$D$5)/Pool!$E$5</f>
        <v/>
      </c>
      <c r="AF157" s="3">
        <f>(R157-Pool!$D$6)/Pool!$E$6</f>
        <v/>
      </c>
      <c r="AG157" s="3">
        <f>(S157-Pool!$D$7)/Pool!$E$7</f>
        <v/>
      </c>
      <c r="AH157" s="3">
        <f>(AS157-Pool!$D$8)/Pool!$E$8</f>
        <v/>
      </c>
      <c r="AI157" s="3">
        <f>(AT157-Pool!$D$9)/Pool!$E$9</f>
        <v/>
      </c>
      <c r="AJ157" s="3">
        <f>-(T157-Pool!$D$10)/Pool!$E$10</f>
        <v/>
      </c>
      <c r="AL157">
        <f>MATCH(B157,'Player Data'!$A:$A,0)</f>
        <v/>
      </c>
      <c r="AM157" s="3">
        <f>1+IF(Settings!$F$10="ON",IFERROR(VLOOKUP(TRIM(F157),Settings!$D$12:$F$17,3,FALSE),0),0)</f>
        <v/>
      </c>
      <c r="AN157">
        <f>IFERROR(LEFT(C157,FIND(",",C157)-1),C157)</f>
        <v/>
      </c>
      <c r="AO157" s="6">
        <f>X157*(U157-Pool!$B$12)</f>
        <v/>
      </c>
      <c r="AP157" s="6">
        <f>Z157*(V157-Pool!$B$13)</f>
        <v/>
      </c>
      <c r="AQ157" s="3">
        <f>Settings!$B$2*(N157-Pool!$B$2)/Pool!$C$2+Settings!$B$3*(O157-Pool!$B$3)/Pool!$C$3+Settings!$B$4*(P157-Pool!$B$4)/Pool!$C$4+Settings!$B$5*(Q157-Pool!$B$5)/Pool!$C$5+Settings!$B$6*(R157-Pool!$B$6)/Pool!$C$6+Settings!$B$7*(S157-Pool!$B$7)/Pool!$C$7+Settings!$B$8*(AO157-Pool!$B$8)/Pool!$C$8+Settings!$B$9*(AP157-Pool!$B$9)/Pool!$C$9+Settings!$B$10*-(T157-Pool!$B$10)/Pool!$C$10</f>
        <v/>
      </c>
      <c r="AR157">
        <f>IF(RANK(AQ157,$AQ$2:$AQ$266)&lt;=Settings!$F$5,1,0)</f>
        <v/>
      </c>
      <c r="AS157" s="6">
        <f>X157*(U157-Pool!$D$12)</f>
        <v/>
      </c>
      <c r="AT157" s="6">
        <f>Z157*(V157-Pool!$D$13)</f>
        <v/>
      </c>
    </row>
    <row r="158">
      <c r="A158">
        <f>RANK(H158,$H$2:$H$266)</f>
        <v/>
      </c>
      <c r="B158" t="inlineStr">
        <is>
          <t>Derrick Jones Jr.</t>
        </is>
      </c>
      <c r="C158">
        <f>INDEX('Player Data'!$C:$C,AL158)</f>
        <v/>
      </c>
      <c r="D158">
        <f>SUMPRODUCT(($AN$2:$AN$266=AN158)*($H$2:$H$266&gt;H158))+1</f>
        <v/>
      </c>
      <c r="E158">
        <f>INDEX('Player Data'!$B:$B,AL158)</f>
        <v/>
      </c>
      <c r="F158" s="2" t="n"/>
      <c r="G158" s="3">
        <f>Settings!$B$2*AB158+Settings!$B$3*AC158+Settings!$B$4*AD158+Settings!$B$5*AE158+Settings!$B$6*AF158+Settings!$B$7*AG158+Settings!$B$8*AH158+Settings!$B$9*AI158+Settings!$B$10*AJ158</f>
        <v/>
      </c>
      <c r="H158" s="3">
        <f>G158-LARGE($G$2:$G$266,Settings!$F$4)</f>
        <v/>
      </c>
      <c r="I158">
        <f>IF(INDEX('Player Data'!$R:$R,AL158)="","",INDEX('Player Data'!$R:$R,AL158))</f>
        <v/>
      </c>
      <c r="J158" s="4">
        <f>IF(I158="","",I158-A158)</f>
        <v/>
      </c>
      <c r="L158" s="5">
        <f>IF(Settings!$F$7="Yes",INDEX('Minutes &amp; Health'!$O:$O,AL158),Settings!$F$8)</f>
        <v/>
      </c>
      <c r="M158" s="6">
        <f>INDEX('Minutes &amp; Health'!$P:$P,AL158)</f>
        <v/>
      </c>
      <c r="N158" s="5">
        <f>INDEX('Player Data'!$F:$F,AL158)/INDEX('Player Data'!$E:$E,AL158)*M158*L158*AM158</f>
        <v/>
      </c>
      <c r="O158" s="5">
        <f>INDEX('Player Data'!$G:$G,AL158)/INDEX('Player Data'!$E:$E,AL158)*M158*L158*AM158</f>
        <v/>
      </c>
      <c r="P158" s="5">
        <f>INDEX('Player Data'!$H:$H,AL158)/INDEX('Player Data'!$E:$E,AL158)*M158*L158*AM158</f>
        <v/>
      </c>
      <c r="Q158" s="5">
        <f>INDEX('Player Data'!$I:$I,AL158)/INDEX('Player Data'!$E:$E,AL158)*M158*L158*AM158</f>
        <v/>
      </c>
      <c r="R158" s="5">
        <f>INDEX('Player Data'!$J:$J,AL158)/INDEX('Player Data'!$E:$E,AL158)*M158*L158*AM158</f>
        <v/>
      </c>
      <c r="S158" s="5">
        <f>INDEX('Player Data'!$K:$K,AL158)/INDEX('Player Data'!$E:$E,AL158)*M158*L158*AM158</f>
        <v/>
      </c>
      <c r="T158" s="5">
        <f>INDEX('Player Data'!$L:$L,AL158)/INDEX('Player Data'!$E:$E,AL158)*M158*L158*AM158</f>
        <v/>
      </c>
      <c r="U158" s="7">
        <f>INDEX('Player Data'!$M:$M,AL158)</f>
        <v/>
      </c>
      <c r="V158" s="7">
        <f>INDEX('Player Data'!$N:$N,AL158)</f>
        <v/>
      </c>
      <c r="W158" s="5">
        <f>X158*U158</f>
        <v/>
      </c>
      <c r="X158" s="5">
        <f>INDEX('Player Data'!$O:$O,AL158)/INDEX('Player Data'!$E:$E,AL158)*M158*L158*AM158</f>
        <v/>
      </c>
      <c r="Y158" s="5">
        <f>Z158*V158</f>
        <v/>
      </c>
      <c r="Z158" s="5">
        <f>INDEX('Player Data'!$P:$P,AL158)/INDEX('Player Data'!$E:$E,AL158)*M158*L158*AM158</f>
        <v/>
      </c>
      <c r="AB158" s="3">
        <f>(N158-Pool!$D$2)/Pool!$E$2</f>
        <v/>
      </c>
      <c r="AC158" s="3">
        <f>(O158-Pool!$D$3)/Pool!$E$3</f>
        <v/>
      </c>
      <c r="AD158" s="3">
        <f>(P158-Pool!$D$4)/Pool!$E$4</f>
        <v/>
      </c>
      <c r="AE158" s="3">
        <f>(Q158-Pool!$D$5)/Pool!$E$5</f>
        <v/>
      </c>
      <c r="AF158" s="3">
        <f>(R158-Pool!$D$6)/Pool!$E$6</f>
        <v/>
      </c>
      <c r="AG158" s="3">
        <f>(S158-Pool!$D$7)/Pool!$E$7</f>
        <v/>
      </c>
      <c r="AH158" s="3">
        <f>(AS158-Pool!$D$8)/Pool!$E$8</f>
        <v/>
      </c>
      <c r="AI158" s="3">
        <f>(AT158-Pool!$D$9)/Pool!$E$9</f>
        <v/>
      </c>
      <c r="AJ158" s="3">
        <f>-(T158-Pool!$D$10)/Pool!$E$10</f>
        <v/>
      </c>
      <c r="AL158">
        <f>MATCH(B158,'Player Data'!$A:$A,0)</f>
        <v/>
      </c>
      <c r="AM158" s="3">
        <f>1+IF(Settings!$F$10="ON",IFERROR(VLOOKUP(TRIM(F158),Settings!$D$12:$F$17,3,FALSE),0),0)</f>
        <v/>
      </c>
      <c r="AN158">
        <f>IFERROR(LEFT(C158,FIND(",",C158)-1),C158)</f>
        <v/>
      </c>
      <c r="AO158" s="6">
        <f>X158*(U158-Pool!$B$12)</f>
        <v/>
      </c>
      <c r="AP158" s="6">
        <f>Z158*(V158-Pool!$B$13)</f>
        <v/>
      </c>
      <c r="AQ158" s="3">
        <f>Settings!$B$2*(N158-Pool!$B$2)/Pool!$C$2+Settings!$B$3*(O158-Pool!$B$3)/Pool!$C$3+Settings!$B$4*(P158-Pool!$B$4)/Pool!$C$4+Settings!$B$5*(Q158-Pool!$B$5)/Pool!$C$5+Settings!$B$6*(R158-Pool!$B$6)/Pool!$C$6+Settings!$B$7*(S158-Pool!$B$7)/Pool!$C$7+Settings!$B$8*(AO158-Pool!$B$8)/Pool!$C$8+Settings!$B$9*(AP158-Pool!$B$9)/Pool!$C$9+Settings!$B$10*-(T158-Pool!$B$10)/Pool!$C$10</f>
        <v/>
      </c>
      <c r="AR158">
        <f>IF(RANK(AQ158,$AQ$2:$AQ$266)&lt;=Settings!$F$5,1,0)</f>
        <v/>
      </c>
      <c r="AS158" s="6">
        <f>X158*(U158-Pool!$D$12)</f>
        <v/>
      </c>
      <c r="AT158" s="6">
        <f>Z158*(V158-Pool!$D$13)</f>
        <v/>
      </c>
    </row>
    <row r="159">
      <c r="A159">
        <f>RANK(H159,$H$2:$H$266)</f>
        <v/>
      </c>
      <c r="B159" t="inlineStr">
        <is>
          <t>Jimmy Butler III</t>
        </is>
      </c>
      <c r="C159">
        <f>INDEX('Player Data'!$C:$C,AL159)</f>
        <v/>
      </c>
      <c r="D159">
        <f>SUMPRODUCT(($AN$2:$AN$266=AN159)*($H$2:$H$266&gt;H159))+1</f>
        <v/>
      </c>
      <c r="E159">
        <f>INDEX('Player Data'!$B:$B,AL159)</f>
        <v/>
      </c>
      <c r="F159" s="2" t="n"/>
      <c r="G159" s="3">
        <f>Settings!$B$2*AB159+Settings!$B$3*AC159+Settings!$B$4*AD159+Settings!$B$5*AE159+Settings!$B$6*AF159+Settings!$B$7*AG159+Settings!$B$8*AH159+Settings!$B$9*AI159+Settings!$B$10*AJ159</f>
        <v/>
      </c>
      <c r="H159" s="3">
        <f>G159-LARGE($G$2:$G$266,Settings!$F$4)</f>
        <v/>
      </c>
      <c r="I159">
        <f>IF(INDEX('Player Data'!$R:$R,AL159)="","",INDEX('Player Data'!$R:$R,AL159))</f>
        <v/>
      </c>
      <c r="J159" s="4">
        <f>IF(I159="","",I159-A159)</f>
        <v/>
      </c>
      <c r="L159" s="5">
        <f>IF(Settings!$F$7="Yes",INDEX('Minutes &amp; Health'!$O:$O,AL159),Settings!$F$8)</f>
        <v/>
      </c>
      <c r="M159" s="6">
        <f>INDEX('Minutes &amp; Health'!$P:$P,AL159)</f>
        <v/>
      </c>
      <c r="N159" s="5">
        <f>INDEX('Player Data'!$F:$F,AL159)/INDEX('Player Data'!$E:$E,AL159)*M159*L159*AM159</f>
        <v/>
      </c>
      <c r="O159" s="5">
        <f>INDEX('Player Data'!$G:$G,AL159)/INDEX('Player Data'!$E:$E,AL159)*M159*L159*AM159</f>
        <v/>
      </c>
      <c r="P159" s="5">
        <f>INDEX('Player Data'!$H:$H,AL159)/INDEX('Player Data'!$E:$E,AL159)*M159*L159*AM159</f>
        <v/>
      </c>
      <c r="Q159" s="5">
        <f>INDEX('Player Data'!$I:$I,AL159)/INDEX('Player Data'!$E:$E,AL159)*M159*L159*AM159</f>
        <v/>
      </c>
      <c r="R159" s="5">
        <f>INDEX('Player Data'!$J:$J,AL159)/INDEX('Player Data'!$E:$E,AL159)*M159*L159*AM159</f>
        <v/>
      </c>
      <c r="S159" s="5">
        <f>INDEX('Player Data'!$K:$K,AL159)/INDEX('Player Data'!$E:$E,AL159)*M159*L159*AM159</f>
        <v/>
      </c>
      <c r="T159" s="5">
        <f>INDEX('Player Data'!$L:$L,AL159)/INDEX('Player Data'!$E:$E,AL159)*M159*L159*AM159</f>
        <v/>
      </c>
      <c r="U159" s="7">
        <f>INDEX('Player Data'!$M:$M,AL159)</f>
        <v/>
      </c>
      <c r="V159" s="7">
        <f>INDEX('Player Data'!$N:$N,AL159)</f>
        <v/>
      </c>
      <c r="W159" s="5">
        <f>X159*U159</f>
        <v/>
      </c>
      <c r="X159" s="5">
        <f>INDEX('Player Data'!$O:$O,AL159)/INDEX('Player Data'!$E:$E,AL159)*M159*L159*AM159</f>
        <v/>
      </c>
      <c r="Y159" s="5">
        <f>Z159*V159</f>
        <v/>
      </c>
      <c r="Z159" s="5">
        <f>INDEX('Player Data'!$P:$P,AL159)/INDEX('Player Data'!$E:$E,AL159)*M159*L159*AM159</f>
        <v/>
      </c>
      <c r="AB159" s="3">
        <f>(N159-Pool!$D$2)/Pool!$E$2</f>
        <v/>
      </c>
      <c r="AC159" s="3">
        <f>(O159-Pool!$D$3)/Pool!$E$3</f>
        <v/>
      </c>
      <c r="AD159" s="3">
        <f>(P159-Pool!$D$4)/Pool!$E$4</f>
        <v/>
      </c>
      <c r="AE159" s="3">
        <f>(Q159-Pool!$D$5)/Pool!$E$5</f>
        <v/>
      </c>
      <c r="AF159" s="3">
        <f>(R159-Pool!$D$6)/Pool!$E$6</f>
        <v/>
      </c>
      <c r="AG159" s="3">
        <f>(S159-Pool!$D$7)/Pool!$E$7</f>
        <v/>
      </c>
      <c r="AH159" s="3">
        <f>(AS159-Pool!$D$8)/Pool!$E$8</f>
        <v/>
      </c>
      <c r="AI159" s="3">
        <f>(AT159-Pool!$D$9)/Pool!$E$9</f>
        <v/>
      </c>
      <c r="AJ159" s="3">
        <f>-(T159-Pool!$D$10)/Pool!$E$10</f>
        <v/>
      </c>
      <c r="AL159">
        <f>MATCH(B159,'Player Data'!$A:$A,0)</f>
        <v/>
      </c>
      <c r="AM159" s="3">
        <f>1+IF(Settings!$F$10="ON",IFERROR(VLOOKUP(TRIM(F159),Settings!$D$12:$F$17,3,FALSE),0),0)</f>
        <v/>
      </c>
      <c r="AN159">
        <f>IFERROR(LEFT(C159,FIND(",",C159)-1),C159)</f>
        <v/>
      </c>
      <c r="AO159" s="6">
        <f>X159*(U159-Pool!$B$12)</f>
        <v/>
      </c>
      <c r="AP159" s="6">
        <f>Z159*(V159-Pool!$B$13)</f>
        <v/>
      </c>
      <c r="AQ159" s="3">
        <f>Settings!$B$2*(N159-Pool!$B$2)/Pool!$C$2+Settings!$B$3*(O159-Pool!$B$3)/Pool!$C$3+Settings!$B$4*(P159-Pool!$B$4)/Pool!$C$4+Settings!$B$5*(Q159-Pool!$B$5)/Pool!$C$5+Settings!$B$6*(R159-Pool!$B$6)/Pool!$C$6+Settings!$B$7*(S159-Pool!$B$7)/Pool!$C$7+Settings!$B$8*(AO159-Pool!$B$8)/Pool!$C$8+Settings!$B$9*(AP159-Pool!$B$9)/Pool!$C$9+Settings!$B$10*-(T159-Pool!$B$10)/Pool!$C$10</f>
        <v/>
      </c>
      <c r="AR159">
        <f>IF(RANK(AQ159,$AQ$2:$AQ$266)&lt;=Settings!$F$5,1,0)</f>
        <v/>
      </c>
      <c r="AS159" s="6">
        <f>X159*(U159-Pool!$D$12)</f>
        <v/>
      </c>
      <c r="AT159" s="6">
        <f>Z159*(V159-Pool!$D$13)</f>
        <v/>
      </c>
    </row>
    <row r="160">
      <c r="A160">
        <f>RANK(H160,$H$2:$H$266)</f>
        <v/>
      </c>
      <c r="B160" t="inlineStr">
        <is>
          <t>Duncan Robinson</t>
        </is>
      </c>
      <c r="C160">
        <f>INDEX('Player Data'!$C:$C,AL160)</f>
        <v/>
      </c>
      <c r="D160">
        <f>SUMPRODUCT(($AN$2:$AN$266=AN160)*($H$2:$H$266&gt;H160))+1</f>
        <v/>
      </c>
      <c r="E160">
        <f>INDEX('Player Data'!$B:$B,AL160)</f>
        <v/>
      </c>
      <c r="F160" s="2" t="n"/>
      <c r="G160" s="3">
        <f>Settings!$B$2*AB160+Settings!$B$3*AC160+Settings!$B$4*AD160+Settings!$B$5*AE160+Settings!$B$6*AF160+Settings!$B$7*AG160+Settings!$B$8*AH160+Settings!$B$9*AI160+Settings!$B$10*AJ160</f>
        <v/>
      </c>
      <c r="H160" s="3">
        <f>G160-LARGE($G$2:$G$266,Settings!$F$4)</f>
        <v/>
      </c>
      <c r="I160">
        <f>IF(INDEX('Player Data'!$R:$R,AL160)="","",INDEX('Player Data'!$R:$R,AL160))</f>
        <v/>
      </c>
      <c r="J160" s="4">
        <f>IF(I160="","",I160-A160)</f>
        <v/>
      </c>
      <c r="L160" s="5">
        <f>IF(Settings!$F$7="Yes",INDEX('Minutes &amp; Health'!$O:$O,AL160),Settings!$F$8)</f>
        <v/>
      </c>
      <c r="M160" s="6">
        <f>INDEX('Minutes &amp; Health'!$P:$P,AL160)</f>
        <v/>
      </c>
      <c r="N160" s="5">
        <f>INDEX('Player Data'!$F:$F,AL160)/INDEX('Player Data'!$E:$E,AL160)*M160*L160*AM160</f>
        <v/>
      </c>
      <c r="O160" s="5">
        <f>INDEX('Player Data'!$G:$G,AL160)/INDEX('Player Data'!$E:$E,AL160)*M160*L160*AM160</f>
        <v/>
      </c>
      <c r="P160" s="5">
        <f>INDEX('Player Data'!$H:$H,AL160)/INDEX('Player Data'!$E:$E,AL160)*M160*L160*AM160</f>
        <v/>
      </c>
      <c r="Q160" s="5">
        <f>INDEX('Player Data'!$I:$I,AL160)/INDEX('Player Data'!$E:$E,AL160)*M160*L160*AM160</f>
        <v/>
      </c>
      <c r="R160" s="5">
        <f>INDEX('Player Data'!$J:$J,AL160)/INDEX('Player Data'!$E:$E,AL160)*M160*L160*AM160</f>
        <v/>
      </c>
      <c r="S160" s="5">
        <f>INDEX('Player Data'!$K:$K,AL160)/INDEX('Player Data'!$E:$E,AL160)*M160*L160*AM160</f>
        <v/>
      </c>
      <c r="T160" s="5">
        <f>INDEX('Player Data'!$L:$L,AL160)/INDEX('Player Data'!$E:$E,AL160)*M160*L160*AM160</f>
        <v/>
      </c>
      <c r="U160" s="7">
        <f>INDEX('Player Data'!$M:$M,AL160)</f>
        <v/>
      </c>
      <c r="V160" s="7">
        <f>INDEX('Player Data'!$N:$N,AL160)</f>
        <v/>
      </c>
      <c r="W160" s="5">
        <f>X160*U160</f>
        <v/>
      </c>
      <c r="X160" s="5">
        <f>INDEX('Player Data'!$O:$O,AL160)/INDEX('Player Data'!$E:$E,AL160)*M160*L160*AM160</f>
        <v/>
      </c>
      <c r="Y160" s="5">
        <f>Z160*V160</f>
        <v/>
      </c>
      <c r="Z160" s="5">
        <f>INDEX('Player Data'!$P:$P,AL160)/INDEX('Player Data'!$E:$E,AL160)*M160*L160*AM160</f>
        <v/>
      </c>
      <c r="AB160" s="3">
        <f>(N160-Pool!$D$2)/Pool!$E$2</f>
        <v/>
      </c>
      <c r="AC160" s="3">
        <f>(O160-Pool!$D$3)/Pool!$E$3</f>
        <v/>
      </c>
      <c r="AD160" s="3">
        <f>(P160-Pool!$D$4)/Pool!$E$4</f>
        <v/>
      </c>
      <c r="AE160" s="3">
        <f>(Q160-Pool!$D$5)/Pool!$E$5</f>
        <v/>
      </c>
      <c r="AF160" s="3">
        <f>(R160-Pool!$D$6)/Pool!$E$6</f>
        <v/>
      </c>
      <c r="AG160" s="3">
        <f>(S160-Pool!$D$7)/Pool!$E$7</f>
        <v/>
      </c>
      <c r="AH160" s="3">
        <f>(AS160-Pool!$D$8)/Pool!$E$8</f>
        <v/>
      </c>
      <c r="AI160" s="3">
        <f>(AT160-Pool!$D$9)/Pool!$E$9</f>
        <v/>
      </c>
      <c r="AJ160" s="3">
        <f>-(T160-Pool!$D$10)/Pool!$E$10</f>
        <v/>
      </c>
      <c r="AL160">
        <f>MATCH(B160,'Player Data'!$A:$A,0)</f>
        <v/>
      </c>
      <c r="AM160" s="3">
        <f>1+IF(Settings!$F$10="ON",IFERROR(VLOOKUP(TRIM(F160),Settings!$D$12:$F$17,3,FALSE),0),0)</f>
        <v/>
      </c>
      <c r="AN160">
        <f>IFERROR(LEFT(C160,FIND(",",C160)-1),C160)</f>
        <v/>
      </c>
      <c r="AO160" s="6">
        <f>X160*(U160-Pool!$B$12)</f>
        <v/>
      </c>
      <c r="AP160" s="6">
        <f>Z160*(V160-Pool!$B$13)</f>
        <v/>
      </c>
      <c r="AQ160" s="3">
        <f>Settings!$B$2*(N160-Pool!$B$2)/Pool!$C$2+Settings!$B$3*(O160-Pool!$B$3)/Pool!$C$3+Settings!$B$4*(P160-Pool!$B$4)/Pool!$C$4+Settings!$B$5*(Q160-Pool!$B$5)/Pool!$C$5+Settings!$B$6*(R160-Pool!$B$6)/Pool!$C$6+Settings!$B$7*(S160-Pool!$B$7)/Pool!$C$7+Settings!$B$8*(AO160-Pool!$B$8)/Pool!$C$8+Settings!$B$9*(AP160-Pool!$B$9)/Pool!$C$9+Settings!$B$10*-(T160-Pool!$B$10)/Pool!$C$10</f>
        <v/>
      </c>
      <c r="AR160">
        <f>IF(RANK(AQ160,$AQ$2:$AQ$266)&lt;=Settings!$F$5,1,0)</f>
        <v/>
      </c>
      <c r="AS160" s="6">
        <f>X160*(U160-Pool!$D$12)</f>
        <v/>
      </c>
      <c r="AT160" s="6">
        <f>Z160*(V160-Pool!$D$13)</f>
        <v/>
      </c>
    </row>
    <row r="161">
      <c r="A161">
        <f>RANK(H161,$H$2:$H$266)</f>
        <v/>
      </c>
      <c r="B161" t="inlineStr">
        <is>
          <t>Mikel Brown Jr.</t>
        </is>
      </c>
      <c r="C161">
        <f>INDEX('Player Data'!$C:$C,AL161)</f>
        <v/>
      </c>
      <c r="D161">
        <f>SUMPRODUCT(($AN$2:$AN$266=AN161)*($H$2:$H$266&gt;H161))+1</f>
        <v/>
      </c>
      <c r="E161">
        <f>INDEX('Player Data'!$B:$B,AL161)</f>
        <v/>
      </c>
      <c r="F161" s="2" t="n"/>
      <c r="G161" s="3">
        <f>Settings!$B$2*AB161+Settings!$B$3*AC161+Settings!$B$4*AD161+Settings!$B$5*AE161+Settings!$B$6*AF161+Settings!$B$7*AG161+Settings!$B$8*AH161+Settings!$B$9*AI161+Settings!$B$10*AJ161</f>
        <v/>
      </c>
      <c r="H161" s="3">
        <f>G161-LARGE($G$2:$G$266,Settings!$F$4)</f>
        <v/>
      </c>
      <c r="I161">
        <f>IF(INDEX('Player Data'!$R:$R,AL161)="","",INDEX('Player Data'!$R:$R,AL161))</f>
        <v/>
      </c>
      <c r="J161" s="4">
        <f>IF(I161="","",I161-A161)</f>
        <v/>
      </c>
      <c r="L161" s="5">
        <f>IF(Settings!$F$7="Yes",INDEX('Minutes &amp; Health'!$O:$O,AL161),Settings!$F$8)</f>
        <v/>
      </c>
      <c r="M161" s="6">
        <f>INDEX('Minutes &amp; Health'!$P:$P,AL161)</f>
        <v/>
      </c>
      <c r="N161" s="5">
        <f>INDEX('Player Data'!$F:$F,AL161)/INDEX('Player Data'!$E:$E,AL161)*M161*L161*AM161</f>
        <v/>
      </c>
      <c r="O161" s="5">
        <f>INDEX('Player Data'!$G:$G,AL161)/INDEX('Player Data'!$E:$E,AL161)*M161*L161*AM161</f>
        <v/>
      </c>
      <c r="P161" s="5">
        <f>INDEX('Player Data'!$H:$H,AL161)/INDEX('Player Data'!$E:$E,AL161)*M161*L161*AM161</f>
        <v/>
      </c>
      <c r="Q161" s="5">
        <f>INDEX('Player Data'!$I:$I,AL161)/INDEX('Player Data'!$E:$E,AL161)*M161*L161*AM161</f>
        <v/>
      </c>
      <c r="R161" s="5">
        <f>INDEX('Player Data'!$J:$J,AL161)/INDEX('Player Data'!$E:$E,AL161)*M161*L161*AM161</f>
        <v/>
      </c>
      <c r="S161" s="5">
        <f>INDEX('Player Data'!$K:$K,AL161)/INDEX('Player Data'!$E:$E,AL161)*M161*L161*AM161</f>
        <v/>
      </c>
      <c r="T161" s="5">
        <f>INDEX('Player Data'!$L:$L,AL161)/INDEX('Player Data'!$E:$E,AL161)*M161*L161*AM161</f>
        <v/>
      </c>
      <c r="U161" s="7">
        <f>INDEX('Player Data'!$M:$M,AL161)</f>
        <v/>
      </c>
      <c r="V161" s="7">
        <f>INDEX('Player Data'!$N:$N,AL161)</f>
        <v/>
      </c>
      <c r="W161" s="5">
        <f>X161*U161</f>
        <v/>
      </c>
      <c r="X161" s="5">
        <f>INDEX('Player Data'!$O:$O,AL161)/INDEX('Player Data'!$E:$E,AL161)*M161*L161*AM161</f>
        <v/>
      </c>
      <c r="Y161" s="5">
        <f>Z161*V161</f>
        <v/>
      </c>
      <c r="Z161" s="5">
        <f>INDEX('Player Data'!$P:$P,AL161)/INDEX('Player Data'!$E:$E,AL161)*M161*L161*AM161</f>
        <v/>
      </c>
      <c r="AB161" s="3">
        <f>(N161-Pool!$D$2)/Pool!$E$2</f>
        <v/>
      </c>
      <c r="AC161" s="3">
        <f>(O161-Pool!$D$3)/Pool!$E$3</f>
        <v/>
      </c>
      <c r="AD161" s="3">
        <f>(P161-Pool!$D$4)/Pool!$E$4</f>
        <v/>
      </c>
      <c r="AE161" s="3">
        <f>(Q161-Pool!$D$5)/Pool!$E$5</f>
        <v/>
      </c>
      <c r="AF161" s="3">
        <f>(R161-Pool!$D$6)/Pool!$E$6</f>
        <v/>
      </c>
      <c r="AG161" s="3">
        <f>(S161-Pool!$D$7)/Pool!$E$7</f>
        <v/>
      </c>
      <c r="AH161" s="3">
        <f>(AS161-Pool!$D$8)/Pool!$E$8</f>
        <v/>
      </c>
      <c r="AI161" s="3">
        <f>(AT161-Pool!$D$9)/Pool!$E$9</f>
        <v/>
      </c>
      <c r="AJ161" s="3">
        <f>-(T161-Pool!$D$10)/Pool!$E$10</f>
        <v/>
      </c>
      <c r="AL161">
        <f>MATCH(B161,'Player Data'!$A:$A,0)</f>
        <v/>
      </c>
      <c r="AM161" s="3">
        <f>1+IF(Settings!$F$10="ON",IFERROR(VLOOKUP(TRIM(F161),Settings!$D$12:$F$17,3,FALSE),0),0)</f>
        <v/>
      </c>
      <c r="AN161">
        <f>IFERROR(LEFT(C161,FIND(",",C161)-1),C161)</f>
        <v/>
      </c>
      <c r="AO161" s="6">
        <f>X161*(U161-Pool!$B$12)</f>
        <v/>
      </c>
      <c r="AP161" s="6">
        <f>Z161*(V161-Pool!$B$13)</f>
        <v/>
      </c>
      <c r="AQ161" s="3">
        <f>Settings!$B$2*(N161-Pool!$B$2)/Pool!$C$2+Settings!$B$3*(O161-Pool!$B$3)/Pool!$C$3+Settings!$B$4*(P161-Pool!$B$4)/Pool!$C$4+Settings!$B$5*(Q161-Pool!$B$5)/Pool!$C$5+Settings!$B$6*(R161-Pool!$B$6)/Pool!$C$6+Settings!$B$7*(S161-Pool!$B$7)/Pool!$C$7+Settings!$B$8*(AO161-Pool!$B$8)/Pool!$C$8+Settings!$B$9*(AP161-Pool!$B$9)/Pool!$C$9+Settings!$B$10*-(T161-Pool!$B$10)/Pool!$C$10</f>
        <v/>
      </c>
      <c r="AR161">
        <f>IF(RANK(AQ161,$AQ$2:$AQ$266)&lt;=Settings!$F$5,1,0)</f>
        <v/>
      </c>
      <c r="AS161" s="6">
        <f>X161*(U161-Pool!$D$12)</f>
        <v/>
      </c>
      <c r="AT161" s="6">
        <f>Z161*(V161-Pool!$D$13)</f>
        <v/>
      </c>
    </row>
    <row r="162">
      <c r="A162">
        <f>RANK(H162,$H$2:$H$266)</f>
        <v/>
      </c>
      <c r="B162" t="inlineStr">
        <is>
          <t>Jrue Holiday</t>
        </is>
      </c>
      <c r="C162">
        <f>INDEX('Player Data'!$C:$C,AL162)</f>
        <v/>
      </c>
      <c r="D162">
        <f>SUMPRODUCT(($AN$2:$AN$266=AN162)*($H$2:$H$266&gt;H162))+1</f>
        <v/>
      </c>
      <c r="E162">
        <f>INDEX('Player Data'!$B:$B,AL162)</f>
        <v/>
      </c>
      <c r="F162" s="2" t="n"/>
      <c r="G162" s="3">
        <f>Settings!$B$2*AB162+Settings!$B$3*AC162+Settings!$B$4*AD162+Settings!$B$5*AE162+Settings!$B$6*AF162+Settings!$B$7*AG162+Settings!$B$8*AH162+Settings!$B$9*AI162+Settings!$B$10*AJ162</f>
        <v/>
      </c>
      <c r="H162" s="3">
        <f>G162-LARGE($G$2:$G$266,Settings!$F$4)</f>
        <v/>
      </c>
      <c r="I162">
        <f>IF(INDEX('Player Data'!$R:$R,AL162)="","",INDEX('Player Data'!$R:$R,AL162))</f>
        <v/>
      </c>
      <c r="J162" s="4">
        <f>IF(I162="","",I162-A162)</f>
        <v/>
      </c>
      <c r="L162" s="5">
        <f>IF(Settings!$F$7="Yes",INDEX('Minutes &amp; Health'!$O:$O,AL162),Settings!$F$8)</f>
        <v/>
      </c>
      <c r="M162" s="6">
        <f>INDEX('Minutes &amp; Health'!$P:$P,AL162)</f>
        <v/>
      </c>
      <c r="N162" s="5">
        <f>INDEX('Player Data'!$F:$F,AL162)/INDEX('Player Data'!$E:$E,AL162)*M162*L162*AM162</f>
        <v/>
      </c>
      <c r="O162" s="5">
        <f>INDEX('Player Data'!$G:$G,AL162)/INDEX('Player Data'!$E:$E,AL162)*M162*L162*AM162</f>
        <v/>
      </c>
      <c r="P162" s="5">
        <f>INDEX('Player Data'!$H:$H,AL162)/INDEX('Player Data'!$E:$E,AL162)*M162*L162*AM162</f>
        <v/>
      </c>
      <c r="Q162" s="5">
        <f>INDEX('Player Data'!$I:$I,AL162)/INDEX('Player Data'!$E:$E,AL162)*M162*L162*AM162</f>
        <v/>
      </c>
      <c r="R162" s="5">
        <f>INDEX('Player Data'!$J:$J,AL162)/INDEX('Player Data'!$E:$E,AL162)*M162*L162*AM162</f>
        <v/>
      </c>
      <c r="S162" s="5">
        <f>INDEX('Player Data'!$K:$K,AL162)/INDEX('Player Data'!$E:$E,AL162)*M162*L162*AM162</f>
        <v/>
      </c>
      <c r="T162" s="5">
        <f>INDEX('Player Data'!$L:$L,AL162)/INDEX('Player Data'!$E:$E,AL162)*M162*L162*AM162</f>
        <v/>
      </c>
      <c r="U162" s="7">
        <f>INDEX('Player Data'!$M:$M,AL162)</f>
        <v/>
      </c>
      <c r="V162" s="7">
        <f>INDEX('Player Data'!$N:$N,AL162)</f>
        <v/>
      </c>
      <c r="W162" s="5">
        <f>X162*U162</f>
        <v/>
      </c>
      <c r="X162" s="5">
        <f>INDEX('Player Data'!$O:$O,AL162)/INDEX('Player Data'!$E:$E,AL162)*M162*L162*AM162</f>
        <v/>
      </c>
      <c r="Y162" s="5">
        <f>Z162*V162</f>
        <v/>
      </c>
      <c r="Z162" s="5">
        <f>INDEX('Player Data'!$P:$P,AL162)/INDEX('Player Data'!$E:$E,AL162)*M162*L162*AM162</f>
        <v/>
      </c>
      <c r="AB162" s="3">
        <f>(N162-Pool!$D$2)/Pool!$E$2</f>
        <v/>
      </c>
      <c r="AC162" s="3">
        <f>(O162-Pool!$D$3)/Pool!$E$3</f>
        <v/>
      </c>
      <c r="AD162" s="3">
        <f>(P162-Pool!$D$4)/Pool!$E$4</f>
        <v/>
      </c>
      <c r="AE162" s="3">
        <f>(Q162-Pool!$D$5)/Pool!$E$5</f>
        <v/>
      </c>
      <c r="AF162" s="3">
        <f>(R162-Pool!$D$6)/Pool!$E$6</f>
        <v/>
      </c>
      <c r="AG162" s="3">
        <f>(S162-Pool!$D$7)/Pool!$E$7</f>
        <v/>
      </c>
      <c r="AH162" s="3">
        <f>(AS162-Pool!$D$8)/Pool!$E$8</f>
        <v/>
      </c>
      <c r="AI162" s="3">
        <f>(AT162-Pool!$D$9)/Pool!$E$9</f>
        <v/>
      </c>
      <c r="AJ162" s="3">
        <f>-(T162-Pool!$D$10)/Pool!$E$10</f>
        <v/>
      </c>
      <c r="AL162">
        <f>MATCH(B162,'Player Data'!$A:$A,0)</f>
        <v/>
      </c>
      <c r="AM162" s="3">
        <f>1+IF(Settings!$F$10="ON",IFERROR(VLOOKUP(TRIM(F162),Settings!$D$12:$F$17,3,FALSE),0),0)</f>
        <v/>
      </c>
      <c r="AN162">
        <f>IFERROR(LEFT(C162,FIND(",",C162)-1),C162)</f>
        <v/>
      </c>
      <c r="AO162" s="6">
        <f>X162*(U162-Pool!$B$12)</f>
        <v/>
      </c>
      <c r="AP162" s="6">
        <f>Z162*(V162-Pool!$B$13)</f>
        <v/>
      </c>
      <c r="AQ162" s="3">
        <f>Settings!$B$2*(N162-Pool!$B$2)/Pool!$C$2+Settings!$B$3*(O162-Pool!$B$3)/Pool!$C$3+Settings!$B$4*(P162-Pool!$B$4)/Pool!$C$4+Settings!$B$5*(Q162-Pool!$B$5)/Pool!$C$5+Settings!$B$6*(R162-Pool!$B$6)/Pool!$C$6+Settings!$B$7*(S162-Pool!$B$7)/Pool!$C$7+Settings!$B$8*(AO162-Pool!$B$8)/Pool!$C$8+Settings!$B$9*(AP162-Pool!$B$9)/Pool!$C$9+Settings!$B$10*-(T162-Pool!$B$10)/Pool!$C$10</f>
        <v/>
      </c>
      <c r="AR162">
        <f>IF(RANK(AQ162,$AQ$2:$AQ$266)&lt;=Settings!$F$5,1,0)</f>
        <v/>
      </c>
      <c r="AS162" s="6">
        <f>X162*(U162-Pool!$D$12)</f>
        <v/>
      </c>
      <c r="AT162" s="6">
        <f>Z162*(V162-Pool!$D$13)</f>
        <v/>
      </c>
    </row>
    <row r="163">
      <c r="A163">
        <f>RANK(H163,$H$2:$H$266)</f>
        <v/>
      </c>
      <c r="B163" t="inlineStr">
        <is>
          <t>Davion Mitchell</t>
        </is>
      </c>
      <c r="C163">
        <f>INDEX('Player Data'!$C:$C,AL163)</f>
        <v/>
      </c>
      <c r="D163">
        <f>SUMPRODUCT(($AN$2:$AN$266=AN163)*($H$2:$H$266&gt;H163))+1</f>
        <v/>
      </c>
      <c r="E163">
        <f>INDEX('Player Data'!$B:$B,AL163)</f>
        <v/>
      </c>
      <c r="F163" s="2" t="n"/>
      <c r="G163" s="3">
        <f>Settings!$B$2*AB163+Settings!$B$3*AC163+Settings!$B$4*AD163+Settings!$B$5*AE163+Settings!$B$6*AF163+Settings!$B$7*AG163+Settings!$B$8*AH163+Settings!$B$9*AI163+Settings!$B$10*AJ163</f>
        <v/>
      </c>
      <c r="H163" s="3">
        <f>G163-LARGE($G$2:$G$266,Settings!$F$4)</f>
        <v/>
      </c>
      <c r="I163">
        <f>IF(INDEX('Player Data'!$R:$R,AL163)="","",INDEX('Player Data'!$R:$R,AL163))</f>
        <v/>
      </c>
      <c r="J163" s="4">
        <f>IF(I163="","",I163-A163)</f>
        <v/>
      </c>
      <c r="L163" s="5">
        <f>IF(Settings!$F$7="Yes",INDEX('Minutes &amp; Health'!$O:$O,AL163),Settings!$F$8)</f>
        <v/>
      </c>
      <c r="M163" s="6">
        <f>INDEX('Minutes &amp; Health'!$P:$P,AL163)</f>
        <v/>
      </c>
      <c r="N163" s="5">
        <f>INDEX('Player Data'!$F:$F,AL163)/INDEX('Player Data'!$E:$E,AL163)*M163*L163*AM163</f>
        <v/>
      </c>
      <c r="O163" s="5">
        <f>INDEX('Player Data'!$G:$G,AL163)/INDEX('Player Data'!$E:$E,AL163)*M163*L163*AM163</f>
        <v/>
      </c>
      <c r="P163" s="5">
        <f>INDEX('Player Data'!$H:$H,AL163)/INDEX('Player Data'!$E:$E,AL163)*M163*L163*AM163</f>
        <v/>
      </c>
      <c r="Q163" s="5">
        <f>INDEX('Player Data'!$I:$I,AL163)/INDEX('Player Data'!$E:$E,AL163)*M163*L163*AM163</f>
        <v/>
      </c>
      <c r="R163" s="5">
        <f>INDEX('Player Data'!$J:$J,AL163)/INDEX('Player Data'!$E:$E,AL163)*M163*L163*AM163</f>
        <v/>
      </c>
      <c r="S163" s="5">
        <f>INDEX('Player Data'!$K:$K,AL163)/INDEX('Player Data'!$E:$E,AL163)*M163*L163*AM163</f>
        <v/>
      </c>
      <c r="T163" s="5">
        <f>INDEX('Player Data'!$L:$L,AL163)/INDEX('Player Data'!$E:$E,AL163)*M163*L163*AM163</f>
        <v/>
      </c>
      <c r="U163" s="7">
        <f>INDEX('Player Data'!$M:$M,AL163)</f>
        <v/>
      </c>
      <c r="V163" s="7">
        <f>INDEX('Player Data'!$N:$N,AL163)</f>
        <v/>
      </c>
      <c r="W163" s="5">
        <f>X163*U163</f>
        <v/>
      </c>
      <c r="X163" s="5">
        <f>INDEX('Player Data'!$O:$O,AL163)/INDEX('Player Data'!$E:$E,AL163)*M163*L163*AM163</f>
        <v/>
      </c>
      <c r="Y163" s="5">
        <f>Z163*V163</f>
        <v/>
      </c>
      <c r="Z163" s="5">
        <f>INDEX('Player Data'!$P:$P,AL163)/INDEX('Player Data'!$E:$E,AL163)*M163*L163*AM163</f>
        <v/>
      </c>
      <c r="AB163" s="3">
        <f>(N163-Pool!$D$2)/Pool!$E$2</f>
        <v/>
      </c>
      <c r="AC163" s="3">
        <f>(O163-Pool!$D$3)/Pool!$E$3</f>
        <v/>
      </c>
      <c r="AD163" s="3">
        <f>(P163-Pool!$D$4)/Pool!$E$4</f>
        <v/>
      </c>
      <c r="AE163" s="3">
        <f>(Q163-Pool!$D$5)/Pool!$E$5</f>
        <v/>
      </c>
      <c r="AF163" s="3">
        <f>(R163-Pool!$D$6)/Pool!$E$6</f>
        <v/>
      </c>
      <c r="AG163" s="3">
        <f>(S163-Pool!$D$7)/Pool!$E$7</f>
        <v/>
      </c>
      <c r="AH163" s="3">
        <f>(AS163-Pool!$D$8)/Pool!$E$8</f>
        <v/>
      </c>
      <c r="AI163" s="3">
        <f>(AT163-Pool!$D$9)/Pool!$E$9</f>
        <v/>
      </c>
      <c r="AJ163" s="3">
        <f>-(T163-Pool!$D$10)/Pool!$E$10</f>
        <v/>
      </c>
      <c r="AL163">
        <f>MATCH(B163,'Player Data'!$A:$A,0)</f>
        <v/>
      </c>
      <c r="AM163" s="3">
        <f>1+IF(Settings!$F$10="ON",IFERROR(VLOOKUP(TRIM(F163),Settings!$D$12:$F$17,3,FALSE),0),0)</f>
        <v/>
      </c>
      <c r="AN163">
        <f>IFERROR(LEFT(C163,FIND(",",C163)-1),C163)</f>
        <v/>
      </c>
      <c r="AO163" s="6">
        <f>X163*(U163-Pool!$B$12)</f>
        <v/>
      </c>
      <c r="AP163" s="6">
        <f>Z163*(V163-Pool!$B$13)</f>
        <v/>
      </c>
      <c r="AQ163" s="3">
        <f>Settings!$B$2*(N163-Pool!$B$2)/Pool!$C$2+Settings!$B$3*(O163-Pool!$B$3)/Pool!$C$3+Settings!$B$4*(P163-Pool!$B$4)/Pool!$C$4+Settings!$B$5*(Q163-Pool!$B$5)/Pool!$C$5+Settings!$B$6*(R163-Pool!$B$6)/Pool!$C$6+Settings!$B$7*(S163-Pool!$B$7)/Pool!$C$7+Settings!$B$8*(AO163-Pool!$B$8)/Pool!$C$8+Settings!$B$9*(AP163-Pool!$B$9)/Pool!$C$9+Settings!$B$10*-(T163-Pool!$B$10)/Pool!$C$10</f>
        <v/>
      </c>
      <c r="AR163">
        <f>IF(RANK(AQ163,$AQ$2:$AQ$266)&lt;=Settings!$F$5,1,0)</f>
        <v/>
      </c>
      <c r="AS163" s="6">
        <f>X163*(U163-Pool!$D$12)</f>
        <v/>
      </c>
      <c r="AT163" s="6">
        <f>Z163*(V163-Pool!$D$13)</f>
        <v/>
      </c>
    </row>
    <row r="164">
      <c r="A164">
        <f>RANK(H164,$H$2:$H$266)</f>
        <v/>
      </c>
      <c r="B164" t="inlineStr">
        <is>
          <t>Sam Hauser</t>
        </is>
      </c>
      <c r="C164">
        <f>INDEX('Player Data'!$C:$C,AL164)</f>
        <v/>
      </c>
      <c r="D164">
        <f>SUMPRODUCT(($AN$2:$AN$266=AN164)*($H$2:$H$266&gt;H164))+1</f>
        <v/>
      </c>
      <c r="E164">
        <f>INDEX('Player Data'!$B:$B,AL164)</f>
        <v/>
      </c>
      <c r="F164" s="2" t="n"/>
      <c r="G164" s="3">
        <f>Settings!$B$2*AB164+Settings!$B$3*AC164+Settings!$B$4*AD164+Settings!$B$5*AE164+Settings!$B$6*AF164+Settings!$B$7*AG164+Settings!$B$8*AH164+Settings!$B$9*AI164+Settings!$B$10*AJ164</f>
        <v/>
      </c>
      <c r="H164" s="3">
        <f>G164-LARGE($G$2:$G$266,Settings!$F$4)</f>
        <v/>
      </c>
      <c r="I164">
        <f>IF(INDEX('Player Data'!$R:$R,AL164)="","",INDEX('Player Data'!$R:$R,AL164))</f>
        <v/>
      </c>
      <c r="J164" s="4">
        <f>IF(I164="","",I164-A164)</f>
        <v/>
      </c>
      <c r="L164" s="5">
        <f>IF(Settings!$F$7="Yes",INDEX('Minutes &amp; Health'!$O:$O,AL164),Settings!$F$8)</f>
        <v/>
      </c>
      <c r="M164" s="6">
        <f>INDEX('Minutes &amp; Health'!$P:$P,AL164)</f>
        <v/>
      </c>
      <c r="N164" s="5">
        <f>INDEX('Player Data'!$F:$F,AL164)/INDEX('Player Data'!$E:$E,AL164)*M164*L164*AM164</f>
        <v/>
      </c>
      <c r="O164" s="5">
        <f>INDEX('Player Data'!$G:$G,AL164)/INDEX('Player Data'!$E:$E,AL164)*M164*L164*AM164</f>
        <v/>
      </c>
      <c r="P164" s="5">
        <f>INDEX('Player Data'!$H:$H,AL164)/INDEX('Player Data'!$E:$E,AL164)*M164*L164*AM164</f>
        <v/>
      </c>
      <c r="Q164" s="5">
        <f>INDEX('Player Data'!$I:$I,AL164)/INDEX('Player Data'!$E:$E,AL164)*M164*L164*AM164</f>
        <v/>
      </c>
      <c r="R164" s="5">
        <f>INDEX('Player Data'!$J:$J,AL164)/INDEX('Player Data'!$E:$E,AL164)*M164*L164*AM164</f>
        <v/>
      </c>
      <c r="S164" s="5">
        <f>INDEX('Player Data'!$K:$K,AL164)/INDEX('Player Data'!$E:$E,AL164)*M164*L164*AM164</f>
        <v/>
      </c>
      <c r="T164" s="5">
        <f>INDEX('Player Data'!$L:$L,AL164)/INDEX('Player Data'!$E:$E,AL164)*M164*L164*AM164</f>
        <v/>
      </c>
      <c r="U164" s="7">
        <f>INDEX('Player Data'!$M:$M,AL164)</f>
        <v/>
      </c>
      <c r="V164" s="7">
        <f>INDEX('Player Data'!$N:$N,AL164)</f>
        <v/>
      </c>
      <c r="W164" s="5">
        <f>X164*U164</f>
        <v/>
      </c>
      <c r="X164" s="5">
        <f>INDEX('Player Data'!$O:$O,AL164)/INDEX('Player Data'!$E:$E,AL164)*M164*L164*AM164</f>
        <v/>
      </c>
      <c r="Y164" s="5">
        <f>Z164*V164</f>
        <v/>
      </c>
      <c r="Z164" s="5">
        <f>INDEX('Player Data'!$P:$P,AL164)/INDEX('Player Data'!$E:$E,AL164)*M164*L164*AM164</f>
        <v/>
      </c>
      <c r="AB164" s="3">
        <f>(N164-Pool!$D$2)/Pool!$E$2</f>
        <v/>
      </c>
      <c r="AC164" s="3">
        <f>(O164-Pool!$D$3)/Pool!$E$3</f>
        <v/>
      </c>
      <c r="AD164" s="3">
        <f>(P164-Pool!$D$4)/Pool!$E$4</f>
        <v/>
      </c>
      <c r="AE164" s="3">
        <f>(Q164-Pool!$D$5)/Pool!$E$5</f>
        <v/>
      </c>
      <c r="AF164" s="3">
        <f>(R164-Pool!$D$6)/Pool!$E$6</f>
        <v/>
      </c>
      <c r="AG164" s="3">
        <f>(S164-Pool!$D$7)/Pool!$E$7</f>
        <v/>
      </c>
      <c r="AH164" s="3">
        <f>(AS164-Pool!$D$8)/Pool!$E$8</f>
        <v/>
      </c>
      <c r="AI164" s="3">
        <f>(AT164-Pool!$D$9)/Pool!$E$9</f>
        <v/>
      </c>
      <c r="AJ164" s="3">
        <f>-(T164-Pool!$D$10)/Pool!$E$10</f>
        <v/>
      </c>
      <c r="AL164">
        <f>MATCH(B164,'Player Data'!$A:$A,0)</f>
        <v/>
      </c>
      <c r="AM164" s="3">
        <f>1+IF(Settings!$F$10="ON",IFERROR(VLOOKUP(TRIM(F164),Settings!$D$12:$F$17,3,FALSE),0),0)</f>
        <v/>
      </c>
      <c r="AN164">
        <f>IFERROR(LEFT(C164,FIND(",",C164)-1),C164)</f>
        <v/>
      </c>
      <c r="AO164" s="6">
        <f>X164*(U164-Pool!$B$12)</f>
        <v/>
      </c>
      <c r="AP164" s="6">
        <f>Z164*(V164-Pool!$B$13)</f>
        <v/>
      </c>
      <c r="AQ164" s="3">
        <f>Settings!$B$2*(N164-Pool!$B$2)/Pool!$C$2+Settings!$B$3*(O164-Pool!$B$3)/Pool!$C$3+Settings!$B$4*(P164-Pool!$B$4)/Pool!$C$4+Settings!$B$5*(Q164-Pool!$B$5)/Pool!$C$5+Settings!$B$6*(R164-Pool!$B$6)/Pool!$C$6+Settings!$B$7*(S164-Pool!$B$7)/Pool!$C$7+Settings!$B$8*(AO164-Pool!$B$8)/Pool!$C$8+Settings!$B$9*(AP164-Pool!$B$9)/Pool!$C$9+Settings!$B$10*-(T164-Pool!$B$10)/Pool!$C$10</f>
        <v/>
      </c>
      <c r="AR164">
        <f>IF(RANK(AQ164,$AQ$2:$AQ$266)&lt;=Settings!$F$5,1,0)</f>
        <v/>
      </c>
      <c r="AS164" s="6">
        <f>X164*(U164-Pool!$D$12)</f>
        <v/>
      </c>
      <c r="AT164" s="6">
        <f>Z164*(V164-Pool!$D$13)</f>
        <v/>
      </c>
    </row>
    <row r="165">
      <c r="A165">
        <f>RANK(H165,$H$2:$H$266)</f>
        <v/>
      </c>
      <c r="B165" t="inlineStr">
        <is>
          <t>Oso Ighodaro</t>
        </is>
      </c>
      <c r="C165">
        <f>INDEX('Player Data'!$C:$C,AL165)</f>
        <v/>
      </c>
      <c r="D165">
        <f>SUMPRODUCT(($AN$2:$AN$266=AN165)*($H$2:$H$266&gt;H165))+1</f>
        <v/>
      </c>
      <c r="E165">
        <f>INDEX('Player Data'!$B:$B,AL165)</f>
        <v/>
      </c>
      <c r="F165" s="2" t="n"/>
      <c r="G165" s="3">
        <f>Settings!$B$2*AB165+Settings!$B$3*AC165+Settings!$B$4*AD165+Settings!$B$5*AE165+Settings!$B$6*AF165+Settings!$B$7*AG165+Settings!$B$8*AH165+Settings!$B$9*AI165+Settings!$B$10*AJ165</f>
        <v/>
      </c>
      <c r="H165" s="3">
        <f>G165-LARGE($G$2:$G$266,Settings!$F$4)</f>
        <v/>
      </c>
      <c r="I165">
        <f>IF(INDEX('Player Data'!$R:$R,AL165)="","",INDEX('Player Data'!$R:$R,AL165))</f>
        <v/>
      </c>
      <c r="J165" s="4">
        <f>IF(I165="","",I165-A165)</f>
        <v/>
      </c>
      <c r="L165" s="5">
        <f>IF(Settings!$F$7="Yes",INDEX('Minutes &amp; Health'!$O:$O,AL165),Settings!$F$8)</f>
        <v/>
      </c>
      <c r="M165" s="6">
        <f>INDEX('Minutes &amp; Health'!$P:$P,AL165)</f>
        <v/>
      </c>
      <c r="N165" s="5">
        <f>INDEX('Player Data'!$F:$F,AL165)/INDEX('Player Data'!$E:$E,AL165)*M165*L165*AM165</f>
        <v/>
      </c>
      <c r="O165" s="5">
        <f>INDEX('Player Data'!$G:$G,AL165)/INDEX('Player Data'!$E:$E,AL165)*M165*L165*AM165</f>
        <v/>
      </c>
      <c r="P165" s="5">
        <f>INDEX('Player Data'!$H:$H,AL165)/INDEX('Player Data'!$E:$E,AL165)*M165*L165*AM165</f>
        <v/>
      </c>
      <c r="Q165" s="5">
        <f>INDEX('Player Data'!$I:$I,AL165)/INDEX('Player Data'!$E:$E,AL165)*M165*L165*AM165</f>
        <v/>
      </c>
      <c r="R165" s="5">
        <f>INDEX('Player Data'!$J:$J,AL165)/INDEX('Player Data'!$E:$E,AL165)*M165*L165*AM165</f>
        <v/>
      </c>
      <c r="S165" s="5">
        <f>INDEX('Player Data'!$K:$K,AL165)/INDEX('Player Data'!$E:$E,AL165)*M165*L165*AM165</f>
        <v/>
      </c>
      <c r="T165" s="5">
        <f>INDEX('Player Data'!$L:$L,AL165)/INDEX('Player Data'!$E:$E,AL165)*M165*L165*AM165</f>
        <v/>
      </c>
      <c r="U165" s="7">
        <f>INDEX('Player Data'!$M:$M,AL165)</f>
        <v/>
      </c>
      <c r="V165" s="7">
        <f>INDEX('Player Data'!$N:$N,AL165)</f>
        <v/>
      </c>
      <c r="W165" s="5">
        <f>X165*U165</f>
        <v/>
      </c>
      <c r="X165" s="5">
        <f>INDEX('Player Data'!$O:$O,AL165)/INDEX('Player Data'!$E:$E,AL165)*M165*L165*AM165</f>
        <v/>
      </c>
      <c r="Y165" s="5">
        <f>Z165*V165</f>
        <v/>
      </c>
      <c r="Z165" s="5">
        <f>INDEX('Player Data'!$P:$P,AL165)/INDEX('Player Data'!$E:$E,AL165)*M165*L165*AM165</f>
        <v/>
      </c>
      <c r="AB165" s="3">
        <f>(N165-Pool!$D$2)/Pool!$E$2</f>
        <v/>
      </c>
      <c r="AC165" s="3">
        <f>(O165-Pool!$D$3)/Pool!$E$3</f>
        <v/>
      </c>
      <c r="AD165" s="3">
        <f>(P165-Pool!$D$4)/Pool!$E$4</f>
        <v/>
      </c>
      <c r="AE165" s="3">
        <f>(Q165-Pool!$D$5)/Pool!$E$5</f>
        <v/>
      </c>
      <c r="AF165" s="3">
        <f>(R165-Pool!$D$6)/Pool!$E$6</f>
        <v/>
      </c>
      <c r="AG165" s="3">
        <f>(S165-Pool!$D$7)/Pool!$E$7</f>
        <v/>
      </c>
      <c r="AH165" s="3">
        <f>(AS165-Pool!$D$8)/Pool!$E$8</f>
        <v/>
      </c>
      <c r="AI165" s="3">
        <f>(AT165-Pool!$D$9)/Pool!$E$9</f>
        <v/>
      </c>
      <c r="AJ165" s="3">
        <f>-(T165-Pool!$D$10)/Pool!$E$10</f>
        <v/>
      </c>
      <c r="AL165">
        <f>MATCH(B165,'Player Data'!$A:$A,0)</f>
        <v/>
      </c>
      <c r="AM165" s="3">
        <f>1+IF(Settings!$F$10="ON",IFERROR(VLOOKUP(TRIM(F165),Settings!$D$12:$F$17,3,FALSE),0),0)</f>
        <v/>
      </c>
      <c r="AN165">
        <f>IFERROR(LEFT(C165,FIND(",",C165)-1),C165)</f>
        <v/>
      </c>
      <c r="AO165" s="6">
        <f>X165*(U165-Pool!$B$12)</f>
        <v/>
      </c>
      <c r="AP165" s="6">
        <f>Z165*(V165-Pool!$B$13)</f>
        <v/>
      </c>
      <c r="AQ165" s="3">
        <f>Settings!$B$2*(N165-Pool!$B$2)/Pool!$C$2+Settings!$B$3*(O165-Pool!$B$3)/Pool!$C$3+Settings!$B$4*(P165-Pool!$B$4)/Pool!$C$4+Settings!$B$5*(Q165-Pool!$B$5)/Pool!$C$5+Settings!$B$6*(R165-Pool!$B$6)/Pool!$C$6+Settings!$B$7*(S165-Pool!$B$7)/Pool!$C$7+Settings!$B$8*(AO165-Pool!$B$8)/Pool!$C$8+Settings!$B$9*(AP165-Pool!$B$9)/Pool!$C$9+Settings!$B$10*-(T165-Pool!$B$10)/Pool!$C$10</f>
        <v/>
      </c>
      <c r="AR165">
        <f>IF(RANK(AQ165,$AQ$2:$AQ$266)&lt;=Settings!$F$5,1,0)</f>
        <v/>
      </c>
      <c r="AS165" s="6">
        <f>X165*(U165-Pool!$D$12)</f>
        <v/>
      </c>
      <c r="AT165" s="6">
        <f>Z165*(V165-Pool!$D$13)</f>
        <v/>
      </c>
    </row>
    <row r="166">
      <c r="A166">
        <f>RANK(H166,$H$2:$H$266)</f>
        <v/>
      </c>
      <c r="B166" t="inlineStr">
        <is>
          <t>Jalen Smith</t>
        </is>
      </c>
      <c r="C166">
        <f>INDEX('Player Data'!$C:$C,AL166)</f>
        <v/>
      </c>
      <c r="D166">
        <f>SUMPRODUCT(($AN$2:$AN$266=AN166)*($H$2:$H$266&gt;H166))+1</f>
        <v/>
      </c>
      <c r="E166">
        <f>INDEX('Player Data'!$B:$B,AL166)</f>
        <v/>
      </c>
      <c r="F166" s="2" t="n"/>
      <c r="G166" s="3">
        <f>Settings!$B$2*AB166+Settings!$B$3*AC166+Settings!$B$4*AD166+Settings!$B$5*AE166+Settings!$B$6*AF166+Settings!$B$7*AG166+Settings!$B$8*AH166+Settings!$B$9*AI166+Settings!$B$10*AJ166</f>
        <v/>
      </c>
      <c r="H166" s="3">
        <f>G166-LARGE($G$2:$G$266,Settings!$F$4)</f>
        <v/>
      </c>
      <c r="I166">
        <f>IF(INDEX('Player Data'!$R:$R,AL166)="","",INDEX('Player Data'!$R:$R,AL166))</f>
        <v/>
      </c>
      <c r="J166" s="4">
        <f>IF(I166="","",I166-A166)</f>
        <v/>
      </c>
      <c r="L166" s="5">
        <f>IF(Settings!$F$7="Yes",INDEX('Minutes &amp; Health'!$O:$O,AL166),Settings!$F$8)</f>
        <v/>
      </c>
      <c r="M166" s="6">
        <f>INDEX('Minutes &amp; Health'!$P:$P,AL166)</f>
        <v/>
      </c>
      <c r="N166" s="5">
        <f>INDEX('Player Data'!$F:$F,AL166)/INDEX('Player Data'!$E:$E,AL166)*M166*L166*AM166</f>
        <v/>
      </c>
      <c r="O166" s="5">
        <f>INDEX('Player Data'!$G:$G,AL166)/INDEX('Player Data'!$E:$E,AL166)*M166*L166*AM166</f>
        <v/>
      </c>
      <c r="P166" s="5">
        <f>INDEX('Player Data'!$H:$H,AL166)/INDEX('Player Data'!$E:$E,AL166)*M166*L166*AM166</f>
        <v/>
      </c>
      <c r="Q166" s="5">
        <f>INDEX('Player Data'!$I:$I,AL166)/INDEX('Player Data'!$E:$E,AL166)*M166*L166*AM166</f>
        <v/>
      </c>
      <c r="R166" s="5">
        <f>INDEX('Player Data'!$J:$J,AL166)/INDEX('Player Data'!$E:$E,AL166)*M166*L166*AM166</f>
        <v/>
      </c>
      <c r="S166" s="5">
        <f>INDEX('Player Data'!$K:$K,AL166)/INDEX('Player Data'!$E:$E,AL166)*M166*L166*AM166</f>
        <v/>
      </c>
      <c r="T166" s="5">
        <f>INDEX('Player Data'!$L:$L,AL166)/INDEX('Player Data'!$E:$E,AL166)*M166*L166*AM166</f>
        <v/>
      </c>
      <c r="U166" s="7">
        <f>INDEX('Player Data'!$M:$M,AL166)</f>
        <v/>
      </c>
      <c r="V166" s="7">
        <f>INDEX('Player Data'!$N:$N,AL166)</f>
        <v/>
      </c>
      <c r="W166" s="5">
        <f>X166*U166</f>
        <v/>
      </c>
      <c r="X166" s="5">
        <f>INDEX('Player Data'!$O:$O,AL166)/INDEX('Player Data'!$E:$E,AL166)*M166*L166*AM166</f>
        <v/>
      </c>
      <c r="Y166" s="5">
        <f>Z166*V166</f>
        <v/>
      </c>
      <c r="Z166" s="5">
        <f>INDEX('Player Data'!$P:$P,AL166)/INDEX('Player Data'!$E:$E,AL166)*M166*L166*AM166</f>
        <v/>
      </c>
      <c r="AB166" s="3">
        <f>(N166-Pool!$D$2)/Pool!$E$2</f>
        <v/>
      </c>
      <c r="AC166" s="3">
        <f>(O166-Pool!$D$3)/Pool!$E$3</f>
        <v/>
      </c>
      <c r="AD166" s="3">
        <f>(P166-Pool!$D$4)/Pool!$E$4</f>
        <v/>
      </c>
      <c r="AE166" s="3">
        <f>(Q166-Pool!$D$5)/Pool!$E$5</f>
        <v/>
      </c>
      <c r="AF166" s="3">
        <f>(R166-Pool!$D$6)/Pool!$E$6</f>
        <v/>
      </c>
      <c r="AG166" s="3">
        <f>(S166-Pool!$D$7)/Pool!$E$7</f>
        <v/>
      </c>
      <c r="AH166" s="3">
        <f>(AS166-Pool!$D$8)/Pool!$E$8</f>
        <v/>
      </c>
      <c r="AI166" s="3">
        <f>(AT166-Pool!$D$9)/Pool!$E$9</f>
        <v/>
      </c>
      <c r="AJ166" s="3">
        <f>-(T166-Pool!$D$10)/Pool!$E$10</f>
        <v/>
      </c>
      <c r="AL166">
        <f>MATCH(B166,'Player Data'!$A:$A,0)</f>
        <v/>
      </c>
      <c r="AM166" s="3">
        <f>1+IF(Settings!$F$10="ON",IFERROR(VLOOKUP(TRIM(F166),Settings!$D$12:$F$17,3,FALSE),0),0)</f>
        <v/>
      </c>
      <c r="AN166">
        <f>IFERROR(LEFT(C166,FIND(",",C166)-1),C166)</f>
        <v/>
      </c>
      <c r="AO166" s="6">
        <f>X166*(U166-Pool!$B$12)</f>
        <v/>
      </c>
      <c r="AP166" s="6">
        <f>Z166*(V166-Pool!$B$13)</f>
        <v/>
      </c>
      <c r="AQ166" s="3">
        <f>Settings!$B$2*(N166-Pool!$B$2)/Pool!$C$2+Settings!$B$3*(O166-Pool!$B$3)/Pool!$C$3+Settings!$B$4*(P166-Pool!$B$4)/Pool!$C$4+Settings!$B$5*(Q166-Pool!$B$5)/Pool!$C$5+Settings!$B$6*(R166-Pool!$B$6)/Pool!$C$6+Settings!$B$7*(S166-Pool!$B$7)/Pool!$C$7+Settings!$B$8*(AO166-Pool!$B$8)/Pool!$C$8+Settings!$B$9*(AP166-Pool!$B$9)/Pool!$C$9+Settings!$B$10*-(T166-Pool!$B$10)/Pool!$C$10</f>
        <v/>
      </c>
      <c r="AR166">
        <f>IF(RANK(AQ166,$AQ$2:$AQ$266)&lt;=Settings!$F$5,1,0)</f>
        <v/>
      </c>
      <c r="AS166" s="6">
        <f>X166*(U166-Pool!$D$12)</f>
        <v/>
      </c>
      <c r="AT166" s="6">
        <f>Z166*(V166-Pool!$D$13)</f>
        <v/>
      </c>
    </row>
    <row r="167">
      <c r="A167">
        <f>RANK(H167,$H$2:$H$266)</f>
        <v/>
      </c>
      <c r="B167" t="inlineStr">
        <is>
          <t>Kelly Oubre Jr.</t>
        </is>
      </c>
      <c r="C167">
        <f>INDEX('Player Data'!$C:$C,AL167)</f>
        <v/>
      </c>
      <c r="D167">
        <f>SUMPRODUCT(($AN$2:$AN$266=AN167)*($H$2:$H$266&gt;H167))+1</f>
        <v/>
      </c>
      <c r="E167">
        <f>INDEX('Player Data'!$B:$B,AL167)</f>
        <v/>
      </c>
      <c r="F167" s="2" t="n"/>
      <c r="G167" s="3">
        <f>Settings!$B$2*AB167+Settings!$B$3*AC167+Settings!$B$4*AD167+Settings!$B$5*AE167+Settings!$B$6*AF167+Settings!$B$7*AG167+Settings!$B$8*AH167+Settings!$B$9*AI167+Settings!$B$10*AJ167</f>
        <v/>
      </c>
      <c r="H167" s="3">
        <f>G167-LARGE($G$2:$G$266,Settings!$F$4)</f>
        <v/>
      </c>
      <c r="I167">
        <f>IF(INDEX('Player Data'!$R:$R,AL167)="","",INDEX('Player Data'!$R:$R,AL167))</f>
        <v/>
      </c>
      <c r="J167" s="4">
        <f>IF(I167="","",I167-A167)</f>
        <v/>
      </c>
      <c r="L167" s="5">
        <f>IF(Settings!$F$7="Yes",INDEX('Minutes &amp; Health'!$O:$O,AL167),Settings!$F$8)</f>
        <v/>
      </c>
      <c r="M167" s="6">
        <f>INDEX('Minutes &amp; Health'!$P:$P,AL167)</f>
        <v/>
      </c>
      <c r="N167" s="5">
        <f>INDEX('Player Data'!$F:$F,AL167)/INDEX('Player Data'!$E:$E,AL167)*M167*L167*AM167</f>
        <v/>
      </c>
      <c r="O167" s="5">
        <f>INDEX('Player Data'!$G:$G,AL167)/INDEX('Player Data'!$E:$E,AL167)*M167*L167*AM167</f>
        <v/>
      </c>
      <c r="P167" s="5">
        <f>INDEX('Player Data'!$H:$H,AL167)/INDEX('Player Data'!$E:$E,AL167)*M167*L167*AM167</f>
        <v/>
      </c>
      <c r="Q167" s="5">
        <f>INDEX('Player Data'!$I:$I,AL167)/INDEX('Player Data'!$E:$E,AL167)*M167*L167*AM167</f>
        <v/>
      </c>
      <c r="R167" s="5">
        <f>INDEX('Player Data'!$J:$J,AL167)/INDEX('Player Data'!$E:$E,AL167)*M167*L167*AM167</f>
        <v/>
      </c>
      <c r="S167" s="5">
        <f>INDEX('Player Data'!$K:$K,AL167)/INDEX('Player Data'!$E:$E,AL167)*M167*L167*AM167</f>
        <v/>
      </c>
      <c r="T167" s="5">
        <f>INDEX('Player Data'!$L:$L,AL167)/INDEX('Player Data'!$E:$E,AL167)*M167*L167*AM167</f>
        <v/>
      </c>
      <c r="U167" s="7">
        <f>INDEX('Player Data'!$M:$M,AL167)</f>
        <v/>
      </c>
      <c r="V167" s="7">
        <f>INDEX('Player Data'!$N:$N,AL167)</f>
        <v/>
      </c>
      <c r="W167" s="5">
        <f>X167*U167</f>
        <v/>
      </c>
      <c r="X167" s="5">
        <f>INDEX('Player Data'!$O:$O,AL167)/INDEX('Player Data'!$E:$E,AL167)*M167*L167*AM167</f>
        <v/>
      </c>
      <c r="Y167" s="5">
        <f>Z167*V167</f>
        <v/>
      </c>
      <c r="Z167" s="5">
        <f>INDEX('Player Data'!$P:$P,AL167)/INDEX('Player Data'!$E:$E,AL167)*M167*L167*AM167</f>
        <v/>
      </c>
      <c r="AB167" s="3">
        <f>(N167-Pool!$D$2)/Pool!$E$2</f>
        <v/>
      </c>
      <c r="AC167" s="3">
        <f>(O167-Pool!$D$3)/Pool!$E$3</f>
        <v/>
      </c>
      <c r="AD167" s="3">
        <f>(P167-Pool!$D$4)/Pool!$E$4</f>
        <v/>
      </c>
      <c r="AE167" s="3">
        <f>(Q167-Pool!$D$5)/Pool!$E$5</f>
        <v/>
      </c>
      <c r="AF167" s="3">
        <f>(R167-Pool!$D$6)/Pool!$E$6</f>
        <v/>
      </c>
      <c r="AG167" s="3">
        <f>(S167-Pool!$D$7)/Pool!$E$7</f>
        <v/>
      </c>
      <c r="AH167" s="3">
        <f>(AS167-Pool!$D$8)/Pool!$E$8</f>
        <v/>
      </c>
      <c r="AI167" s="3">
        <f>(AT167-Pool!$D$9)/Pool!$E$9</f>
        <v/>
      </c>
      <c r="AJ167" s="3">
        <f>-(T167-Pool!$D$10)/Pool!$E$10</f>
        <v/>
      </c>
      <c r="AL167">
        <f>MATCH(B167,'Player Data'!$A:$A,0)</f>
        <v/>
      </c>
      <c r="AM167" s="3">
        <f>1+IF(Settings!$F$10="ON",IFERROR(VLOOKUP(TRIM(F167),Settings!$D$12:$F$17,3,FALSE),0),0)</f>
        <v/>
      </c>
      <c r="AN167">
        <f>IFERROR(LEFT(C167,FIND(",",C167)-1),C167)</f>
        <v/>
      </c>
      <c r="AO167" s="6">
        <f>X167*(U167-Pool!$B$12)</f>
        <v/>
      </c>
      <c r="AP167" s="6">
        <f>Z167*(V167-Pool!$B$13)</f>
        <v/>
      </c>
      <c r="AQ167" s="3">
        <f>Settings!$B$2*(N167-Pool!$B$2)/Pool!$C$2+Settings!$B$3*(O167-Pool!$B$3)/Pool!$C$3+Settings!$B$4*(P167-Pool!$B$4)/Pool!$C$4+Settings!$B$5*(Q167-Pool!$B$5)/Pool!$C$5+Settings!$B$6*(R167-Pool!$B$6)/Pool!$C$6+Settings!$B$7*(S167-Pool!$B$7)/Pool!$C$7+Settings!$B$8*(AO167-Pool!$B$8)/Pool!$C$8+Settings!$B$9*(AP167-Pool!$B$9)/Pool!$C$9+Settings!$B$10*-(T167-Pool!$B$10)/Pool!$C$10</f>
        <v/>
      </c>
      <c r="AR167">
        <f>IF(RANK(AQ167,$AQ$2:$AQ$266)&lt;=Settings!$F$5,1,0)</f>
        <v/>
      </c>
      <c r="AS167" s="6">
        <f>X167*(U167-Pool!$D$12)</f>
        <v/>
      </c>
      <c r="AT167" s="6">
        <f>Z167*(V167-Pool!$D$13)</f>
        <v/>
      </c>
    </row>
    <row r="168">
      <c r="A168">
        <f>RANK(H168,$H$2:$H$266)</f>
        <v/>
      </c>
      <c r="B168" t="inlineStr">
        <is>
          <t>Grayson Allen</t>
        </is>
      </c>
      <c r="C168">
        <f>INDEX('Player Data'!$C:$C,AL168)</f>
        <v/>
      </c>
      <c r="D168">
        <f>SUMPRODUCT(($AN$2:$AN$266=AN168)*($H$2:$H$266&gt;H168))+1</f>
        <v/>
      </c>
      <c r="E168">
        <f>INDEX('Player Data'!$B:$B,AL168)</f>
        <v/>
      </c>
      <c r="F168" s="2" t="n"/>
      <c r="G168" s="3">
        <f>Settings!$B$2*AB168+Settings!$B$3*AC168+Settings!$B$4*AD168+Settings!$B$5*AE168+Settings!$B$6*AF168+Settings!$B$7*AG168+Settings!$B$8*AH168+Settings!$B$9*AI168+Settings!$B$10*AJ168</f>
        <v/>
      </c>
      <c r="H168" s="3">
        <f>G168-LARGE($G$2:$G$266,Settings!$F$4)</f>
        <v/>
      </c>
      <c r="I168">
        <f>IF(INDEX('Player Data'!$R:$R,AL168)="","",INDEX('Player Data'!$R:$R,AL168))</f>
        <v/>
      </c>
      <c r="J168" s="4">
        <f>IF(I168="","",I168-A168)</f>
        <v/>
      </c>
      <c r="L168" s="5">
        <f>IF(Settings!$F$7="Yes",INDEX('Minutes &amp; Health'!$O:$O,AL168),Settings!$F$8)</f>
        <v/>
      </c>
      <c r="M168" s="6">
        <f>INDEX('Minutes &amp; Health'!$P:$P,AL168)</f>
        <v/>
      </c>
      <c r="N168" s="5">
        <f>INDEX('Player Data'!$F:$F,AL168)/INDEX('Player Data'!$E:$E,AL168)*M168*L168*AM168</f>
        <v/>
      </c>
      <c r="O168" s="5">
        <f>INDEX('Player Data'!$G:$G,AL168)/INDEX('Player Data'!$E:$E,AL168)*M168*L168*AM168</f>
        <v/>
      </c>
      <c r="P168" s="5">
        <f>INDEX('Player Data'!$H:$H,AL168)/INDEX('Player Data'!$E:$E,AL168)*M168*L168*AM168</f>
        <v/>
      </c>
      <c r="Q168" s="5">
        <f>INDEX('Player Data'!$I:$I,AL168)/INDEX('Player Data'!$E:$E,AL168)*M168*L168*AM168</f>
        <v/>
      </c>
      <c r="R168" s="5">
        <f>INDEX('Player Data'!$J:$J,AL168)/INDEX('Player Data'!$E:$E,AL168)*M168*L168*AM168</f>
        <v/>
      </c>
      <c r="S168" s="5">
        <f>INDEX('Player Data'!$K:$K,AL168)/INDEX('Player Data'!$E:$E,AL168)*M168*L168*AM168</f>
        <v/>
      </c>
      <c r="T168" s="5">
        <f>INDEX('Player Data'!$L:$L,AL168)/INDEX('Player Data'!$E:$E,AL168)*M168*L168*AM168</f>
        <v/>
      </c>
      <c r="U168" s="7">
        <f>INDEX('Player Data'!$M:$M,AL168)</f>
        <v/>
      </c>
      <c r="V168" s="7">
        <f>INDEX('Player Data'!$N:$N,AL168)</f>
        <v/>
      </c>
      <c r="W168" s="5">
        <f>X168*U168</f>
        <v/>
      </c>
      <c r="X168" s="5">
        <f>INDEX('Player Data'!$O:$O,AL168)/INDEX('Player Data'!$E:$E,AL168)*M168*L168*AM168</f>
        <v/>
      </c>
      <c r="Y168" s="5">
        <f>Z168*V168</f>
        <v/>
      </c>
      <c r="Z168" s="5">
        <f>INDEX('Player Data'!$P:$P,AL168)/INDEX('Player Data'!$E:$E,AL168)*M168*L168*AM168</f>
        <v/>
      </c>
      <c r="AB168" s="3">
        <f>(N168-Pool!$D$2)/Pool!$E$2</f>
        <v/>
      </c>
      <c r="AC168" s="3">
        <f>(O168-Pool!$D$3)/Pool!$E$3</f>
        <v/>
      </c>
      <c r="AD168" s="3">
        <f>(P168-Pool!$D$4)/Pool!$E$4</f>
        <v/>
      </c>
      <c r="AE168" s="3">
        <f>(Q168-Pool!$D$5)/Pool!$E$5</f>
        <v/>
      </c>
      <c r="AF168" s="3">
        <f>(R168-Pool!$D$6)/Pool!$E$6</f>
        <v/>
      </c>
      <c r="AG168" s="3">
        <f>(S168-Pool!$D$7)/Pool!$E$7</f>
        <v/>
      </c>
      <c r="AH168" s="3">
        <f>(AS168-Pool!$D$8)/Pool!$E$8</f>
        <v/>
      </c>
      <c r="AI168" s="3">
        <f>(AT168-Pool!$D$9)/Pool!$E$9</f>
        <v/>
      </c>
      <c r="AJ168" s="3">
        <f>-(T168-Pool!$D$10)/Pool!$E$10</f>
        <v/>
      </c>
      <c r="AL168">
        <f>MATCH(B168,'Player Data'!$A:$A,0)</f>
        <v/>
      </c>
      <c r="AM168" s="3">
        <f>1+IF(Settings!$F$10="ON",IFERROR(VLOOKUP(TRIM(F168),Settings!$D$12:$F$17,3,FALSE),0),0)</f>
        <v/>
      </c>
      <c r="AN168">
        <f>IFERROR(LEFT(C168,FIND(",",C168)-1),C168)</f>
        <v/>
      </c>
      <c r="AO168" s="6">
        <f>X168*(U168-Pool!$B$12)</f>
        <v/>
      </c>
      <c r="AP168" s="6">
        <f>Z168*(V168-Pool!$B$13)</f>
        <v/>
      </c>
      <c r="AQ168" s="3">
        <f>Settings!$B$2*(N168-Pool!$B$2)/Pool!$C$2+Settings!$B$3*(O168-Pool!$B$3)/Pool!$C$3+Settings!$B$4*(P168-Pool!$B$4)/Pool!$C$4+Settings!$B$5*(Q168-Pool!$B$5)/Pool!$C$5+Settings!$B$6*(R168-Pool!$B$6)/Pool!$C$6+Settings!$B$7*(S168-Pool!$B$7)/Pool!$C$7+Settings!$B$8*(AO168-Pool!$B$8)/Pool!$C$8+Settings!$B$9*(AP168-Pool!$B$9)/Pool!$C$9+Settings!$B$10*-(T168-Pool!$B$10)/Pool!$C$10</f>
        <v/>
      </c>
      <c r="AR168">
        <f>IF(RANK(AQ168,$AQ$2:$AQ$266)&lt;=Settings!$F$5,1,0)</f>
        <v/>
      </c>
      <c r="AS168" s="6">
        <f>X168*(U168-Pool!$D$12)</f>
        <v/>
      </c>
      <c r="AT168" s="6">
        <f>Z168*(V168-Pool!$D$13)</f>
        <v/>
      </c>
    </row>
    <row r="169">
      <c r="A169">
        <f>RANK(H169,$H$2:$H$266)</f>
        <v/>
      </c>
      <c r="B169" t="inlineStr">
        <is>
          <t>Kris Dunn</t>
        </is>
      </c>
      <c r="C169">
        <f>INDEX('Player Data'!$C:$C,AL169)</f>
        <v/>
      </c>
      <c r="D169">
        <f>SUMPRODUCT(($AN$2:$AN$266=AN169)*($H$2:$H$266&gt;H169))+1</f>
        <v/>
      </c>
      <c r="E169">
        <f>INDEX('Player Data'!$B:$B,AL169)</f>
        <v/>
      </c>
      <c r="F169" s="2" t="n"/>
      <c r="G169" s="3">
        <f>Settings!$B$2*AB169+Settings!$B$3*AC169+Settings!$B$4*AD169+Settings!$B$5*AE169+Settings!$B$6*AF169+Settings!$B$7*AG169+Settings!$B$8*AH169+Settings!$B$9*AI169+Settings!$B$10*AJ169</f>
        <v/>
      </c>
      <c r="H169" s="3">
        <f>G169-LARGE($G$2:$G$266,Settings!$F$4)</f>
        <v/>
      </c>
      <c r="I169">
        <f>IF(INDEX('Player Data'!$R:$R,AL169)="","",INDEX('Player Data'!$R:$R,AL169))</f>
        <v/>
      </c>
      <c r="J169" s="4">
        <f>IF(I169="","",I169-A169)</f>
        <v/>
      </c>
      <c r="L169" s="5">
        <f>IF(Settings!$F$7="Yes",INDEX('Minutes &amp; Health'!$O:$O,AL169),Settings!$F$8)</f>
        <v/>
      </c>
      <c r="M169" s="6">
        <f>INDEX('Minutes &amp; Health'!$P:$P,AL169)</f>
        <v/>
      </c>
      <c r="N169" s="5">
        <f>INDEX('Player Data'!$F:$F,AL169)/INDEX('Player Data'!$E:$E,AL169)*M169*L169*AM169</f>
        <v/>
      </c>
      <c r="O169" s="5">
        <f>INDEX('Player Data'!$G:$G,AL169)/INDEX('Player Data'!$E:$E,AL169)*M169*L169*AM169</f>
        <v/>
      </c>
      <c r="P169" s="5">
        <f>INDEX('Player Data'!$H:$H,AL169)/INDEX('Player Data'!$E:$E,AL169)*M169*L169*AM169</f>
        <v/>
      </c>
      <c r="Q169" s="5">
        <f>INDEX('Player Data'!$I:$I,AL169)/INDEX('Player Data'!$E:$E,AL169)*M169*L169*AM169</f>
        <v/>
      </c>
      <c r="R169" s="5">
        <f>INDEX('Player Data'!$J:$J,AL169)/INDEX('Player Data'!$E:$E,AL169)*M169*L169*AM169</f>
        <v/>
      </c>
      <c r="S169" s="5">
        <f>INDEX('Player Data'!$K:$K,AL169)/INDEX('Player Data'!$E:$E,AL169)*M169*L169*AM169</f>
        <v/>
      </c>
      <c r="T169" s="5">
        <f>INDEX('Player Data'!$L:$L,AL169)/INDEX('Player Data'!$E:$E,AL169)*M169*L169*AM169</f>
        <v/>
      </c>
      <c r="U169" s="7">
        <f>INDEX('Player Data'!$M:$M,AL169)</f>
        <v/>
      </c>
      <c r="V169" s="7">
        <f>INDEX('Player Data'!$N:$N,AL169)</f>
        <v/>
      </c>
      <c r="W169" s="5">
        <f>X169*U169</f>
        <v/>
      </c>
      <c r="X169" s="5">
        <f>INDEX('Player Data'!$O:$O,AL169)/INDEX('Player Data'!$E:$E,AL169)*M169*L169*AM169</f>
        <v/>
      </c>
      <c r="Y169" s="5">
        <f>Z169*V169</f>
        <v/>
      </c>
      <c r="Z169" s="5">
        <f>INDEX('Player Data'!$P:$P,AL169)/INDEX('Player Data'!$E:$E,AL169)*M169*L169*AM169</f>
        <v/>
      </c>
      <c r="AB169" s="3">
        <f>(N169-Pool!$D$2)/Pool!$E$2</f>
        <v/>
      </c>
      <c r="AC169" s="3">
        <f>(O169-Pool!$D$3)/Pool!$E$3</f>
        <v/>
      </c>
      <c r="AD169" s="3">
        <f>(P169-Pool!$D$4)/Pool!$E$4</f>
        <v/>
      </c>
      <c r="AE169" s="3">
        <f>(Q169-Pool!$D$5)/Pool!$E$5</f>
        <v/>
      </c>
      <c r="AF169" s="3">
        <f>(R169-Pool!$D$6)/Pool!$E$6</f>
        <v/>
      </c>
      <c r="AG169" s="3">
        <f>(S169-Pool!$D$7)/Pool!$E$7</f>
        <v/>
      </c>
      <c r="AH169" s="3">
        <f>(AS169-Pool!$D$8)/Pool!$E$8</f>
        <v/>
      </c>
      <c r="AI169" s="3">
        <f>(AT169-Pool!$D$9)/Pool!$E$9</f>
        <v/>
      </c>
      <c r="AJ169" s="3">
        <f>-(T169-Pool!$D$10)/Pool!$E$10</f>
        <v/>
      </c>
      <c r="AL169">
        <f>MATCH(B169,'Player Data'!$A:$A,0)</f>
        <v/>
      </c>
      <c r="AM169" s="3">
        <f>1+IF(Settings!$F$10="ON",IFERROR(VLOOKUP(TRIM(F169),Settings!$D$12:$F$17,3,FALSE),0),0)</f>
        <v/>
      </c>
      <c r="AN169">
        <f>IFERROR(LEFT(C169,FIND(",",C169)-1),C169)</f>
        <v/>
      </c>
      <c r="AO169" s="6">
        <f>X169*(U169-Pool!$B$12)</f>
        <v/>
      </c>
      <c r="AP169" s="6">
        <f>Z169*(V169-Pool!$B$13)</f>
        <v/>
      </c>
      <c r="AQ169" s="3">
        <f>Settings!$B$2*(N169-Pool!$B$2)/Pool!$C$2+Settings!$B$3*(O169-Pool!$B$3)/Pool!$C$3+Settings!$B$4*(P169-Pool!$B$4)/Pool!$C$4+Settings!$B$5*(Q169-Pool!$B$5)/Pool!$C$5+Settings!$B$6*(R169-Pool!$B$6)/Pool!$C$6+Settings!$B$7*(S169-Pool!$B$7)/Pool!$C$7+Settings!$B$8*(AO169-Pool!$B$8)/Pool!$C$8+Settings!$B$9*(AP169-Pool!$B$9)/Pool!$C$9+Settings!$B$10*-(T169-Pool!$B$10)/Pool!$C$10</f>
        <v/>
      </c>
      <c r="AR169">
        <f>IF(RANK(AQ169,$AQ$2:$AQ$266)&lt;=Settings!$F$5,1,0)</f>
        <v/>
      </c>
      <c r="AS169" s="6">
        <f>X169*(U169-Pool!$D$12)</f>
        <v/>
      </c>
      <c r="AT169" s="6">
        <f>Z169*(V169-Pool!$D$13)</f>
        <v/>
      </c>
    </row>
    <row r="170">
      <c r="A170">
        <f>RANK(H170,$H$2:$H$266)</f>
        <v/>
      </c>
      <c r="B170" t="inlineStr">
        <is>
          <t>Jerami Grant</t>
        </is>
      </c>
      <c r="C170">
        <f>INDEX('Player Data'!$C:$C,AL170)</f>
        <v/>
      </c>
      <c r="D170">
        <f>SUMPRODUCT(($AN$2:$AN$266=AN170)*($H$2:$H$266&gt;H170))+1</f>
        <v/>
      </c>
      <c r="E170">
        <f>INDEX('Player Data'!$B:$B,AL170)</f>
        <v/>
      </c>
      <c r="F170" s="2" t="n"/>
      <c r="G170" s="3">
        <f>Settings!$B$2*AB170+Settings!$B$3*AC170+Settings!$B$4*AD170+Settings!$B$5*AE170+Settings!$B$6*AF170+Settings!$B$7*AG170+Settings!$B$8*AH170+Settings!$B$9*AI170+Settings!$B$10*AJ170</f>
        <v/>
      </c>
      <c r="H170" s="3">
        <f>G170-LARGE($G$2:$G$266,Settings!$F$4)</f>
        <v/>
      </c>
      <c r="I170">
        <f>IF(INDEX('Player Data'!$R:$R,AL170)="","",INDEX('Player Data'!$R:$R,AL170))</f>
        <v/>
      </c>
      <c r="J170" s="4">
        <f>IF(I170="","",I170-A170)</f>
        <v/>
      </c>
      <c r="L170" s="5">
        <f>IF(Settings!$F$7="Yes",INDEX('Minutes &amp; Health'!$O:$O,AL170),Settings!$F$8)</f>
        <v/>
      </c>
      <c r="M170" s="6">
        <f>INDEX('Minutes &amp; Health'!$P:$P,AL170)</f>
        <v/>
      </c>
      <c r="N170" s="5">
        <f>INDEX('Player Data'!$F:$F,AL170)/INDEX('Player Data'!$E:$E,AL170)*M170*L170*AM170</f>
        <v/>
      </c>
      <c r="O170" s="5">
        <f>INDEX('Player Data'!$G:$G,AL170)/INDEX('Player Data'!$E:$E,AL170)*M170*L170*AM170</f>
        <v/>
      </c>
      <c r="P170" s="5">
        <f>INDEX('Player Data'!$H:$H,AL170)/INDEX('Player Data'!$E:$E,AL170)*M170*L170*AM170</f>
        <v/>
      </c>
      <c r="Q170" s="5">
        <f>INDEX('Player Data'!$I:$I,AL170)/INDEX('Player Data'!$E:$E,AL170)*M170*L170*AM170</f>
        <v/>
      </c>
      <c r="R170" s="5">
        <f>INDEX('Player Data'!$J:$J,AL170)/INDEX('Player Data'!$E:$E,AL170)*M170*L170*AM170</f>
        <v/>
      </c>
      <c r="S170" s="5">
        <f>INDEX('Player Data'!$K:$K,AL170)/INDEX('Player Data'!$E:$E,AL170)*M170*L170*AM170</f>
        <v/>
      </c>
      <c r="T170" s="5">
        <f>INDEX('Player Data'!$L:$L,AL170)/INDEX('Player Data'!$E:$E,AL170)*M170*L170*AM170</f>
        <v/>
      </c>
      <c r="U170" s="7">
        <f>INDEX('Player Data'!$M:$M,AL170)</f>
        <v/>
      </c>
      <c r="V170" s="7">
        <f>INDEX('Player Data'!$N:$N,AL170)</f>
        <v/>
      </c>
      <c r="W170" s="5">
        <f>X170*U170</f>
        <v/>
      </c>
      <c r="X170" s="5">
        <f>INDEX('Player Data'!$O:$O,AL170)/INDEX('Player Data'!$E:$E,AL170)*M170*L170*AM170</f>
        <v/>
      </c>
      <c r="Y170" s="5">
        <f>Z170*V170</f>
        <v/>
      </c>
      <c r="Z170" s="5">
        <f>INDEX('Player Data'!$P:$P,AL170)/INDEX('Player Data'!$E:$E,AL170)*M170*L170*AM170</f>
        <v/>
      </c>
      <c r="AB170" s="3">
        <f>(N170-Pool!$D$2)/Pool!$E$2</f>
        <v/>
      </c>
      <c r="AC170" s="3">
        <f>(O170-Pool!$D$3)/Pool!$E$3</f>
        <v/>
      </c>
      <c r="AD170" s="3">
        <f>(P170-Pool!$D$4)/Pool!$E$4</f>
        <v/>
      </c>
      <c r="AE170" s="3">
        <f>(Q170-Pool!$D$5)/Pool!$E$5</f>
        <v/>
      </c>
      <c r="AF170" s="3">
        <f>(R170-Pool!$D$6)/Pool!$E$6</f>
        <v/>
      </c>
      <c r="AG170" s="3">
        <f>(S170-Pool!$D$7)/Pool!$E$7</f>
        <v/>
      </c>
      <c r="AH170" s="3">
        <f>(AS170-Pool!$D$8)/Pool!$E$8</f>
        <v/>
      </c>
      <c r="AI170" s="3">
        <f>(AT170-Pool!$D$9)/Pool!$E$9</f>
        <v/>
      </c>
      <c r="AJ170" s="3">
        <f>-(T170-Pool!$D$10)/Pool!$E$10</f>
        <v/>
      </c>
      <c r="AL170">
        <f>MATCH(B170,'Player Data'!$A:$A,0)</f>
        <v/>
      </c>
      <c r="AM170" s="3">
        <f>1+IF(Settings!$F$10="ON",IFERROR(VLOOKUP(TRIM(F170),Settings!$D$12:$F$17,3,FALSE),0),0)</f>
        <v/>
      </c>
      <c r="AN170">
        <f>IFERROR(LEFT(C170,FIND(",",C170)-1),C170)</f>
        <v/>
      </c>
      <c r="AO170" s="6">
        <f>X170*(U170-Pool!$B$12)</f>
        <v/>
      </c>
      <c r="AP170" s="6">
        <f>Z170*(V170-Pool!$B$13)</f>
        <v/>
      </c>
      <c r="AQ170" s="3">
        <f>Settings!$B$2*(N170-Pool!$B$2)/Pool!$C$2+Settings!$B$3*(O170-Pool!$B$3)/Pool!$C$3+Settings!$B$4*(P170-Pool!$B$4)/Pool!$C$4+Settings!$B$5*(Q170-Pool!$B$5)/Pool!$C$5+Settings!$B$6*(R170-Pool!$B$6)/Pool!$C$6+Settings!$B$7*(S170-Pool!$B$7)/Pool!$C$7+Settings!$B$8*(AO170-Pool!$B$8)/Pool!$C$8+Settings!$B$9*(AP170-Pool!$B$9)/Pool!$C$9+Settings!$B$10*-(T170-Pool!$B$10)/Pool!$C$10</f>
        <v/>
      </c>
      <c r="AR170">
        <f>IF(RANK(AQ170,$AQ$2:$AQ$266)&lt;=Settings!$F$5,1,0)</f>
        <v/>
      </c>
      <c r="AS170" s="6">
        <f>X170*(U170-Pool!$D$12)</f>
        <v/>
      </c>
      <c r="AT170" s="6">
        <f>Z170*(V170-Pool!$D$13)</f>
        <v/>
      </c>
    </row>
    <row r="171">
      <c r="A171">
        <f>RANK(H171,$H$2:$H$266)</f>
        <v/>
      </c>
      <c r="B171" t="inlineStr">
        <is>
          <t>RJ Barrett</t>
        </is>
      </c>
      <c r="C171">
        <f>INDEX('Player Data'!$C:$C,AL171)</f>
        <v/>
      </c>
      <c r="D171">
        <f>SUMPRODUCT(($AN$2:$AN$266=AN171)*($H$2:$H$266&gt;H171))+1</f>
        <v/>
      </c>
      <c r="E171">
        <f>INDEX('Player Data'!$B:$B,AL171)</f>
        <v/>
      </c>
      <c r="F171" s="2" t="n"/>
      <c r="G171" s="3">
        <f>Settings!$B$2*AB171+Settings!$B$3*AC171+Settings!$B$4*AD171+Settings!$B$5*AE171+Settings!$B$6*AF171+Settings!$B$7*AG171+Settings!$B$8*AH171+Settings!$B$9*AI171+Settings!$B$10*AJ171</f>
        <v/>
      </c>
      <c r="H171" s="3">
        <f>G171-LARGE($G$2:$G$266,Settings!$F$4)</f>
        <v/>
      </c>
      <c r="I171">
        <f>IF(INDEX('Player Data'!$R:$R,AL171)="","",INDEX('Player Data'!$R:$R,AL171))</f>
        <v/>
      </c>
      <c r="J171" s="4">
        <f>IF(I171="","",I171-A171)</f>
        <v/>
      </c>
      <c r="L171" s="5">
        <f>IF(Settings!$F$7="Yes",INDEX('Minutes &amp; Health'!$O:$O,AL171),Settings!$F$8)</f>
        <v/>
      </c>
      <c r="M171" s="6">
        <f>INDEX('Minutes &amp; Health'!$P:$P,AL171)</f>
        <v/>
      </c>
      <c r="N171" s="5">
        <f>INDEX('Player Data'!$F:$F,AL171)/INDEX('Player Data'!$E:$E,AL171)*M171*L171*AM171</f>
        <v/>
      </c>
      <c r="O171" s="5">
        <f>INDEX('Player Data'!$G:$G,AL171)/INDEX('Player Data'!$E:$E,AL171)*M171*L171*AM171</f>
        <v/>
      </c>
      <c r="P171" s="5">
        <f>INDEX('Player Data'!$H:$H,AL171)/INDEX('Player Data'!$E:$E,AL171)*M171*L171*AM171</f>
        <v/>
      </c>
      <c r="Q171" s="5">
        <f>INDEX('Player Data'!$I:$I,AL171)/INDEX('Player Data'!$E:$E,AL171)*M171*L171*AM171</f>
        <v/>
      </c>
      <c r="R171" s="5">
        <f>INDEX('Player Data'!$J:$J,AL171)/INDEX('Player Data'!$E:$E,AL171)*M171*L171*AM171</f>
        <v/>
      </c>
      <c r="S171" s="5">
        <f>INDEX('Player Data'!$K:$K,AL171)/INDEX('Player Data'!$E:$E,AL171)*M171*L171*AM171</f>
        <v/>
      </c>
      <c r="T171" s="5">
        <f>INDEX('Player Data'!$L:$L,AL171)/INDEX('Player Data'!$E:$E,AL171)*M171*L171*AM171</f>
        <v/>
      </c>
      <c r="U171" s="7">
        <f>INDEX('Player Data'!$M:$M,AL171)</f>
        <v/>
      </c>
      <c r="V171" s="7">
        <f>INDEX('Player Data'!$N:$N,AL171)</f>
        <v/>
      </c>
      <c r="W171" s="5">
        <f>X171*U171</f>
        <v/>
      </c>
      <c r="X171" s="5">
        <f>INDEX('Player Data'!$O:$O,AL171)/INDEX('Player Data'!$E:$E,AL171)*M171*L171*AM171</f>
        <v/>
      </c>
      <c r="Y171" s="5">
        <f>Z171*V171</f>
        <v/>
      </c>
      <c r="Z171" s="5">
        <f>INDEX('Player Data'!$P:$P,AL171)/INDEX('Player Data'!$E:$E,AL171)*M171*L171*AM171</f>
        <v/>
      </c>
      <c r="AB171" s="3">
        <f>(N171-Pool!$D$2)/Pool!$E$2</f>
        <v/>
      </c>
      <c r="AC171" s="3">
        <f>(O171-Pool!$D$3)/Pool!$E$3</f>
        <v/>
      </c>
      <c r="AD171" s="3">
        <f>(P171-Pool!$D$4)/Pool!$E$4</f>
        <v/>
      </c>
      <c r="AE171" s="3">
        <f>(Q171-Pool!$D$5)/Pool!$E$5</f>
        <v/>
      </c>
      <c r="AF171" s="3">
        <f>(R171-Pool!$D$6)/Pool!$E$6</f>
        <v/>
      </c>
      <c r="AG171" s="3">
        <f>(S171-Pool!$D$7)/Pool!$E$7</f>
        <v/>
      </c>
      <c r="AH171" s="3">
        <f>(AS171-Pool!$D$8)/Pool!$E$8</f>
        <v/>
      </c>
      <c r="AI171" s="3">
        <f>(AT171-Pool!$D$9)/Pool!$E$9</f>
        <v/>
      </c>
      <c r="AJ171" s="3">
        <f>-(T171-Pool!$D$10)/Pool!$E$10</f>
        <v/>
      </c>
      <c r="AL171">
        <f>MATCH(B171,'Player Data'!$A:$A,0)</f>
        <v/>
      </c>
      <c r="AM171" s="3">
        <f>1+IF(Settings!$F$10="ON",IFERROR(VLOOKUP(TRIM(F171),Settings!$D$12:$F$17,3,FALSE),0),0)</f>
        <v/>
      </c>
      <c r="AN171">
        <f>IFERROR(LEFT(C171,FIND(",",C171)-1),C171)</f>
        <v/>
      </c>
      <c r="AO171" s="6">
        <f>X171*(U171-Pool!$B$12)</f>
        <v/>
      </c>
      <c r="AP171" s="6">
        <f>Z171*(V171-Pool!$B$13)</f>
        <v/>
      </c>
      <c r="AQ171" s="3">
        <f>Settings!$B$2*(N171-Pool!$B$2)/Pool!$C$2+Settings!$B$3*(O171-Pool!$B$3)/Pool!$C$3+Settings!$B$4*(P171-Pool!$B$4)/Pool!$C$4+Settings!$B$5*(Q171-Pool!$B$5)/Pool!$C$5+Settings!$B$6*(R171-Pool!$B$6)/Pool!$C$6+Settings!$B$7*(S171-Pool!$B$7)/Pool!$C$7+Settings!$B$8*(AO171-Pool!$B$8)/Pool!$C$8+Settings!$B$9*(AP171-Pool!$B$9)/Pool!$C$9+Settings!$B$10*-(T171-Pool!$B$10)/Pool!$C$10</f>
        <v/>
      </c>
      <c r="AR171">
        <f>IF(RANK(AQ171,$AQ$2:$AQ$266)&lt;=Settings!$F$5,1,0)</f>
        <v/>
      </c>
      <c r="AS171" s="6">
        <f>X171*(U171-Pool!$D$12)</f>
        <v/>
      </c>
      <c r="AT171" s="6">
        <f>Z171*(V171-Pool!$D$13)</f>
        <v/>
      </c>
    </row>
    <row r="172">
      <c r="A172">
        <f>RANK(H172,$H$2:$H$266)</f>
        <v/>
      </c>
      <c r="B172" t="inlineStr">
        <is>
          <t>Jake LaRavia</t>
        </is>
      </c>
      <c r="C172">
        <f>INDEX('Player Data'!$C:$C,AL172)</f>
        <v/>
      </c>
      <c r="D172">
        <f>SUMPRODUCT(($AN$2:$AN$266=AN172)*($H$2:$H$266&gt;H172))+1</f>
        <v/>
      </c>
      <c r="E172">
        <f>INDEX('Player Data'!$B:$B,AL172)</f>
        <v/>
      </c>
      <c r="F172" s="2" t="n"/>
      <c r="G172" s="3">
        <f>Settings!$B$2*AB172+Settings!$B$3*AC172+Settings!$B$4*AD172+Settings!$B$5*AE172+Settings!$B$6*AF172+Settings!$B$7*AG172+Settings!$B$8*AH172+Settings!$B$9*AI172+Settings!$B$10*AJ172</f>
        <v/>
      </c>
      <c r="H172" s="3">
        <f>G172-LARGE($G$2:$G$266,Settings!$F$4)</f>
        <v/>
      </c>
      <c r="I172">
        <f>IF(INDEX('Player Data'!$R:$R,AL172)="","",INDEX('Player Data'!$R:$R,AL172))</f>
        <v/>
      </c>
      <c r="J172" s="4">
        <f>IF(I172="","",I172-A172)</f>
        <v/>
      </c>
      <c r="L172" s="5">
        <f>IF(Settings!$F$7="Yes",INDEX('Minutes &amp; Health'!$O:$O,AL172),Settings!$F$8)</f>
        <v/>
      </c>
      <c r="M172" s="6">
        <f>INDEX('Minutes &amp; Health'!$P:$P,AL172)</f>
        <v/>
      </c>
      <c r="N172" s="5">
        <f>INDEX('Player Data'!$F:$F,AL172)/INDEX('Player Data'!$E:$E,AL172)*M172*L172*AM172</f>
        <v/>
      </c>
      <c r="O172" s="5">
        <f>INDEX('Player Data'!$G:$G,AL172)/INDEX('Player Data'!$E:$E,AL172)*M172*L172*AM172</f>
        <v/>
      </c>
      <c r="P172" s="5">
        <f>INDEX('Player Data'!$H:$H,AL172)/INDEX('Player Data'!$E:$E,AL172)*M172*L172*AM172</f>
        <v/>
      </c>
      <c r="Q172" s="5">
        <f>INDEX('Player Data'!$I:$I,AL172)/INDEX('Player Data'!$E:$E,AL172)*M172*L172*AM172</f>
        <v/>
      </c>
      <c r="R172" s="5">
        <f>INDEX('Player Data'!$J:$J,AL172)/INDEX('Player Data'!$E:$E,AL172)*M172*L172*AM172</f>
        <v/>
      </c>
      <c r="S172" s="5">
        <f>INDEX('Player Data'!$K:$K,AL172)/INDEX('Player Data'!$E:$E,AL172)*M172*L172*AM172</f>
        <v/>
      </c>
      <c r="T172" s="5">
        <f>INDEX('Player Data'!$L:$L,AL172)/INDEX('Player Data'!$E:$E,AL172)*M172*L172*AM172</f>
        <v/>
      </c>
      <c r="U172" s="7">
        <f>INDEX('Player Data'!$M:$M,AL172)</f>
        <v/>
      </c>
      <c r="V172" s="7">
        <f>INDEX('Player Data'!$N:$N,AL172)</f>
        <v/>
      </c>
      <c r="W172" s="5">
        <f>X172*U172</f>
        <v/>
      </c>
      <c r="X172" s="5">
        <f>INDEX('Player Data'!$O:$O,AL172)/INDEX('Player Data'!$E:$E,AL172)*M172*L172*AM172</f>
        <v/>
      </c>
      <c r="Y172" s="5">
        <f>Z172*V172</f>
        <v/>
      </c>
      <c r="Z172" s="5">
        <f>INDEX('Player Data'!$P:$P,AL172)/INDEX('Player Data'!$E:$E,AL172)*M172*L172*AM172</f>
        <v/>
      </c>
      <c r="AB172" s="3">
        <f>(N172-Pool!$D$2)/Pool!$E$2</f>
        <v/>
      </c>
      <c r="AC172" s="3">
        <f>(O172-Pool!$D$3)/Pool!$E$3</f>
        <v/>
      </c>
      <c r="AD172" s="3">
        <f>(P172-Pool!$D$4)/Pool!$E$4</f>
        <v/>
      </c>
      <c r="AE172" s="3">
        <f>(Q172-Pool!$D$5)/Pool!$E$5</f>
        <v/>
      </c>
      <c r="AF172" s="3">
        <f>(R172-Pool!$D$6)/Pool!$E$6</f>
        <v/>
      </c>
      <c r="AG172" s="3">
        <f>(S172-Pool!$D$7)/Pool!$E$7</f>
        <v/>
      </c>
      <c r="AH172" s="3">
        <f>(AS172-Pool!$D$8)/Pool!$E$8</f>
        <v/>
      </c>
      <c r="AI172" s="3">
        <f>(AT172-Pool!$D$9)/Pool!$E$9</f>
        <v/>
      </c>
      <c r="AJ172" s="3">
        <f>-(T172-Pool!$D$10)/Pool!$E$10</f>
        <v/>
      </c>
      <c r="AL172">
        <f>MATCH(B172,'Player Data'!$A:$A,0)</f>
        <v/>
      </c>
      <c r="AM172" s="3">
        <f>1+IF(Settings!$F$10="ON",IFERROR(VLOOKUP(TRIM(F172),Settings!$D$12:$F$17,3,FALSE),0),0)</f>
        <v/>
      </c>
      <c r="AN172">
        <f>IFERROR(LEFT(C172,FIND(",",C172)-1),C172)</f>
        <v/>
      </c>
      <c r="AO172" s="6">
        <f>X172*(U172-Pool!$B$12)</f>
        <v/>
      </c>
      <c r="AP172" s="6">
        <f>Z172*(V172-Pool!$B$13)</f>
        <v/>
      </c>
      <c r="AQ172" s="3">
        <f>Settings!$B$2*(N172-Pool!$B$2)/Pool!$C$2+Settings!$B$3*(O172-Pool!$B$3)/Pool!$C$3+Settings!$B$4*(P172-Pool!$B$4)/Pool!$C$4+Settings!$B$5*(Q172-Pool!$B$5)/Pool!$C$5+Settings!$B$6*(R172-Pool!$B$6)/Pool!$C$6+Settings!$B$7*(S172-Pool!$B$7)/Pool!$C$7+Settings!$B$8*(AO172-Pool!$B$8)/Pool!$C$8+Settings!$B$9*(AP172-Pool!$B$9)/Pool!$C$9+Settings!$B$10*-(T172-Pool!$B$10)/Pool!$C$10</f>
        <v/>
      </c>
      <c r="AR172">
        <f>IF(RANK(AQ172,$AQ$2:$AQ$266)&lt;=Settings!$F$5,1,0)</f>
        <v/>
      </c>
      <c r="AS172" s="6">
        <f>X172*(U172-Pool!$D$12)</f>
        <v/>
      </c>
      <c r="AT172" s="6">
        <f>Z172*(V172-Pool!$D$13)</f>
        <v/>
      </c>
    </row>
    <row r="173">
      <c r="A173">
        <f>RANK(H173,$H$2:$H$266)</f>
        <v/>
      </c>
      <c r="B173" t="inlineStr">
        <is>
          <t>Yves Missi</t>
        </is>
      </c>
      <c r="C173">
        <f>INDEX('Player Data'!$C:$C,AL173)</f>
        <v/>
      </c>
      <c r="D173">
        <f>SUMPRODUCT(($AN$2:$AN$266=AN173)*($H$2:$H$266&gt;H173))+1</f>
        <v/>
      </c>
      <c r="E173">
        <f>INDEX('Player Data'!$B:$B,AL173)</f>
        <v/>
      </c>
      <c r="F173" s="2" t="n"/>
      <c r="G173" s="3">
        <f>Settings!$B$2*AB173+Settings!$B$3*AC173+Settings!$B$4*AD173+Settings!$B$5*AE173+Settings!$B$6*AF173+Settings!$B$7*AG173+Settings!$B$8*AH173+Settings!$B$9*AI173+Settings!$B$10*AJ173</f>
        <v/>
      </c>
      <c r="H173" s="3">
        <f>G173-LARGE($G$2:$G$266,Settings!$F$4)</f>
        <v/>
      </c>
      <c r="I173">
        <f>IF(INDEX('Player Data'!$R:$R,AL173)="","",INDEX('Player Data'!$R:$R,AL173))</f>
        <v/>
      </c>
      <c r="J173" s="4">
        <f>IF(I173="","",I173-A173)</f>
        <v/>
      </c>
      <c r="L173" s="5">
        <f>IF(Settings!$F$7="Yes",INDEX('Minutes &amp; Health'!$O:$O,AL173),Settings!$F$8)</f>
        <v/>
      </c>
      <c r="M173" s="6">
        <f>INDEX('Minutes &amp; Health'!$P:$P,AL173)</f>
        <v/>
      </c>
      <c r="N173" s="5">
        <f>INDEX('Player Data'!$F:$F,AL173)/INDEX('Player Data'!$E:$E,AL173)*M173*L173*AM173</f>
        <v/>
      </c>
      <c r="O173" s="5">
        <f>INDEX('Player Data'!$G:$G,AL173)/INDEX('Player Data'!$E:$E,AL173)*M173*L173*AM173</f>
        <v/>
      </c>
      <c r="P173" s="5">
        <f>INDEX('Player Data'!$H:$H,AL173)/INDEX('Player Data'!$E:$E,AL173)*M173*L173*AM173</f>
        <v/>
      </c>
      <c r="Q173" s="5">
        <f>INDEX('Player Data'!$I:$I,AL173)/INDEX('Player Data'!$E:$E,AL173)*M173*L173*AM173</f>
        <v/>
      </c>
      <c r="R173" s="5">
        <f>INDEX('Player Data'!$J:$J,AL173)/INDEX('Player Data'!$E:$E,AL173)*M173*L173*AM173</f>
        <v/>
      </c>
      <c r="S173" s="5">
        <f>INDEX('Player Data'!$K:$K,AL173)/INDEX('Player Data'!$E:$E,AL173)*M173*L173*AM173</f>
        <v/>
      </c>
      <c r="T173" s="5">
        <f>INDEX('Player Data'!$L:$L,AL173)/INDEX('Player Data'!$E:$E,AL173)*M173*L173*AM173</f>
        <v/>
      </c>
      <c r="U173" s="7">
        <f>INDEX('Player Data'!$M:$M,AL173)</f>
        <v/>
      </c>
      <c r="V173" s="7">
        <f>INDEX('Player Data'!$N:$N,AL173)</f>
        <v/>
      </c>
      <c r="W173" s="5">
        <f>X173*U173</f>
        <v/>
      </c>
      <c r="X173" s="5">
        <f>INDEX('Player Data'!$O:$O,AL173)/INDEX('Player Data'!$E:$E,AL173)*M173*L173*AM173</f>
        <v/>
      </c>
      <c r="Y173" s="5">
        <f>Z173*V173</f>
        <v/>
      </c>
      <c r="Z173" s="5">
        <f>INDEX('Player Data'!$P:$P,AL173)/INDEX('Player Data'!$E:$E,AL173)*M173*L173*AM173</f>
        <v/>
      </c>
      <c r="AB173" s="3">
        <f>(N173-Pool!$D$2)/Pool!$E$2</f>
        <v/>
      </c>
      <c r="AC173" s="3">
        <f>(O173-Pool!$D$3)/Pool!$E$3</f>
        <v/>
      </c>
      <c r="AD173" s="3">
        <f>(P173-Pool!$D$4)/Pool!$E$4</f>
        <v/>
      </c>
      <c r="AE173" s="3">
        <f>(Q173-Pool!$D$5)/Pool!$E$5</f>
        <v/>
      </c>
      <c r="AF173" s="3">
        <f>(R173-Pool!$D$6)/Pool!$E$6</f>
        <v/>
      </c>
      <c r="AG173" s="3">
        <f>(S173-Pool!$D$7)/Pool!$E$7</f>
        <v/>
      </c>
      <c r="AH173" s="3">
        <f>(AS173-Pool!$D$8)/Pool!$E$8</f>
        <v/>
      </c>
      <c r="AI173" s="3">
        <f>(AT173-Pool!$D$9)/Pool!$E$9</f>
        <v/>
      </c>
      <c r="AJ173" s="3">
        <f>-(T173-Pool!$D$10)/Pool!$E$10</f>
        <v/>
      </c>
      <c r="AL173">
        <f>MATCH(B173,'Player Data'!$A:$A,0)</f>
        <v/>
      </c>
      <c r="AM173" s="3">
        <f>1+IF(Settings!$F$10="ON",IFERROR(VLOOKUP(TRIM(F173),Settings!$D$12:$F$17,3,FALSE),0),0)</f>
        <v/>
      </c>
      <c r="AN173">
        <f>IFERROR(LEFT(C173,FIND(",",C173)-1),C173)</f>
        <v/>
      </c>
      <c r="AO173" s="6">
        <f>X173*(U173-Pool!$B$12)</f>
        <v/>
      </c>
      <c r="AP173" s="6">
        <f>Z173*(V173-Pool!$B$13)</f>
        <v/>
      </c>
      <c r="AQ173" s="3">
        <f>Settings!$B$2*(N173-Pool!$B$2)/Pool!$C$2+Settings!$B$3*(O173-Pool!$B$3)/Pool!$C$3+Settings!$B$4*(P173-Pool!$B$4)/Pool!$C$4+Settings!$B$5*(Q173-Pool!$B$5)/Pool!$C$5+Settings!$B$6*(R173-Pool!$B$6)/Pool!$C$6+Settings!$B$7*(S173-Pool!$B$7)/Pool!$C$7+Settings!$B$8*(AO173-Pool!$B$8)/Pool!$C$8+Settings!$B$9*(AP173-Pool!$B$9)/Pool!$C$9+Settings!$B$10*-(T173-Pool!$B$10)/Pool!$C$10</f>
        <v/>
      </c>
      <c r="AR173">
        <f>IF(RANK(AQ173,$AQ$2:$AQ$266)&lt;=Settings!$F$5,1,0)</f>
        <v/>
      </c>
      <c r="AS173" s="6">
        <f>X173*(U173-Pool!$D$12)</f>
        <v/>
      </c>
      <c r="AT173" s="6">
        <f>Z173*(V173-Pool!$D$13)</f>
        <v/>
      </c>
    </row>
    <row r="174">
      <c r="A174">
        <f>RANK(H174,$H$2:$H$266)</f>
        <v/>
      </c>
      <c r="B174" t="inlineStr">
        <is>
          <t>Collin Murray-Boyles</t>
        </is>
      </c>
      <c r="C174">
        <f>INDEX('Player Data'!$C:$C,AL174)</f>
        <v/>
      </c>
      <c r="D174">
        <f>SUMPRODUCT(($AN$2:$AN$266=AN174)*($H$2:$H$266&gt;H174))+1</f>
        <v/>
      </c>
      <c r="E174">
        <f>INDEX('Player Data'!$B:$B,AL174)</f>
        <v/>
      </c>
      <c r="F174" s="2" t="n"/>
      <c r="G174" s="3">
        <f>Settings!$B$2*AB174+Settings!$B$3*AC174+Settings!$B$4*AD174+Settings!$B$5*AE174+Settings!$B$6*AF174+Settings!$B$7*AG174+Settings!$B$8*AH174+Settings!$B$9*AI174+Settings!$B$10*AJ174</f>
        <v/>
      </c>
      <c r="H174" s="3">
        <f>G174-LARGE($G$2:$G$266,Settings!$F$4)</f>
        <v/>
      </c>
      <c r="I174">
        <f>IF(INDEX('Player Data'!$R:$R,AL174)="","",INDEX('Player Data'!$R:$R,AL174))</f>
        <v/>
      </c>
      <c r="J174" s="4">
        <f>IF(I174="","",I174-A174)</f>
        <v/>
      </c>
      <c r="L174" s="5">
        <f>IF(Settings!$F$7="Yes",INDEX('Minutes &amp; Health'!$O:$O,AL174),Settings!$F$8)</f>
        <v/>
      </c>
      <c r="M174" s="6">
        <f>INDEX('Minutes &amp; Health'!$P:$P,AL174)</f>
        <v/>
      </c>
      <c r="N174" s="5">
        <f>INDEX('Player Data'!$F:$F,AL174)/INDEX('Player Data'!$E:$E,AL174)*M174*L174*AM174</f>
        <v/>
      </c>
      <c r="O174" s="5">
        <f>INDEX('Player Data'!$G:$G,AL174)/INDEX('Player Data'!$E:$E,AL174)*M174*L174*AM174</f>
        <v/>
      </c>
      <c r="P174" s="5">
        <f>INDEX('Player Data'!$H:$H,AL174)/INDEX('Player Data'!$E:$E,AL174)*M174*L174*AM174</f>
        <v/>
      </c>
      <c r="Q174" s="5">
        <f>INDEX('Player Data'!$I:$I,AL174)/INDEX('Player Data'!$E:$E,AL174)*M174*L174*AM174</f>
        <v/>
      </c>
      <c r="R174" s="5">
        <f>INDEX('Player Data'!$J:$J,AL174)/INDEX('Player Data'!$E:$E,AL174)*M174*L174*AM174</f>
        <v/>
      </c>
      <c r="S174" s="5">
        <f>INDEX('Player Data'!$K:$K,AL174)/INDEX('Player Data'!$E:$E,AL174)*M174*L174*AM174</f>
        <v/>
      </c>
      <c r="T174" s="5">
        <f>INDEX('Player Data'!$L:$L,AL174)/INDEX('Player Data'!$E:$E,AL174)*M174*L174*AM174</f>
        <v/>
      </c>
      <c r="U174" s="7">
        <f>INDEX('Player Data'!$M:$M,AL174)</f>
        <v/>
      </c>
      <c r="V174" s="7">
        <f>INDEX('Player Data'!$N:$N,AL174)</f>
        <v/>
      </c>
      <c r="W174" s="5">
        <f>X174*U174</f>
        <v/>
      </c>
      <c r="X174" s="5">
        <f>INDEX('Player Data'!$O:$O,AL174)/INDEX('Player Data'!$E:$E,AL174)*M174*L174*AM174</f>
        <v/>
      </c>
      <c r="Y174" s="5">
        <f>Z174*V174</f>
        <v/>
      </c>
      <c r="Z174" s="5">
        <f>INDEX('Player Data'!$P:$P,AL174)/INDEX('Player Data'!$E:$E,AL174)*M174*L174*AM174</f>
        <v/>
      </c>
      <c r="AB174" s="3">
        <f>(N174-Pool!$D$2)/Pool!$E$2</f>
        <v/>
      </c>
      <c r="AC174" s="3">
        <f>(O174-Pool!$D$3)/Pool!$E$3</f>
        <v/>
      </c>
      <c r="AD174" s="3">
        <f>(P174-Pool!$D$4)/Pool!$E$4</f>
        <v/>
      </c>
      <c r="AE174" s="3">
        <f>(Q174-Pool!$D$5)/Pool!$E$5</f>
        <v/>
      </c>
      <c r="AF174" s="3">
        <f>(R174-Pool!$D$6)/Pool!$E$6</f>
        <v/>
      </c>
      <c r="AG174" s="3">
        <f>(S174-Pool!$D$7)/Pool!$E$7</f>
        <v/>
      </c>
      <c r="AH174" s="3">
        <f>(AS174-Pool!$D$8)/Pool!$E$8</f>
        <v/>
      </c>
      <c r="AI174" s="3">
        <f>(AT174-Pool!$D$9)/Pool!$E$9</f>
        <v/>
      </c>
      <c r="AJ174" s="3">
        <f>-(T174-Pool!$D$10)/Pool!$E$10</f>
        <v/>
      </c>
      <c r="AL174">
        <f>MATCH(B174,'Player Data'!$A:$A,0)</f>
        <v/>
      </c>
      <c r="AM174" s="3">
        <f>1+IF(Settings!$F$10="ON",IFERROR(VLOOKUP(TRIM(F174),Settings!$D$12:$F$17,3,FALSE),0),0)</f>
        <v/>
      </c>
      <c r="AN174">
        <f>IFERROR(LEFT(C174,FIND(",",C174)-1),C174)</f>
        <v/>
      </c>
      <c r="AO174" s="6">
        <f>X174*(U174-Pool!$B$12)</f>
        <v/>
      </c>
      <c r="AP174" s="6">
        <f>Z174*(V174-Pool!$B$13)</f>
        <v/>
      </c>
      <c r="AQ174" s="3">
        <f>Settings!$B$2*(N174-Pool!$B$2)/Pool!$C$2+Settings!$B$3*(O174-Pool!$B$3)/Pool!$C$3+Settings!$B$4*(P174-Pool!$B$4)/Pool!$C$4+Settings!$B$5*(Q174-Pool!$B$5)/Pool!$C$5+Settings!$B$6*(R174-Pool!$B$6)/Pool!$C$6+Settings!$B$7*(S174-Pool!$B$7)/Pool!$C$7+Settings!$B$8*(AO174-Pool!$B$8)/Pool!$C$8+Settings!$B$9*(AP174-Pool!$B$9)/Pool!$C$9+Settings!$B$10*-(T174-Pool!$B$10)/Pool!$C$10</f>
        <v/>
      </c>
      <c r="AR174">
        <f>IF(RANK(AQ174,$AQ$2:$AQ$266)&lt;=Settings!$F$5,1,0)</f>
        <v/>
      </c>
      <c r="AS174" s="6">
        <f>X174*(U174-Pool!$D$12)</f>
        <v/>
      </c>
      <c r="AT174" s="6">
        <f>Z174*(V174-Pool!$D$13)</f>
        <v/>
      </c>
    </row>
    <row r="175">
      <c r="A175">
        <f>RANK(H175,$H$2:$H$266)</f>
        <v/>
      </c>
      <c r="B175" t="inlineStr">
        <is>
          <t>Kingston Flemings</t>
        </is>
      </c>
      <c r="C175">
        <f>INDEX('Player Data'!$C:$C,AL175)</f>
        <v/>
      </c>
      <c r="D175">
        <f>SUMPRODUCT(($AN$2:$AN$266=AN175)*($H$2:$H$266&gt;H175))+1</f>
        <v/>
      </c>
      <c r="E175">
        <f>INDEX('Player Data'!$B:$B,AL175)</f>
        <v/>
      </c>
      <c r="F175" s="2" t="n"/>
      <c r="G175" s="3">
        <f>Settings!$B$2*AB175+Settings!$B$3*AC175+Settings!$B$4*AD175+Settings!$B$5*AE175+Settings!$B$6*AF175+Settings!$B$7*AG175+Settings!$B$8*AH175+Settings!$B$9*AI175+Settings!$B$10*AJ175</f>
        <v/>
      </c>
      <c r="H175" s="3">
        <f>G175-LARGE($G$2:$G$266,Settings!$F$4)</f>
        <v/>
      </c>
      <c r="I175">
        <f>IF(INDEX('Player Data'!$R:$R,AL175)="","",INDEX('Player Data'!$R:$R,AL175))</f>
        <v/>
      </c>
      <c r="J175" s="4">
        <f>IF(I175="","",I175-A175)</f>
        <v/>
      </c>
      <c r="L175" s="5">
        <f>IF(Settings!$F$7="Yes",INDEX('Minutes &amp; Health'!$O:$O,AL175),Settings!$F$8)</f>
        <v/>
      </c>
      <c r="M175" s="6">
        <f>INDEX('Minutes &amp; Health'!$P:$P,AL175)</f>
        <v/>
      </c>
      <c r="N175" s="5">
        <f>INDEX('Player Data'!$F:$F,AL175)/INDEX('Player Data'!$E:$E,AL175)*M175*L175*AM175</f>
        <v/>
      </c>
      <c r="O175" s="5">
        <f>INDEX('Player Data'!$G:$G,AL175)/INDEX('Player Data'!$E:$E,AL175)*M175*L175*AM175</f>
        <v/>
      </c>
      <c r="P175" s="5">
        <f>INDEX('Player Data'!$H:$H,AL175)/INDEX('Player Data'!$E:$E,AL175)*M175*L175*AM175</f>
        <v/>
      </c>
      <c r="Q175" s="5">
        <f>INDEX('Player Data'!$I:$I,AL175)/INDEX('Player Data'!$E:$E,AL175)*M175*L175*AM175</f>
        <v/>
      </c>
      <c r="R175" s="5">
        <f>INDEX('Player Data'!$J:$J,AL175)/INDEX('Player Data'!$E:$E,AL175)*M175*L175*AM175</f>
        <v/>
      </c>
      <c r="S175" s="5">
        <f>INDEX('Player Data'!$K:$K,AL175)/INDEX('Player Data'!$E:$E,AL175)*M175*L175*AM175</f>
        <v/>
      </c>
      <c r="T175" s="5">
        <f>INDEX('Player Data'!$L:$L,AL175)/INDEX('Player Data'!$E:$E,AL175)*M175*L175*AM175</f>
        <v/>
      </c>
      <c r="U175" s="7">
        <f>INDEX('Player Data'!$M:$M,AL175)</f>
        <v/>
      </c>
      <c r="V175" s="7">
        <f>INDEX('Player Data'!$N:$N,AL175)</f>
        <v/>
      </c>
      <c r="W175" s="5">
        <f>X175*U175</f>
        <v/>
      </c>
      <c r="X175" s="5">
        <f>INDEX('Player Data'!$O:$O,AL175)/INDEX('Player Data'!$E:$E,AL175)*M175*L175*AM175</f>
        <v/>
      </c>
      <c r="Y175" s="5">
        <f>Z175*V175</f>
        <v/>
      </c>
      <c r="Z175" s="5">
        <f>INDEX('Player Data'!$P:$P,AL175)/INDEX('Player Data'!$E:$E,AL175)*M175*L175*AM175</f>
        <v/>
      </c>
      <c r="AB175" s="3">
        <f>(N175-Pool!$D$2)/Pool!$E$2</f>
        <v/>
      </c>
      <c r="AC175" s="3">
        <f>(O175-Pool!$D$3)/Pool!$E$3</f>
        <v/>
      </c>
      <c r="AD175" s="3">
        <f>(P175-Pool!$D$4)/Pool!$E$4</f>
        <v/>
      </c>
      <c r="AE175" s="3">
        <f>(Q175-Pool!$D$5)/Pool!$E$5</f>
        <v/>
      </c>
      <c r="AF175" s="3">
        <f>(R175-Pool!$D$6)/Pool!$E$6</f>
        <v/>
      </c>
      <c r="AG175" s="3">
        <f>(S175-Pool!$D$7)/Pool!$E$7</f>
        <v/>
      </c>
      <c r="AH175" s="3">
        <f>(AS175-Pool!$D$8)/Pool!$E$8</f>
        <v/>
      </c>
      <c r="AI175" s="3">
        <f>(AT175-Pool!$D$9)/Pool!$E$9</f>
        <v/>
      </c>
      <c r="AJ175" s="3">
        <f>-(T175-Pool!$D$10)/Pool!$E$10</f>
        <v/>
      </c>
      <c r="AL175">
        <f>MATCH(B175,'Player Data'!$A:$A,0)</f>
        <v/>
      </c>
      <c r="AM175" s="3">
        <f>1+IF(Settings!$F$10="ON",IFERROR(VLOOKUP(TRIM(F175),Settings!$D$12:$F$17,3,FALSE),0),0)</f>
        <v/>
      </c>
      <c r="AN175">
        <f>IFERROR(LEFT(C175,FIND(",",C175)-1),C175)</f>
        <v/>
      </c>
      <c r="AO175" s="6">
        <f>X175*(U175-Pool!$B$12)</f>
        <v/>
      </c>
      <c r="AP175" s="6">
        <f>Z175*(V175-Pool!$B$13)</f>
        <v/>
      </c>
      <c r="AQ175" s="3">
        <f>Settings!$B$2*(N175-Pool!$B$2)/Pool!$C$2+Settings!$B$3*(O175-Pool!$B$3)/Pool!$C$3+Settings!$B$4*(P175-Pool!$B$4)/Pool!$C$4+Settings!$B$5*(Q175-Pool!$B$5)/Pool!$C$5+Settings!$B$6*(R175-Pool!$B$6)/Pool!$C$6+Settings!$B$7*(S175-Pool!$B$7)/Pool!$C$7+Settings!$B$8*(AO175-Pool!$B$8)/Pool!$C$8+Settings!$B$9*(AP175-Pool!$B$9)/Pool!$C$9+Settings!$B$10*-(T175-Pool!$B$10)/Pool!$C$10</f>
        <v/>
      </c>
      <c r="AR175">
        <f>IF(RANK(AQ175,$AQ$2:$AQ$266)&lt;=Settings!$F$5,1,0)</f>
        <v/>
      </c>
      <c r="AS175" s="6">
        <f>X175*(U175-Pool!$D$12)</f>
        <v/>
      </c>
      <c r="AT175" s="6">
        <f>Z175*(V175-Pool!$D$13)</f>
        <v/>
      </c>
    </row>
    <row r="176">
      <c r="A176">
        <f>RANK(H176,$H$2:$H$266)</f>
        <v/>
      </c>
      <c r="B176" t="inlineStr">
        <is>
          <t>Jeremiah Fears</t>
        </is>
      </c>
      <c r="C176">
        <f>INDEX('Player Data'!$C:$C,AL176)</f>
        <v/>
      </c>
      <c r="D176">
        <f>SUMPRODUCT(($AN$2:$AN$266=AN176)*($H$2:$H$266&gt;H176))+1</f>
        <v/>
      </c>
      <c r="E176">
        <f>INDEX('Player Data'!$B:$B,AL176)</f>
        <v/>
      </c>
      <c r="F176" s="2" t="n"/>
      <c r="G176" s="3">
        <f>Settings!$B$2*AB176+Settings!$B$3*AC176+Settings!$B$4*AD176+Settings!$B$5*AE176+Settings!$B$6*AF176+Settings!$B$7*AG176+Settings!$B$8*AH176+Settings!$B$9*AI176+Settings!$B$10*AJ176</f>
        <v/>
      </c>
      <c r="H176" s="3">
        <f>G176-LARGE($G$2:$G$266,Settings!$F$4)</f>
        <v/>
      </c>
      <c r="I176">
        <f>IF(INDEX('Player Data'!$R:$R,AL176)="","",INDEX('Player Data'!$R:$R,AL176))</f>
        <v/>
      </c>
      <c r="J176" s="4">
        <f>IF(I176="","",I176-A176)</f>
        <v/>
      </c>
      <c r="L176" s="5">
        <f>IF(Settings!$F$7="Yes",INDEX('Minutes &amp; Health'!$O:$O,AL176),Settings!$F$8)</f>
        <v/>
      </c>
      <c r="M176" s="6">
        <f>INDEX('Minutes &amp; Health'!$P:$P,AL176)</f>
        <v/>
      </c>
      <c r="N176" s="5">
        <f>INDEX('Player Data'!$F:$F,AL176)/INDEX('Player Data'!$E:$E,AL176)*M176*L176*AM176</f>
        <v/>
      </c>
      <c r="O176" s="5">
        <f>INDEX('Player Data'!$G:$G,AL176)/INDEX('Player Data'!$E:$E,AL176)*M176*L176*AM176</f>
        <v/>
      </c>
      <c r="P176" s="5">
        <f>INDEX('Player Data'!$H:$H,AL176)/INDEX('Player Data'!$E:$E,AL176)*M176*L176*AM176</f>
        <v/>
      </c>
      <c r="Q176" s="5">
        <f>INDEX('Player Data'!$I:$I,AL176)/INDEX('Player Data'!$E:$E,AL176)*M176*L176*AM176</f>
        <v/>
      </c>
      <c r="R176" s="5">
        <f>INDEX('Player Data'!$J:$J,AL176)/INDEX('Player Data'!$E:$E,AL176)*M176*L176*AM176</f>
        <v/>
      </c>
      <c r="S176" s="5">
        <f>INDEX('Player Data'!$K:$K,AL176)/INDEX('Player Data'!$E:$E,AL176)*M176*L176*AM176</f>
        <v/>
      </c>
      <c r="T176" s="5">
        <f>INDEX('Player Data'!$L:$L,AL176)/INDEX('Player Data'!$E:$E,AL176)*M176*L176*AM176</f>
        <v/>
      </c>
      <c r="U176" s="7">
        <f>INDEX('Player Data'!$M:$M,AL176)</f>
        <v/>
      </c>
      <c r="V176" s="7">
        <f>INDEX('Player Data'!$N:$N,AL176)</f>
        <v/>
      </c>
      <c r="W176" s="5">
        <f>X176*U176</f>
        <v/>
      </c>
      <c r="X176" s="5">
        <f>INDEX('Player Data'!$O:$O,AL176)/INDEX('Player Data'!$E:$E,AL176)*M176*L176*AM176</f>
        <v/>
      </c>
      <c r="Y176" s="5">
        <f>Z176*V176</f>
        <v/>
      </c>
      <c r="Z176" s="5">
        <f>INDEX('Player Data'!$P:$P,AL176)/INDEX('Player Data'!$E:$E,AL176)*M176*L176*AM176</f>
        <v/>
      </c>
      <c r="AB176" s="3">
        <f>(N176-Pool!$D$2)/Pool!$E$2</f>
        <v/>
      </c>
      <c r="AC176" s="3">
        <f>(O176-Pool!$D$3)/Pool!$E$3</f>
        <v/>
      </c>
      <c r="AD176" s="3">
        <f>(P176-Pool!$D$4)/Pool!$E$4</f>
        <v/>
      </c>
      <c r="AE176" s="3">
        <f>(Q176-Pool!$D$5)/Pool!$E$5</f>
        <v/>
      </c>
      <c r="AF176" s="3">
        <f>(R176-Pool!$D$6)/Pool!$E$6</f>
        <v/>
      </c>
      <c r="AG176" s="3">
        <f>(S176-Pool!$D$7)/Pool!$E$7</f>
        <v/>
      </c>
      <c r="AH176" s="3">
        <f>(AS176-Pool!$D$8)/Pool!$E$8</f>
        <v/>
      </c>
      <c r="AI176" s="3">
        <f>(AT176-Pool!$D$9)/Pool!$E$9</f>
        <v/>
      </c>
      <c r="AJ176" s="3">
        <f>-(T176-Pool!$D$10)/Pool!$E$10</f>
        <v/>
      </c>
      <c r="AL176">
        <f>MATCH(B176,'Player Data'!$A:$A,0)</f>
        <v/>
      </c>
      <c r="AM176" s="3">
        <f>1+IF(Settings!$F$10="ON",IFERROR(VLOOKUP(TRIM(F176),Settings!$D$12:$F$17,3,FALSE),0),0)</f>
        <v/>
      </c>
      <c r="AN176">
        <f>IFERROR(LEFT(C176,FIND(",",C176)-1),C176)</f>
        <v/>
      </c>
      <c r="AO176" s="6">
        <f>X176*(U176-Pool!$B$12)</f>
        <v/>
      </c>
      <c r="AP176" s="6">
        <f>Z176*(V176-Pool!$B$13)</f>
        <v/>
      </c>
      <c r="AQ176" s="3">
        <f>Settings!$B$2*(N176-Pool!$B$2)/Pool!$C$2+Settings!$B$3*(O176-Pool!$B$3)/Pool!$C$3+Settings!$B$4*(P176-Pool!$B$4)/Pool!$C$4+Settings!$B$5*(Q176-Pool!$B$5)/Pool!$C$5+Settings!$B$6*(R176-Pool!$B$6)/Pool!$C$6+Settings!$B$7*(S176-Pool!$B$7)/Pool!$C$7+Settings!$B$8*(AO176-Pool!$B$8)/Pool!$C$8+Settings!$B$9*(AP176-Pool!$B$9)/Pool!$C$9+Settings!$B$10*-(T176-Pool!$B$10)/Pool!$C$10</f>
        <v/>
      </c>
      <c r="AR176">
        <f>IF(RANK(AQ176,$AQ$2:$AQ$266)&lt;=Settings!$F$5,1,0)</f>
        <v/>
      </c>
      <c r="AS176" s="6">
        <f>X176*(U176-Pool!$D$12)</f>
        <v/>
      </c>
      <c r="AT176" s="6">
        <f>Z176*(V176-Pool!$D$13)</f>
        <v/>
      </c>
    </row>
    <row r="177">
      <c r="A177">
        <f>RANK(H177,$H$2:$H$266)</f>
        <v/>
      </c>
      <c r="B177" t="inlineStr">
        <is>
          <t>Royce O'Neale</t>
        </is>
      </c>
      <c r="C177">
        <f>INDEX('Player Data'!$C:$C,AL177)</f>
        <v/>
      </c>
      <c r="D177">
        <f>SUMPRODUCT(($AN$2:$AN$266=AN177)*($H$2:$H$266&gt;H177))+1</f>
        <v/>
      </c>
      <c r="E177">
        <f>INDEX('Player Data'!$B:$B,AL177)</f>
        <v/>
      </c>
      <c r="F177" s="2" t="n"/>
      <c r="G177" s="3">
        <f>Settings!$B$2*AB177+Settings!$B$3*AC177+Settings!$B$4*AD177+Settings!$B$5*AE177+Settings!$B$6*AF177+Settings!$B$7*AG177+Settings!$B$8*AH177+Settings!$B$9*AI177+Settings!$B$10*AJ177</f>
        <v/>
      </c>
      <c r="H177" s="3">
        <f>G177-LARGE($G$2:$G$266,Settings!$F$4)</f>
        <v/>
      </c>
      <c r="I177">
        <f>IF(INDEX('Player Data'!$R:$R,AL177)="","",INDEX('Player Data'!$R:$R,AL177))</f>
        <v/>
      </c>
      <c r="J177" s="4">
        <f>IF(I177="","",I177-A177)</f>
        <v/>
      </c>
      <c r="L177" s="5">
        <f>IF(Settings!$F$7="Yes",INDEX('Minutes &amp; Health'!$O:$O,AL177),Settings!$F$8)</f>
        <v/>
      </c>
      <c r="M177" s="6">
        <f>INDEX('Minutes &amp; Health'!$P:$P,AL177)</f>
        <v/>
      </c>
      <c r="N177" s="5">
        <f>INDEX('Player Data'!$F:$F,AL177)/INDEX('Player Data'!$E:$E,AL177)*M177*L177*AM177</f>
        <v/>
      </c>
      <c r="O177" s="5">
        <f>INDEX('Player Data'!$G:$G,AL177)/INDEX('Player Data'!$E:$E,AL177)*M177*L177*AM177</f>
        <v/>
      </c>
      <c r="P177" s="5">
        <f>INDEX('Player Data'!$H:$H,AL177)/INDEX('Player Data'!$E:$E,AL177)*M177*L177*AM177</f>
        <v/>
      </c>
      <c r="Q177" s="5">
        <f>INDEX('Player Data'!$I:$I,AL177)/INDEX('Player Data'!$E:$E,AL177)*M177*L177*AM177</f>
        <v/>
      </c>
      <c r="R177" s="5">
        <f>INDEX('Player Data'!$J:$J,AL177)/INDEX('Player Data'!$E:$E,AL177)*M177*L177*AM177</f>
        <v/>
      </c>
      <c r="S177" s="5">
        <f>INDEX('Player Data'!$K:$K,AL177)/INDEX('Player Data'!$E:$E,AL177)*M177*L177*AM177</f>
        <v/>
      </c>
      <c r="T177" s="5">
        <f>INDEX('Player Data'!$L:$L,AL177)/INDEX('Player Data'!$E:$E,AL177)*M177*L177*AM177</f>
        <v/>
      </c>
      <c r="U177" s="7">
        <f>INDEX('Player Data'!$M:$M,AL177)</f>
        <v/>
      </c>
      <c r="V177" s="7">
        <f>INDEX('Player Data'!$N:$N,AL177)</f>
        <v/>
      </c>
      <c r="W177" s="5">
        <f>X177*U177</f>
        <v/>
      </c>
      <c r="X177" s="5">
        <f>INDEX('Player Data'!$O:$O,AL177)/INDEX('Player Data'!$E:$E,AL177)*M177*L177*AM177</f>
        <v/>
      </c>
      <c r="Y177" s="5">
        <f>Z177*V177</f>
        <v/>
      </c>
      <c r="Z177" s="5">
        <f>INDEX('Player Data'!$P:$P,AL177)/INDEX('Player Data'!$E:$E,AL177)*M177*L177*AM177</f>
        <v/>
      </c>
      <c r="AB177" s="3">
        <f>(N177-Pool!$D$2)/Pool!$E$2</f>
        <v/>
      </c>
      <c r="AC177" s="3">
        <f>(O177-Pool!$D$3)/Pool!$E$3</f>
        <v/>
      </c>
      <c r="AD177" s="3">
        <f>(P177-Pool!$D$4)/Pool!$E$4</f>
        <v/>
      </c>
      <c r="AE177" s="3">
        <f>(Q177-Pool!$D$5)/Pool!$E$5</f>
        <v/>
      </c>
      <c r="AF177" s="3">
        <f>(R177-Pool!$D$6)/Pool!$E$6</f>
        <v/>
      </c>
      <c r="AG177" s="3">
        <f>(S177-Pool!$D$7)/Pool!$E$7</f>
        <v/>
      </c>
      <c r="AH177" s="3">
        <f>(AS177-Pool!$D$8)/Pool!$E$8</f>
        <v/>
      </c>
      <c r="AI177" s="3">
        <f>(AT177-Pool!$D$9)/Pool!$E$9</f>
        <v/>
      </c>
      <c r="AJ177" s="3">
        <f>-(T177-Pool!$D$10)/Pool!$E$10</f>
        <v/>
      </c>
      <c r="AL177">
        <f>MATCH(B177,'Player Data'!$A:$A,0)</f>
        <v/>
      </c>
      <c r="AM177" s="3">
        <f>1+IF(Settings!$F$10="ON",IFERROR(VLOOKUP(TRIM(F177),Settings!$D$12:$F$17,3,FALSE),0),0)</f>
        <v/>
      </c>
      <c r="AN177">
        <f>IFERROR(LEFT(C177,FIND(",",C177)-1),C177)</f>
        <v/>
      </c>
      <c r="AO177" s="6">
        <f>X177*(U177-Pool!$B$12)</f>
        <v/>
      </c>
      <c r="AP177" s="6">
        <f>Z177*(V177-Pool!$B$13)</f>
        <v/>
      </c>
      <c r="AQ177" s="3">
        <f>Settings!$B$2*(N177-Pool!$B$2)/Pool!$C$2+Settings!$B$3*(O177-Pool!$B$3)/Pool!$C$3+Settings!$B$4*(P177-Pool!$B$4)/Pool!$C$4+Settings!$B$5*(Q177-Pool!$B$5)/Pool!$C$5+Settings!$B$6*(R177-Pool!$B$6)/Pool!$C$6+Settings!$B$7*(S177-Pool!$B$7)/Pool!$C$7+Settings!$B$8*(AO177-Pool!$B$8)/Pool!$C$8+Settings!$B$9*(AP177-Pool!$B$9)/Pool!$C$9+Settings!$B$10*-(T177-Pool!$B$10)/Pool!$C$10</f>
        <v/>
      </c>
      <c r="AR177">
        <f>IF(RANK(AQ177,$AQ$2:$AQ$266)&lt;=Settings!$F$5,1,0)</f>
        <v/>
      </c>
      <c r="AS177" s="6">
        <f>X177*(U177-Pool!$D$12)</f>
        <v/>
      </c>
      <c r="AT177" s="6">
        <f>Z177*(V177-Pool!$D$13)</f>
        <v/>
      </c>
    </row>
    <row r="178">
      <c r="A178">
        <f>RANK(H178,$H$2:$H$266)</f>
        <v/>
      </c>
      <c r="B178" t="inlineStr">
        <is>
          <t>Luguentz Dort</t>
        </is>
      </c>
      <c r="C178">
        <f>INDEX('Player Data'!$C:$C,AL178)</f>
        <v/>
      </c>
      <c r="D178">
        <f>SUMPRODUCT(($AN$2:$AN$266=AN178)*($H$2:$H$266&gt;H178))+1</f>
        <v/>
      </c>
      <c r="E178">
        <f>INDEX('Player Data'!$B:$B,AL178)</f>
        <v/>
      </c>
      <c r="F178" s="2" t="n"/>
      <c r="G178" s="3">
        <f>Settings!$B$2*AB178+Settings!$B$3*AC178+Settings!$B$4*AD178+Settings!$B$5*AE178+Settings!$B$6*AF178+Settings!$B$7*AG178+Settings!$B$8*AH178+Settings!$B$9*AI178+Settings!$B$10*AJ178</f>
        <v/>
      </c>
      <c r="H178" s="3">
        <f>G178-LARGE($G$2:$G$266,Settings!$F$4)</f>
        <v/>
      </c>
      <c r="I178">
        <f>IF(INDEX('Player Data'!$R:$R,AL178)="","",INDEX('Player Data'!$R:$R,AL178))</f>
        <v/>
      </c>
      <c r="J178" s="4">
        <f>IF(I178="","",I178-A178)</f>
        <v/>
      </c>
      <c r="L178" s="5">
        <f>IF(Settings!$F$7="Yes",INDEX('Minutes &amp; Health'!$O:$O,AL178),Settings!$F$8)</f>
        <v/>
      </c>
      <c r="M178" s="6">
        <f>INDEX('Minutes &amp; Health'!$P:$P,AL178)</f>
        <v/>
      </c>
      <c r="N178" s="5">
        <f>INDEX('Player Data'!$F:$F,AL178)/INDEX('Player Data'!$E:$E,AL178)*M178*L178*AM178</f>
        <v/>
      </c>
      <c r="O178" s="5">
        <f>INDEX('Player Data'!$G:$G,AL178)/INDEX('Player Data'!$E:$E,AL178)*M178*L178*AM178</f>
        <v/>
      </c>
      <c r="P178" s="5">
        <f>INDEX('Player Data'!$H:$H,AL178)/INDEX('Player Data'!$E:$E,AL178)*M178*L178*AM178</f>
        <v/>
      </c>
      <c r="Q178" s="5">
        <f>INDEX('Player Data'!$I:$I,AL178)/INDEX('Player Data'!$E:$E,AL178)*M178*L178*AM178</f>
        <v/>
      </c>
      <c r="R178" s="5">
        <f>INDEX('Player Data'!$J:$J,AL178)/INDEX('Player Data'!$E:$E,AL178)*M178*L178*AM178</f>
        <v/>
      </c>
      <c r="S178" s="5">
        <f>INDEX('Player Data'!$K:$K,AL178)/INDEX('Player Data'!$E:$E,AL178)*M178*L178*AM178</f>
        <v/>
      </c>
      <c r="T178" s="5">
        <f>INDEX('Player Data'!$L:$L,AL178)/INDEX('Player Data'!$E:$E,AL178)*M178*L178*AM178</f>
        <v/>
      </c>
      <c r="U178" s="7">
        <f>INDEX('Player Data'!$M:$M,AL178)</f>
        <v/>
      </c>
      <c r="V178" s="7">
        <f>INDEX('Player Data'!$N:$N,AL178)</f>
        <v/>
      </c>
      <c r="W178" s="5">
        <f>X178*U178</f>
        <v/>
      </c>
      <c r="X178" s="5">
        <f>INDEX('Player Data'!$O:$O,AL178)/INDEX('Player Data'!$E:$E,AL178)*M178*L178*AM178</f>
        <v/>
      </c>
      <c r="Y178" s="5">
        <f>Z178*V178</f>
        <v/>
      </c>
      <c r="Z178" s="5">
        <f>INDEX('Player Data'!$P:$P,AL178)/INDEX('Player Data'!$E:$E,AL178)*M178*L178*AM178</f>
        <v/>
      </c>
      <c r="AB178" s="3">
        <f>(N178-Pool!$D$2)/Pool!$E$2</f>
        <v/>
      </c>
      <c r="AC178" s="3">
        <f>(O178-Pool!$D$3)/Pool!$E$3</f>
        <v/>
      </c>
      <c r="AD178" s="3">
        <f>(P178-Pool!$D$4)/Pool!$E$4</f>
        <v/>
      </c>
      <c r="AE178" s="3">
        <f>(Q178-Pool!$D$5)/Pool!$E$5</f>
        <v/>
      </c>
      <c r="AF178" s="3">
        <f>(R178-Pool!$D$6)/Pool!$E$6</f>
        <v/>
      </c>
      <c r="AG178" s="3">
        <f>(S178-Pool!$D$7)/Pool!$E$7</f>
        <v/>
      </c>
      <c r="AH178" s="3">
        <f>(AS178-Pool!$D$8)/Pool!$E$8</f>
        <v/>
      </c>
      <c r="AI178" s="3">
        <f>(AT178-Pool!$D$9)/Pool!$E$9</f>
        <v/>
      </c>
      <c r="AJ178" s="3">
        <f>-(T178-Pool!$D$10)/Pool!$E$10</f>
        <v/>
      </c>
      <c r="AL178">
        <f>MATCH(B178,'Player Data'!$A:$A,0)</f>
        <v/>
      </c>
      <c r="AM178" s="3">
        <f>1+IF(Settings!$F$10="ON",IFERROR(VLOOKUP(TRIM(F178),Settings!$D$12:$F$17,3,FALSE),0),0)</f>
        <v/>
      </c>
      <c r="AN178">
        <f>IFERROR(LEFT(C178,FIND(",",C178)-1),C178)</f>
        <v/>
      </c>
      <c r="AO178" s="6">
        <f>X178*(U178-Pool!$B$12)</f>
        <v/>
      </c>
      <c r="AP178" s="6">
        <f>Z178*(V178-Pool!$B$13)</f>
        <v/>
      </c>
      <c r="AQ178" s="3">
        <f>Settings!$B$2*(N178-Pool!$B$2)/Pool!$C$2+Settings!$B$3*(O178-Pool!$B$3)/Pool!$C$3+Settings!$B$4*(P178-Pool!$B$4)/Pool!$C$4+Settings!$B$5*(Q178-Pool!$B$5)/Pool!$C$5+Settings!$B$6*(R178-Pool!$B$6)/Pool!$C$6+Settings!$B$7*(S178-Pool!$B$7)/Pool!$C$7+Settings!$B$8*(AO178-Pool!$B$8)/Pool!$C$8+Settings!$B$9*(AP178-Pool!$B$9)/Pool!$C$9+Settings!$B$10*-(T178-Pool!$B$10)/Pool!$C$10</f>
        <v/>
      </c>
      <c r="AR178">
        <f>IF(RANK(AQ178,$AQ$2:$AQ$266)&lt;=Settings!$F$5,1,0)</f>
        <v/>
      </c>
      <c r="AS178" s="6">
        <f>X178*(U178-Pool!$D$12)</f>
        <v/>
      </c>
      <c r="AT178" s="6">
        <f>Z178*(V178-Pool!$D$13)</f>
        <v/>
      </c>
    </row>
    <row r="179">
      <c r="A179">
        <f>RANK(H179,$H$2:$H$266)</f>
        <v/>
      </c>
      <c r="B179" t="inlineStr">
        <is>
          <t>Scotty Pippen Jr.</t>
        </is>
      </c>
      <c r="C179">
        <f>INDEX('Player Data'!$C:$C,AL179)</f>
        <v/>
      </c>
      <c r="D179">
        <f>SUMPRODUCT(($AN$2:$AN$266=AN179)*($H$2:$H$266&gt;H179))+1</f>
        <v/>
      </c>
      <c r="E179">
        <f>INDEX('Player Data'!$B:$B,AL179)</f>
        <v/>
      </c>
      <c r="F179" s="2" t="n"/>
      <c r="G179" s="3">
        <f>Settings!$B$2*AB179+Settings!$B$3*AC179+Settings!$B$4*AD179+Settings!$B$5*AE179+Settings!$B$6*AF179+Settings!$B$7*AG179+Settings!$B$8*AH179+Settings!$B$9*AI179+Settings!$B$10*AJ179</f>
        <v/>
      </c>
      <c r="H179" s="3">
        <f>G179-LARGE($G$2:$G$266,Settings!$F$4)</f>
        <v/>
      </c>
      <c r="I179">
        <f>IF(INDEX('Player Data'!$R:$R,AL179)="","",INDEX('Player Data'!$R:$R,AL179))</f>
        <v/>
      </c>
      <c r="J179" s="4">
        <f>IF(I179="","",I179-A179)</f>
        <v/>
      </c>
      <c r="L179" s="5">
        <f>IF(Settings!$F$7="Yes",INDEX('Minutes &amp; Health'!$O:$O,AL179),Settings!$F$8)</f>
        <v/>
      </c>
      <c r="M179" s="6">
        <f>INDEX('Minutes &amp; Health'!$P:$P,AL179)</f>
        <v/>
      </c>
      <c r="N179" s="5">
        <f>INDEX('Player Data'!$F:$F,AL179)/INDEX('Player Data'!$E:$E,AL179)*M179*L179*AM179</f>
        <v/>
      </c>
      <c r="O179" s="5">
        <f>INDEX('Player Data'!$G:$G,AL179)/INDEX('Player Data'!$E:$E,AL179)*M179*L179*AM179</f>
        <v/>
      </c>
      <c r="P179" s="5">
        <f>INDEX('Player Data'!$H:$H,AL179)/INDEX('Player Data'!$E:$E,AL179)*M179*L179*AM179</f>
        <v/>
      </c>
      <c r="Q179" s="5">
        <f>INDEX('Player Data'!$I:$I,AL179)/INDEX('Player Data'!$E:$E,AL179)*M179*L179*AM179</f>
        <v/>
      </c>
      <c r="R179" s="5">
        <f>INDEX('Player Data'!$J:$J,AL179)/INDEX('Player Data'!$E:$E,AL179)*M179*L179*AM179</f>
        <v/>
      </c>
      <c r="S179" s="5">
        <f>INDEX('Player Data'!$K:$K,AL179)/INDEX('Player Data'!$E:$E,AL179)*M179*L179*AM179</f>
        <v/>
      </c>
      <c r="T179" s="5">
        <f>INDEX('Player Data'!$L:$L,AL179)/INDEX('Player Data'!$E:$E,AL179)*M179*L179*AM179</f>
        <v/>
      </c>
      <c r="U179" s="7">
        <f>INDEX('Player Data'!$M:$M,AL179)</f>
        <v/>
      </c>
      <c r="V179" s="7">
        <f>INDEX('Player Data'!$N:$N,AL179)</f>
        <v/>
      </c>
      <c r="W179" s="5">
        <f>X179*U179</f>
        <v/>
      </c>
      <c r="X179" s="5">
        <f>INDEX('Player Data'!$O:$O,AL179)/INDEX('Player Data'!$E:$E,AL179)*M179*L179*AM179</f>
        <v/>
      </c>
      <c r="Y179" s="5">
        <f>Z179*V179</f>
        <v/>
      </c>
      <c r="Z179" s="5">
        <f>INDEX('Player Data'!$P:$P,AL179)/INDEX('Player Data'!$E:$E,AL179)*M179*L179*AM179</f>
        <v/>
      </c>
      <c r="AB179" s="3">
        <f>(N179-Pool!$D$2)/Pool!$E$2</f>
        <v/>
      </c>
      <c r="AC179" s="3">
        <f>(O179-Pool!$D$3)/Pool!$E$3</f>
        <v/>
      </c>
      <c r="AD179" s="3">
        <f>(P179-Pool!$D$4)/Pool!$E$4</f>
        <v/>
      </c>
      <c r="AE179" s="3">
        <f>(Q179-Pool!$D$5)/Pool!$E$5</f>
        <v/>
      </c>
      <c r="AF179" s="3">
        <f>(R179-Pool!$D$6)/Pool!$E$6</f>
        <v/>
      </c>
      <c r="AG179" s="3">
        <f>(S179-Pool!$D$7)/Pool!$E$7</f>
        <v/>
      </c>
      <c r="AH179" s="3">
        <f>(AS179-Pool!$D$8)/Pool!$E$8</f>
        <v/>
      </c>
      <c r="AI179" s="3">
        <f>(AT179-Pool!$D$9)/Pool!$E$9</f>
        <v/>
      </c>
      <c r="AJ179" s="3">
        <f>-(T179-Pool!$D$10)/Pool!$E$10</f>
        <v/>
      </c>
      <c r="AL179">
        <f>MATCH(B179,'Player Data'!$A:$A,0)</f>
        <v/>
      </c>
      <c r="AM179" s="3">
        <f>1+IF(Settings!$F$10="ON",IFERROR(VLOOKUP(TRIM(F179),Settings!$D$12:$F$17,3,FALSE),0),0)</f>
        <v/>
      </c>
      <c r="AN179">
        <f>IFERROR(LEFT(C179,FIND(",",C179)-1),C179)</f>
        <v/>
      </c>
      <c r="AO179" s="6">
        <f>X179*(U179-Pool!$B$12)</f>
        <v/>
      </c>
      <c r="AP179" s="6">
        <f>Z179*(V179-Pool!$B$13)</f>
        <v/>
      </c>
      <c r="AQ179" s="3">
        <f>Settings!$B$2*(N179-Pool!$B$2)/Pool!$C$2+Settings!$B$3*(O179-Pool!$B$3)/Pool!$C$3+Settings!$B$4*(P179-Pool!$B$4)/Pool!$C$4+Settings!$B$5*(Q179-Pool!$B$5)/Pool!$C$5+Settings!$B$6*(R179-Pool!$B$6)/Pool!$C$6+Settings!$B$7*(S179-Pool!$B$7)/Pool!$C$7+Settings!$B$8*(AO179-Pool!$B$8)/Pool!$C$8+Settings!$B$9*(AP179-Pool!$B$9)/Pool!$C$9+Settings!$B$10*-(T179-Pool!$B$10)/Pool!$C$10</f>
        <v/>
      </c>
      <c r="AR179">
        <f>IF(RANK(AQ179,$AQ$2:$AQ$266)&lt;=Settings!$F$5,1,0)</f>
        <v/>
      </c>
      <c r="AS179" s="6">
        <f>X179*(U179-Pool!$D$12)</f>
        <v/>
      </c>
      <c r="AT179" s="6">
        <f>Z179*(V179-Pool!$D$13)</f>
        <v/>
      </c>
    </row>
    <row r="180">
      <c r="A180">
        <f>RANK(H180,$H$2:$H$266)</f>
        <v/>
      </c>
      <c r="B180" t="inlineStr">
        <is>
          <t>Kevin Huerter</t>
        </is>
      </c>
      <c r="C180">
        <f>INDEX('Player Data'!$C:$C,AL180)</f>
        <v/>
      </c>
      <c r="D180">
        <f>SUMPRODUCT(($AN$2:$AN$266=AN180)*($H$2:$H$266&gt;H180))+1</f>
        <v/>
      </c>
      <c r="E180">
        <f>INDEX('Player Data'!$B:$B,AL180)</f>
        <v/>
      </c>
      <c r="F180" s="2" t="n"/>
      <c r="G180" s="3">
        <f>Settings!$B$2*AB180+Settings!$B$3*AC180+Settings!$B$4*AD180+Settings!$B$5*AE180+Settings!$B$6*AF180+Settings!$B$7*AG180+Settings!$B$8*AH180+Settings!$B$9*AI180+Settings!$B$10*AJ180</f>
        <v/>
      </c>
      <c r="H180" s="3">
        <f>G180-LARGE($G$2:$G$266,Settings!$F$4)</f>
        <v/>
      </c>
      <c r="I180">
        <f>IF(INDEX('Player Data'!$R:$R,AL180)="","",INDEX('Player Data'!$R:$R,AL180))</f>
        <v/>
      </c>
      <c r="J180" s="4">
        <f>IF(I180="","",I180-A180)</f>
        <v/>
      </c>
      <c r="L180" s="5">
        <f>IF(Settings!$F$7="Yes",INDEX('Minutes &amp; Health'!$O:$O,AL180),Settings!$F$8)</f>
        <v/>
      </c>
      <c r="M180" s="6">
        <f>INDEX('Minutes &amp; Health'!$P:$P,AL180)</f>
        <v/>
      </c>
      <c r="N180" s="5">
        <f>INDEX('Player Data'!$F:$F,AL180)/INDEX('Player Data'!$E:$E,AL180)*M180*L180*AM180</f>
        <v/>
      </c>
      <c r="O180" s="5">
        <f>INDEX('Player Data'!$G:$G,AL180)/INDEX('Player Data'!$E:$E,AL180)*M180*L180*AM180</f>
        <v/>
      </c>
      <c r="P180" s="5">
        <f>INDEX('Player Data'!$H:$H,AL180)/INDEX('Player Data'!$E:$E,AL180)*M180*L180*AM180</f>
        <v/>
      </c>
      <c r="Q180" s="5">
        <f>INDEX('Player Data'!$I:$I,AL180)/INDEX('Player Data'!$E:$E,AL180)*M180*L180*AM180</f>
        <v/>
      </c>
      <c r="R180" s="5">
        <f>INDEX('Player Data'!$J:$J,AL180)/INDEX('Player Data'!$E:$E,AL180)*M180*L180*AM180</f>
        <v/>
      </c>
      <c r="S180" s="5">
        <f>INDEX('Player Data'!$K:$K,AL180)/INDEX('Player Data'!$E:$E,AL180)*M180*L180*AM180</f>
        <v/>
      </c>
      <c r="T180" s="5">
        <f>INDEX('Player Data'!$L:$L,AL180)/INDEX('Player Data'!$E:$E,AL180)*M180*L180*AM180</f>
        <v/>
      </c>
      <c r="U180" s="7">
        <f>INDEX('Player Data'!$M:$M,AL180)</f>
        <v/>
      </c>
      <c r="V180" s="7">
        <f>INDEX('Player Data'!$N:$N,AL180)</f>
        <v/>
      </c>
      <c r="W180" s="5">
        <f>X180*U180</f>
        <v/>
      </c>
      <c r="X180" s="5">
        <f>INDEX('Player Data'!$O:$O,AL180)/INDEX('Player Data'!$E:$E,AL180)*M180*L180*AM180</f>
        <v/>
      </c>
      <c r="Y180" s="5">
        <f>Z180*V180</f>
        <v/>
      </c>
      <c r="Z180" s="5">
        <f>INDEX('Player Data'!$P:$P,AL180)/INDEX('Player Data'!$E:$E,AL180)*M180*L180*AM180</f>
        <v/>
      </c>
      <c r="AB180" s="3">
        <f>(N180-Pool!$D$2)/Pool!$E$2</f>
        <v/>
      </c>
      <c r="AC180" s="3">
        <f>(O180-Pool!$D$3)/Pool!$E$3</f>
        <v/>
      </c>
      <c r="AD180" s="3">
        <f>(P180-Pool!$D$4)/Pool!$E$4</f>
        <v/>
      </c>
      <c r="AE180" s="3">
        <f>(Q180-Pool!$D$5)/Pool!$E$5</f>
        <v/>
      </c>
      <c r="AF180" s="3">
        <f>(R180-Pool!$D$6)/Pool!$E$6</f>
        <v/>
      </c>
      <c r="AG180" s="3">
        <f>(S180-Pool!$D$7)/Pool!$E$7</f>
        <v/>
      </c>
      <c r="AH180" s="3">
        <f>(AS180-Pool!$D$8)/Pool!$E$8</f>
        <v/>
      </c>
      <c r="AI180" s="3">
        <f>(AT180-Pool!$D$9)/Pool!$E$9</f>
        <v/>
      </c>
      <c r="AJ180" s="3">
        <f>-(T180-Pool!$D$10)/Pool!$E$10</f>
        <v/>
      </c>
      <c r="AL180">
        <f>MATCH(B180,'Player Data'!$A:$A,0)</f>
        <v/>
      </c>
      <c r="AM180" s="3">
        <f>1+IF(Settings!$F$10="ON",IFERROR(VLOOKUP(TRIM(F180),Settings!$D$12:$F$17,3,FALSE),0),0)</f>
        <v/>
      </c>
      <c r="AN180">
        <f>IFERROR(LEFT(C180,FIND(",",C180)-1),C180)</f>
        <v/>
      </c>
      <c r="AO180" s="6">
        <f>X180*(U180-Pool!$B$12)</f>
        <v/>
      </c>
      <c r="AP180" s="6">
        <f>Z180*(V180-Pool!$B$13)</f>
        <v/>
      </c>
      <c r="AQ180" s="3">
        <f>Settings!$B$2*(N180-Pool!$B$2)/Pool!$C$2+Settings!$B$3*(O180-Pool!$B$3)/Pool!$C$3+Settings!$B$4*(P180-Pool!$B$4)/Pool!$C$4+Settings!$B$5*(Q180-Pool!$B$5)/Pool!$C$5+Settings!$B$6*(R180-Pool!$B$6)/Pool!$C$6+Settings!$B$7*(S180-Pool!$B$7)/Pool!$C$7+Settings!$B$8*(AO180-Pool!$B$8)/Pool!$C$8+Settings!$B$9*(AP180-Pool!$B$9)/Pool!$C$9+Settings!$B$10*-(T180-Pool!$B$10)/Pool!$C$10</f>
        <v/>
      </c>
      <c r="AR180">
        <f>IF(RANK(AQ180,$AQ$2:$AQ$266)&lt;=Settings!$F$5,1,0)</f>
        <v/>
      </c>
      <c r="AS180" s="6">
        <f>X180*(U180-Pool!$D$12)</f>
        <v/>
      </c>
      <c r="AT180" s="6">
        <f>Z180*(V180-Pool!$D$13)</f>
        <v/>
      </c>
    </row>
    <row r="181">
      <c r="A181">
        <f>RANK(H181,$H$2:$H$266)</f>
        <v/>
      </c>
      <c r="B181" t="inlineStr">
        <is>
          <t>Tre Jones</t>
        </is>
      </c>
      <c r="C181">
        <f>INDEX('Player Data'!$C:$C,AL181)</f>
        <v/>
      </c>
      <c r="D181">
        <f>SUMPRODUCT(($AN$2:$AN$266=AN181)*($H$2:$H$266&gt;H181))+1</f>
        <v/>
      </c>
      <c r="E181">
        <f>INDEX('Player Data'!$B:$B,AL181)</f>
        <v/>
      </c>
      <c r="F181" s="2" t="n"/>
      <c r="G181" s="3">
        <f>Settings!$B$2*AB181+Settings!$B$3*AC181+Settings!$B$4*AD181+Settings!$B$5*AE181+Settings!$B$6*AF181+Settings!$B$7*AG181+Settings!$B$8*AH181+Settings!$B$9*AI181+Settings!$B$10*AJ181</f>
        <v/>
      </c>
      <c r="H181" s="3">
        <f>G181-LARGE($G$2:$G$266,Settings!$F$4)</f>
        <v/>
      </c>
      <c r="I181">
        <f>IF(INDEX('Player Data'!$R:$R,AL181)="","",INDEX('Player Data'!$R:$R,AL181))</f>
        <v/>
      </c>
      <c r="J181" s="4">
        <f>IF(I181="","",I181-A181)</f>
        <v/>
      </c>
      <c r="L181" s="5">
        <f>IF(Settings!$F$7="Yes",INDEX('Minutes &amp; Health'!$O:$O,AL181),Settings!$F$8)</f>
        <v/>
      </c>
      <c r="M181" s="6">
        <f>INDEX('Minutes &amp; Health'!$P:$P,AL181)</f>
        <v/>
      </c>
      <c r="N181" s="5">
        <f>INDEX('Player Data'!$F:$F,AL181)/INDEX('Player Data'!$E:$E,AL181)*M181*L181*AM181</f>
        <v/>
      </c>
      <c r="O181" s="5">
        <f>INDEX('Player Data'!$G:$G,AL181)/INDEX('Player Data'!$E:$E,AL181)*M181*L181*AM181</f>
        <v/>
      </c>
      <c r="P181" s="5">
        <f>INDEX('Player Data'!$H:$H,AL181)/INDEX('Player Data'!$E:$E,AL181)*M181*L181*AM181</f>
        <v/>
      </c>
      <c r="Q181" s="5">
        <f>INDEX('Player Data'!$I:$I,AL181)/INDEX('Player Data'!$E:$E,AL181)*M181*L181*AM181</f>
        <v/>
      </c>
      <c r="R181" s="5">
        <f>INDEX('Player Data'!$J:$J,AL181)/INDEX('Player Data'!$E:$E,AL181)*M181*L181*AM181</f>
        <v/>
      </c>
      <c r="S181" s="5">
        <f>INDEX('Player Data'!$K:$K,AL181)/INDEX('Player Data'!$E:$E,AL181)*M181*L181*AM181</f>
        <v/>
      </c>
      <c r="T181" s="5">
        <f>INDEX('Player Data'!$L:$L,AL181)/INDEX('Player Data'!$E:$E,AL181)*M181*L181*AM181</f>
        <v/>
      </c>
      <c r="U181" s="7">
        <f>INDEX('Player Data'!$M:$M,AL181)</f>
        <v/>
      </c>
      <c r="V181" s="7">
        <f>INDEX('Player Data'!$N:$N,AL181)</f>
        <v/>
      </c>
      <c r="W181" s="5">
        <f>X181*U181</f>
        <v/>
      </c>
      <c r="X181" s="5">
        <f>INDEX('Player Data'!$O:$O,AL181)/INDEX('Player Data'!$E:$E,AL181)*M181*L181*AM181</f>
        <v/>
      </c>
      <c r="Y181" s="5">
        <f>Z181*V181</f>
        <v/>
      </c>
      <c r="Z181" s="5">
        <f>INDEX('Player Data'!$P:$P,AL181)/INDEX('Player Data'!$E:$E,AL181)*M181*L181*AM181</f>
        <v/>
      </c>
      <c r="AB181" s="3">
        <f>(N181-Pool!$D$2)/Pool!$E$2</f>
        <v/>
      </c>
      <c r="AC181" s="3">
        <f>(O181-Pool!$D$3)/Pool!$E$3</f>
        <v/>
      </c>
      <c r="AD181" s="3">
        <f>(P181-Pool!$D$4)/Pool!$E$4</f>
        <v/>
      </c>
      <c r="AE181" s="3">
        <f>(Q181-Pool!$D$5)/Pool!$E$5</f>
        <v/>
      </c>
      <c r="AF181" s="3">
        <f>(R181-Pool!$D$6)/Pool!$E$6</f>
        <v/>
      </c>
      <c r="AG181" s="3">
        <f>(S181-Pool!$D$7)/Pool!$E$7</f>
        <v/>
      </c>
      <c r="AH181" s="3">
        <f>(AS181-Pool!$D$8)/Pool!$E$8</f>
        <v/>
      </c>
      <c r="AI181" s="3">
        <f>(AT181-Pool!$D$9)/Pool!$E$9</f>
        <v/>
      </c>
      <c r="AJ181" s="3">
        <f>-(T181-Pool!$D$10)/Pool!$E$10</f>
        <v/>
      </c>
      <c r="AL181">
        <f>MATCH(B181,'Player Data'!$A:$A,0)</f>
        <v/>
      </c>
      <c r="AM181" s="3">
        <f>1+IF(Settings!$F$10="ON",IFERROR(VLOOKUP(TRIM(F181),Settings!$D$12:$F$17,3,FALSE),0),0)</f>
        <v/>
      </c>
      <c r="AN181">
        <f>IFERROR(LEFT(C181,FIND(",",C181)-1),C181)</f>
        <v/>
      </c>
      <c r="AO181" s="6">
        <f>X181*(U181-Pool!$B$12)</f>
        <v/>
      </c>
      <c r="AP181" s="6">
        <f>Z181*(V181-Pool!$B$13)</f>
        <v/>
      </c>
      <c r="AQ181" s="3">
        <f>Settings!$B$2*(N181-Pool!$B$2)/Pool!$C$2+Settings!$B$3*(O181-Pool!$B$3)/Pool!$C$3+Settings!$B$4*(P181-Pool!$B$4)/Pool!$C$4+Settings!$B$5*(Q181-Pool!$B$5)/Pool!$C$5+Settings!$B$6*(R181-Pool!$B$6)/Pool!$C$6+Settings!$B$7*(S181-Pool!$B$7)/Pool!$C$7+Settings!$B$8*(AO181-Pool!$B$8)/Pool!$C$8+Settings!$B$9*(AP181-Pool!$B$9)/Pool!$C$9+Settings!$B$10*-(T181-Pool!$B$10)/Pool!$C$10</f>
        <v/>
      </c>
      <c r="AR181">
        <f>IF(RANK(AQ181,$AQ$2:$AQ$266)&lt;=Settings!$F$5,1,0)</f>
        <v/>
      </c>
      <c r="AS181" s="6">
        <f>X181*(U181-Pool!$D$12)</f>
        <v/>
      </c>
      <c r="AT181" s="6">
        <f>Z181*(V181-Pool!$D$13)</f>
        <v/>
      </c>
    </row>
    <row r="182">
      <c r="A182">
        <f>RANK(H182,$H$2:$H$266)</f>
        <v/>
      </c>
      <c r="B182" t="inlineStr">
        <is>
          <t>Jusuf Nurkic</t>
        </is>
      </c>
      <c r="C182">
        <f>INDEX('Player Data'!$C:$C,AL182)</f>
        <v/>
      </c>
      <c r="D182">
        <f>SUMPRODUCT(($AN$2:$AN$266=AN182)*($H$2:$H$266&gt;H182))+1</f>
        <v/>
      </c>
      <c r="E182">
        <f>INDEX('Player Data'!$B:$B,AL182)</f>
        <v/>
      </c>
      <c r="F182" s="2" t="n"/>
      <c r="G182" s="3">
        <f>Settings!$B$2*AB182+Settings!$B$3*AC182+Settings!$B$4*AD182+Settings!$B$5*AE182+Settings!$B$6*AF182+Settings!$B$7*AG182+Settings!$B$8*AH182+Settings!$B$9*AI182+Settings!$B$10*AJ182</f>
        <v/>
      </c>
      <c r="H182" s="3">
        <f>G182-LARGE($G$2:$G$266,Settings!$F$4)</f>
        <v/>
      </c>
      <c r="I182">
        <f>IF(INDEX('Player Data'!$R:$R,AL182)="","",INDEX('Player Data'!$R:$R,AL182))</f>
        <v/>
      </c>
      <c r="J182" s="4">
        <f>IF(I182="","",I182-A182)</f>
        <v/>
      </c>
      <c r="L182" s="5">
        <f>IF(Settings!$F$7="Yes",INDEX('Minutes &amp; Health'!$O:$O,AL182),Settings!$F$8)</f>
        <v/>
      </c>
      <c r="M182" s="6">
        <f>INDEX('Minutes &amp; Health'!$P:$P,AL182)</f>
        <v/>
      </c>
      <c r="N182" s="5">
        <f>INDEX('Player Data'!$F:$F,AL182)/INDEX('Player Data'!$E:$E,AL182)*M182*L182*AM182</f>
        <v/>
      </c>
      <c r="O182" s="5">
        <f>INDEX('Player Data'!$G:$G,AL182)/INDEX('Player Data'!$E:$E,AL182)*M182*L182*AM182</f>
        <v/>
      </c>
      <c r="P182" s="5">
        <f>INDEX('Player Data'!$H:$H,AL182)/INDEX('Player Data'!$E:$E,AL182)*M182*L182*AM182</f>
        <v/>
      </c>
      <c r="Q182" s="5">
        <f>INDEX('Player Data'!$I:$I,AL182)/INDEX('Player Data'!$E:$E,AL182)*M182*L182*AM182</f>
        <v/>
      </c>
      <c r="R182" s="5">
        <f>INDEX('Player Data'!$J:$J,AL182)/INDEX('Player Data'!$E:$E,AL182)*M182*L182*AM182</f>
        <v/>
      </c>
      <c r="S182" s="5">
        <f>INDEX('Player Data'!$K:$K,AL182)/INDEX('Player Data'!$E:$E,AL182)*M182*L182*AM182</f>
        <v/>
      </c>
      <c r="T182" s="5">
        <f>INDEX('Player Data'!$L:$L,AL182)/INDEX('Player Data'!$E:$E,AL182)*M182*L182*AM182</f>
        <v/>
      </c>
      <c r="U182" s="7">
        <f>INDEX('Player Data'!$M:$M,AL182)</f>
        <v/>
      </c>
      <c r="V182" s="7">
        <f>INDEX('Player Data'!$N:$N,AL182)</f>
        <v/>
      </c>
      <c r="W182" s="5">
        <f>X182*U182</f>
        <v/>
      </c>
      <c r="X182" s="5">
        <f>INDEX('Player Data'!$O:$O,AL182)/INDEX('Player Data'!$E:$E,AL182)*M182*L182*AM182</f>
        <v/>
      </c>
      <c r="Y182" s="5">
        <f>Z182*V182</f>
        <v/>
      </c>
      <c r="Z182" s="5">
        <f>INDEX('Player Data'!$P:$P,AL182)/INDEX('Player Data'!$E:$E,AL182)*M182*L182*AM182</f>
        <v/>
      </c>
      <c r="AB182" s="3">
        <f>(N182-Pool!$D$2)/Pool!$E$2</f>
        <v/>
      </c>
      <c r="AC182" s="3">
        <f>(O182-Pool!$D$3)/Pool!$E$3</f>
        <v/>
      </c>
      <c r="AD182" s="3">
        <f>(P182-Pool!$D$4)/Pool!$E$4</f>
        <v/>
      </c>
      <c r="AE182" s="3">
        <f>(Q182-Pool!$D$5)/Pool!$E$5</f>
        <v/>
      </c>
      <c r="AF182" s="3">
        <f>(R182-Pool!$D$6)/Pool!$E$6</f>
        <v/>
      </c>
      <c r="AG182" s="3">
        <f>(S182-Pool!$D$7)/Pool!$E$7</f>
        <v/>
      </c>
      <c r="AH182" s="3">
        <f>(AS182-Pool!$D$8)/Pool!$E$8</f>
        <v/>
      </c>
      <c r="AI182" s="3">
        <f>(AT182-Pool!$D$9)/Pool!$E$9</f>
        <v/>
      </c>
      <c r="AJ182" s="3">
        <f>-(T182-Pool!$D$10)/Pool!$E$10</f>
        <v/>
      </c>
      <c r="AL182">
        <f>MATCH(B182,'Player Data'!$A:$A,0)</f>
        <v/>
      </c>
      <c r="AM182" s="3">
        <f>1+IF(Settings!$F$10="ON",IFERROR(VLOOKUP(TRIM(F182),Settings!$D$12:$F$17,3,FALSE),0),0)</f>
        <v/>
      </c>
      <c r="AN182">
        <f>IFERROR(LEFT(C182,FIND(",",C182)-1),C182)</f>
        <v/>
      </c>
      <c r="AO182" s="6">
        <f>X182*(U182-Pool!$B$12)</f>
        <v/>
      </c>
      <c r="AP182" s="6">
        <f>Z182*(V182-Pool!$B$13)</f>
        <v/>
      </c>
      <c r="AQ182" s="3">
        <f>Settings!$B$2*(N182-Pool!$B$2)/Pool!$C$2+Settings!$B$3*(O182-Pool!$B$3)/Pool!$C$3+Settings!$B$4*(P182-Pool!$B$4)/Pool!$C$4+Settings!$B$5*(Q182-Pool!$B$5)/Pool!$C$5+Settings!$B$6*(R182-Pool!$B$6)/Pool!$C$6+Settings!$B$7*(S182-Pool!$B$7)/Pool!$C$7+Settings!$B$8*(AO182-Pool!$B$8)/Pool!$C$8+Settings!$B$9*(AP182-Pool!$B$9)/Pool!$C$9+Settings!$B$10*-(T182-Pool!$B$10)/Pool!$C$10</f>
        <v/>
      </c>
      <c r="AR182">
        <f>IF(RANK(AQ182,$AQ$2:$AQ$266)&lt;=Settings!$F$5,1,0)</f>
        <v/>
      </c>
      <c r="AS182" s="6">
        <f>X182*(U182-Pool!$D$12)</f>
        <v/>
      </c>
      <c r="AT182" s="6">
        <f>Z182*(V182-Pool!$D$13)</f>
        <v/>
      </c>
    </row>
    <row r="183">
      <c r="A183">
        <f>RANK(H183,$H$2:$H$266)</f>
        <v/>
      </c>
      <c r="B183" t="inlineStr">
        <is>
          <t>Jaime Jaquez Jr.</t>
        </is>
      </c>
      <c r="C183">
        <f>INDEX('Player Data'!$C:$C,AL183)</f>
        <v/>
      </c>
      <c r="D183">
        <f>SUMPRODUCT(($AN$2:$AN$266=AN183)*($H$2:$H$266&gt;H183))+1</f>
        <v/>
      </c>
      <c r="E183">
        <f>INDEX('Player Data'!$B:$B,AL183)</f>
        <v/>
      </c>
      <c r="F183" s="2" t="n"/>
      <c r="G183" s="3">
        <f>Settings!$B$2*AB183+Settings!$B$3*AC183+Settings!$B$4*AD183+Settings!$B$5*AE183+Settings!$B$6*AF183+Settings!$B$7*AG183+Settings!$B$8*AH183+Settings!$B$9*AI183+Settings!$B$10*AJ183</f>
        <v/>
      </c>
      <c r="H183" s="3">
        <f>G183-LARGE($G$2:$G$266,Settings!$F$4)</f>
        <v/>
      </c>
      <c r="I183">
        <f>IF(INDEX('Player Data'!$R:$R,AL183)="","",INDEX('Player Data'!$R:$R,AL183))</f>
        <v/>
      </c>
      <c r="J183" s="4">
        <f>IF(I183="","",I183-A183)</f>
        <v/>
      </c>
      <c r="L183" s="5">
        <f>IF(Settings!$F$7="Yes",INDEX('Minutes &amp; Health'!$O:$O,AL183),Settings!$F$8)</f>
        <v/>
      </c>
      <c r="M183" s="6">
        <f>INDEX('Minutes &amp; Health'!$P:$P,AL183)</f>
        <v/>
      </c>
      <c r="N183" s="5">
        <f>INDEX('Player Data'!$F:$F,AL183)/INDEX('Player Data'!$E:$E,AL183)*M183*L183*AM183</f>
        <v/>
      </c>
      <c r="O183" s="5">
        <f>INDEX('Player Data'!$G:$G,AL183)/INDEX('Player Data'!$E:$E,AL183)*M183*L183*AM183</f>
        <v/>
      </c>
      <c r="P183" s="5">
        <f>INDEX('Player Data'!$H:$H,AL183)/INDEX('Player Data'!$E:$E,AL183)*M183*L183*AM183</f>
        <v/>
      </c>
      <c r="Q183" s="5">
        <f>INDEX('Player Data'!$I:$I,AL183)/INDEX('Player Data'!$E:$E,AL183)*M183*L183*AM183</f>
        <v/>
      </c>
      <c r="R183" s="5">
        <f>INDEX('Player Data'!$J:$J,AL183)/INDEX('Player Data'!$E:$E,AL183)*M183*L183*AM183</f>
        <v/>
      </c>
      <c r="S183" s="5">
        <f>INDEX('Player Data'!$K:$K,AL183)/INDEX('Player Data'!$E:$E,AL183)*M183*L183*AM183</f>
        <v/>
      </c>
      <c r="T183" s="5">
        <f>INDEX('Player Data'!$L:$L,AL183)/INDEX('Player Data'!$E:$E,AL183)*M183*L183*AM183</f>
        <v/>
      </c>
      <c r="U183" s="7">
        <f>INDEX('Player Data'!$M:$M,AL183)</f>
        <v/>
      </c>
      <c r="V183" s="7">
        <f>INDEX('Player Data'!$N:$N,AL183)</f>
        <v/>
      </c>
      <c r="W183" s="5">
        <f>X183*U183</f>
        <v/>
      </c>
      <c r="X183" s="5">
        <f>INDEX('Player Data'!$O:$O,AL183)/INDEX('Player Data'!$E:$E,AL183)*M183*L183*AM183</f>
        <v/>
      </c>
      <c r="Y183" s="5">
        <f>Z183*V183</f>
        <v/>
      </c>
      <c r="Z183" s="5">
        <f>INDEX('Player Data'!$P:$P,AL183)/INDEX('Player Data'!$E:$E,AL183)*M183*L183*AM183</f>
        <v/>
      </c>
      <c r="AB183" s="3">
        <f>(N183-Pool!$D$2)/Pool!$E$2</f>
        <v/>
      </c>
      <c r="AC183" s="3">
        <f>(O183-Pool!$D$3)/Pool!$E$3</f>
        <v/>
      </c>
      <c r="AD183" s="3">
        <f>(P183-Pool!$D$4)/Pool!$E$4</f>
        <v/>
      </c>
      <c r="AE183" s="3">
        <f>(Q183-Pool!$D$5)/Pool!$E$5</f>
        <v/>
      </c>
      <c r="AF183" s="3">
        <f>(R183-Pool!$D$6)/Pool!$E$6</f>
        <v/>
      </c>
      <c r="AG183" s="3">
        <f>(S183-Pool!$D$7)/Pool!$E$7</f>
        <v/>
      </c>
      <c r="AH183" s="3">
        <f>(AS183-Pool!$D$8)/Pool!$E$8</f>
        <v/>
      </c>
      <c r="AI183" s="3">
        <f>(AT183-Pool!$D$9)/Pool!$E$9</f>
        <v/>
      </c>
      <c r="AJ183" s="3">
        <f>-(T183-Pool!$D$10)/Pool!$E$10</f>
        <v/>
      </c>
      <c r="AL183">
        <f>MATCH(B183,'Player Data'!$A:$A,0)</f>
        <v/>
      </c>
      <c r="AM183" s="3">
        <f>1+IF(Settings!$F$10="ON",IFERROR(VLOOKUP(TRIM(F183),Settings!$D$12:$F$17,3,FALSE),0),0)</f>
        <v/>
      </c>
      <c r="AN183">
        <f>IFERROR(LEFT(C183,FIND(",",C183)-1),C183)</f>
        <v/>
      </c>
      <c r="AO183" s="6">
        <f>X183*(U183-Pool!$B$12)</f>
        <v/>
      </c>
      <c r="AP183" s="6">
        <f>Z183*(V183-Pool!$B$13)</f>
        <v/>
      </c>
      <c r="AQ183" s="3">
        <f>Settings!$B$2*(N183-Pool!$B$2)/Pool!$C$2+Settings!$B$3*(O183-Pool!$B$3)/Pool!$C$3+Settings!$B$4*(P183-Pool!$B$4)/Pool!$C$4+Settings!$B$5*(Q183-Pool!$B$5)/Pool!$C$5+Settings!$B$6*(R183-Pool!$B$6)/Pool!$C$6+Settings!$B$7*(S183-Pool!$B$7)/Pool!$C$7+Settings!$B$8*(AO183-Pool!$B$8)/Pool!$C$8+Settings!$B$9*(AP183-Pool!$B$9)/Pool!$C$9+Settings!$B$10*-(T183-Pool!$B$10)/Pool!$C$10</f>
        <v/>
      </c>
      <c r="AR183">
        <f>IF(RANK(AQ183,$AQ$2:$AQ$266)&lt;=Settings!$F$5,1,0)</f>
        <v/>
      </c>
      <c r="AS183" s="6">
        <f>X183*(U183-Pool!$D$12)</f>
        <v/>
      </c>
      <c r="AT183" s="6">
        <f>Z183*(V183-Pool!$D$13)</f>
        <v/>
      </c>
    </row>
    <row r="184">
      <c r="A184">
        <f>RANK(H184,$H$2:$H$266)</f>
        <v/>
      </c>
      <c r="B184" t="inlineStr">
        <is>
          <t>De'Andre Hunter</t>
        </is>
      </c>
      <c r="C184">
        <f>INDEX('Player Data'!$C:$C,AL184)</f>
        <v/>
      </c>
      <c r="D184">
        <f>SUMPRODUCT(($AN$2:$AN$266=AN184)*($H$2:$H$266&gt;H184))+1</f>
        <v/>
      </c>
      <c r="E184">
        <f>INDEX('Player Data'!$B:$B,AL184)</f>
        <v/>
      </c>
      <c r="F184" s="2" t="n"/>
      <c r="G184" s="3">
        <f>Settings!$B$2*AB184+Settings!$B$3*AC184+Settings!$B$4*AD184+Settings!$B$5*AE184+Settings!$B$6*AF184+Settings!$B$7*AG184+Settings!$B$8*AH184+Settings!$B$9*AI184+Settings!$B$10*AJ184</f>
        <v/>
      </c>
      <c r="H184" s="3">
        <f>G184-LARGE($G$2:$G$266,Settings!$F$4)</f>
        <v/>
      </c>
      <c r="I184">
        <f>IF(INDEX('Player Data'!$R:$R,AL184)="","",INDEX('Player Data'!$R:$R,AL184))</f>
        <v/>
      </c>
      <c r="J184" s="4">
        <f>IF(I184="","",I184-A184)</f>
        <v/>
      </c>
      <c r="L184" s="5">
        <f>IF(Settings!$F$7="Yes",INDEX('Minutes &amp; Health'!$O:$O,AL184),Settings!$F$8)</f>
        <v/>
      </c>
      <c r="M184" s="6">
        <f>INDEX('Minutes &amp; Health'!$P:$P,AL184)</f>
        <v/>
      </c>
      <c r="N184" s="5">
        <f>INDEX('Player Data'!$F:$F,AL184)/INDEX('Player Data'!$E:$E,AL184)*M184*L184*AM184</f>
        <v/>
      </c>
      <c r="O184" s="5">
        <f>INDEX('Player Data'!$G:$G,AL184)/INDEX('Player Data'!$E:$E,AL184)*M184*L184*AM184</f>
        <v/>
      </c>
      <c r="P184" s="5">
        <f>INDEX('Player Data'!$H:$H,AL184)/INDEX('Player Data'!$E:$E,AL184)*M184*L184*AM184</f>
        <v/>
      </c>
      <c r="Q184" s="5">
        <f>INDEX('Player Data'!$I:$I,AL184)/INDEX('Player Data'!$E:$E,AL184)*M184*L184*AM184</f>
        <v/>
      </c>
      <c r="R184" s="5">
        <f>INDEX('Player Data'!$J:$J,AL184)/INDEX('Player Data'!$E:$E,AL184)*M184*L184*AM184</f>
        <v/>
      </c>
      <c r="S184" s="5">
        <f>INDEX('Player Data'!$K:$K,AL184)/INDEX('Player Data'!$E:$E,AL184)*M184*L184*AM184</f>
        <v/>
      </c>
      <c r="T184" s="5">
        <f>INDEX('Player Data'!$L:$L,AL184)/INDEX('Player Data'!$E:$E,AL184)*M184*L184*AM184</f>
        <v/>
      </c>
      <c r="U184" s="7">
        <f>INDEX('Player Data'!$M:$M,AL184)</f>
        <v/>
      </c>
      <c r="V184" s="7">
        <f>INDEX('Player Data'!$N:$N,AL184)</f>
        <v/>
      </c>
      <c r="W184" s="5">
        <f>X184*U184</f>
        <v/>
      </c>
      <c r="X184" s="5">
        <f>INDEX('Player Data'!$O:$O,AL184)/INDEX('Player Data'!$E:$E,AL184)*M184*L184*AM184</f>
        <v/>
      </c>
      <c r="Y184" s="5">
        <f>Z184*V184</f>
        <v/>
      </c>
      <c r="Z184" s="5">
        <f>INDEX('Player Data'!$P:$P,AL184)/INDEX('Player Data'!$E:$E,AL184)*M184*L184*AM184</f>
        <v/>
      </c>
      <c r="AB184" s="3">
        <f>(N184-Pool!$D$2)/Pool!$E$2</f>
        <v/>
      </c>
      <c r="AC184" s="3">
        <f>(O184-Pool!$D$3)/Pool!$E$3</f>
        <v/>
      </c>
      <c r="AD184" s="3">
        <f>(P184-Pool!$D$4)/Pool!$E$4</f>
        <v/>
      </c>
      <c r="AE184" s="3">
        <f>(Q184-Pool!$D$5)/Pool!$E$5</f>
        <v/>
      </c>
      <c r="AF184" s="3">
        <f>(R184-Pool!$D$6)/Pool!$E$6</f>
        <v/>
      </c>
      <c r="AG184" s="3">
        <f>(S184-Pool!$D$7)/Pool!$E$7</f>
        <v/>
      </c>
      <c r="AH184" s="3">
        <f>(AS184-Pool!$D$8)/Pool!$E$8</f>
        <v/>
      </c>
      <c r="AI184" s="3">
        <f>(AT184-Pool!$D$9)/Pool!$E$9</f>
        <v/>
      </c>
      <c r="AJ184" s="3">
        <f>-(T184-Pool!$D$10)/Pool!$E$10</f>
        <v/>
      </c>
      <c r="AL184">
        <f>MATCH(B184,'Player Data'!$A:$A,0)</f>
        <v/>
      </c>
      <c r="AM184" s="3">
        <f>1+IF(Settings!$F$10="ON",IFERROR(VLOOKUP(TRIM(F184),Settings!$D$12:$F$17,3,FALSE),0),0)</f>
        <v/>
      </c>
      <c r="AN184">
        <f>IFERROR(LEFT(C184,FIND(",",C184)-1),C184)</f>
        <v/>
      </c>
      <c r="AO184" s="6">
        <f>X184*(U184-Pool!$B$12)</f>
        <v/>
      </c>
      <c r="AP184" s="6">
        <f>Z184*(V184-Pool!$B$13)</f>
        <v/>
      </c>
      <c r="AQ184" s="3">
        <f>Settings!$B$2*(N184-Pool!$B$2)/Pool!$C$2+Settings!$B$3*(O184-Pool!$B$3)/Pool!$C$3+Settings!$B$4*(P184-Pool!$B$4)/Pool!$C$4+Settings!$B$5*(Q184-Pool!$B$5)/Pool!$C$5+Settings!$B$6*(R184-Pool!$B$6)/Pool!$C$6+Settings!$B$7*(S184-Pool!$B$7)/Pool!$C$7+Settings!$B$8*(AO184-Pool!$B$8)/Pool!$C$8+Settings!$B$9*(AP184-Pool!$B$9)/Pool!$C$9+Settings!$B$10*-(T184-Pool!$B$10)/Pool!$C$10</f>
        <v/>
      </c>
      <c r="AR184">
        <f>IF(RANK(AQ184,$AQ$2:$AQ$266)&lt;=Settings!$F$5,1,0)</f>
        <v/>
      </c>
      <c r="AS184" s="6">
        <f>X184*(U184-Pool!$D$12)</f>
        <v/>
      </c>
      <c r="AT184" s="6">
        <f>Z184*(V184-Pool!$D$13)</f>
        <v/>
      </c>
    </row>
    <row r="185">
      <c r="A185">
        <f>RANK(H185,$H$2:$H$266)</f>
        <v/>
      </c>
      <c r="B185" t="inlineStr">
        <is>
          <t>Ryan Kalkbrenner</t>
        </is>
      </c>
      <c r="C185">
        <f>INDEX('Player Data'!$C:$C,AL185)</f>
        <v/>
      </c>
      <c r="D185">
        <f>SUMPRODUCT(($AN$2:$AN$266=AN185)*($H$2:$H$266&gt;H185))+1</f>
        <v/>
      </c>
      <c r="E185">
        <f>INDEX('Player Data'!$B:$B,AL185)</f>
        <v/>
      </c>
      <c r="F185" s="2" t="n"/>
      <c r="G185" s="3">
        <f>Settings!$B$2*AB185+Settings!$B$3*AC185+Settings!$B$4*AD185+Settings!$B$5*AE185+Settings!$B$6*AF185+Settings!$B$7*AG185+Settings!$B$8*AH185+Settings!$B$9*AI185+Settings!$B$10*AJ185</f>
        <v/>
      </c>
      <c r="H185" s="3">
        <f>G185-LARGE($G$2:$G$266,Settings!$F$4)</f>
        <v/>
      </c>
      <c r="I185">
        <f>IF(INDEX('Player Data'!$R:$R,AL185)="","",INDEX('Player Data'!$R:$R,AL185))</f>
        <v/>
      </c>
      <c r="J185" s="4">
        <f>IF(I185="","",I185-A185)</f>
        <v/>
      </c>
      <c r="L185" s="5">
        <f>IF(Settings!$F$7="Yes",INDEX('Minutes &amp; Health'!$O:$O,AL185),Settings!$F$8)</f>
        <v/>
      </c>
      <c r="M185" s="6">
        <f>INDEX('Minutes &amp; Health'!$P:$P,AL185)</f>
        <v/>
      </c>
      <c r="N185" s="5">
        <f>INDEX('Player Data'!$F:$F,AL185)/INDEX('Player Data'!$E:$E,AL185)*M185*L185*AM185</f>
        <v/>
      </c>
      <c r="O185" s="5">
        <f>INDEX('Player Data'!$G:$G,AL185)/INDEX('Player Data'!$E:$E,AL185)*M185*L185*AM185</f>
        <v/>
      </c>
      <c r="P185" s="5">
        <f>INDEX('Player Data'!$H:$H,AL185)/INDEX('Player Data'!$E:$E,AL185)*M185*L185*AM185</f>
        <v/>
      </c>
      <c r="Q185" s="5">
        <f>INDEX('Player Data'!$I:$I,AL185)/INDEX('Player Data'!$E:$E,AL185)*M185*L185*AM185</f>
        <v/>
      </c>
      <c r="R185" s="5">
        <f>INDEX('Player Data'!$J:$J,AL185)/INDEX('Player Data'!$E:$E,AL185)*M185*L185*AM185</f>
        <v/>
      </c>
      <c r="S185" s="5">
        <f>INDEX('Player Data'!$K:$K,AL185)/INDEX('Player Data'!$E:$E,AL185)*M185*L185*AM185</f>
        <v/>
      </c>
      <c r="T185" s="5">
        <f>INDEX('Player Data'!$L:$L,AL185)/INDEX('Player Data'!$E:$E,AL185)*M185*L185*AM185</f>
        <v/>
      </c>
      <c r="U185" s="7">
        <f>INDEX('Player Data'!$M:$M,AL185)</f>
        <v/>
      </c>
      <c r="V185" s="7">
        <f>INDEX('Player Data'!$N:$N,AL185)</f>
        <v/>
      </c>
      <c r="W185" s="5">
        <f>X185*U185</f>
        <v/>
      </c>
      <c r="X185" s="5">
        <f>INDEX('Player Data'!$O:$O,AL185)/INDEX('Player Data'!$E:$E,AL185)*M185*L185*AM185</f>
        <v/>
      </c>
      <c r="Y185" s="5">
        <f>Z185*V185</f>
        <v/>
      </c>
      <c r="Z185" s="5">
        <f>INDEX('Player Data'!$P:$P,AL185)/INDEX('Player Data'!$E:$E,AL185)*M185*L185*AM185</f>
        <v/>
      </c>
      <c r="AB185" s="3">
        <f>(N185-Pool!$D$2)/Pool!$E$2</f>
        <v/>
      </c>
      <c r="AC185" s="3">
        <f>(O185-Pool!$D$3)/Pool!$E$3</f>
        <v/>
      </c>
      <c r="AD185" s="3">
        <f>(P185-Pool!$D$4)/Pool!$E$4</f>
        <v/>
      </c>
      <c r="AE185" s="3">
        <f>(Q185-Pool!$D$5)/Pool!$E$5</f>
        <v/>
      </c>
      <c r="AF185" s="3">
        <f>(R185-Pool!$D$6)/Pool!$E$6</f>
        <v/>
      </c>
      <c r="AG185" s="3">
        <f>(S185-Pool!$D$7)/Pool!$E$7</f>
        <v/>
      </c>
      <c r="AH185" s="3">
        <f>(AS185-Pool!$D$8)/Pool!$E$8</f>
        <v/>
      </c>
      <c r="AI185" s="3">
        <f>(AT185-Pool!$D$9)/Pool!$E$9</f>
        <v/>
      </c>
      <c r="AJ185" s="3">
        <f>-(T185-Pool!$D$10)/Pool!$E$10</f>
        <v/>
      </c>
      <c r="AL185">
        <f>MATCH(B185,'Player Data'!$A:$A,0)</f>
        <v/>
      </c>
      <c r="AM185" s="3">
        <f>1+IF(Settings!$F$10="ON",IFERROR(VLOOKUP(TRIM(F185),Settings!$D$12:$F$17,3,FALSE),0),0)</f>
        <v/>
      </c>
      <c r="AN185">
        <f>IFERROR(LEFT(C185,FIND(",",C185)-1),C185)</f>
        <v/>
      </c>
      <c r="AO185" s="6">
        <f>X185*(U185-Pool!$B$12)</f>
        <v/>
      </c>
      <c r="AP185" s="6">
        <f>Z185*(V185-Pool!$B$13)</f>
        <v/>
      </c>
      <c r="AQ185" s="3">
        <f>Settings!$B$2*(N185-Pool!$B$2)/Pool!$C$2+Settings!$B$3*(O185-Pool!$B$3)/Pool!$C$3+Settings!$B$4*(P185-Pool!$B$4)/Pool!$C$4+Settings!$B$5*(Q185-Pool!$B$5)/Pool!$C$5+Settings!$B$6*(R185-Pool!$B$6)/Pool!$C$6+Settings!$B$7*(S185-Pool!$B$7)/Pool!$C$7+Settings!$B$8*(AO185-Pool!$B$8)/Pool!$C$8+Settings!$B$9*(AP185-Pool!$B$9)/Pool!$C$9+Settings!$B$10*-(T185-Pool!$B$10)/Pool!$C$10</f>
        <v/>
      </c>
      <c r="AR185">
        <f>IF(RANK(AQ185,$AQ$2:$AQ$266)&lt;=Settings!$F$5,1,0)</f>
        <v/>
      </c>
      <c r="AS185" s="6">
        <f>X185*(U185-Pool!$D$12)</f>
        <v/>
      </c>
      <c r="AT185" s="6">
        <f>Z185*(V185-Pool!$D$13)</f>
        <v/>
      </c>
    </row>
    <row r="186">
      <c r="A186">
        <f>RANK(H186,$H$2:$H$266)</f>
        <v/>
      </c>
      <c r="B186" t="inlineStr">
        <is>
          <t>Malik Monk</t>
        </is>
      </c>
      <c r="C186">
        <f>INDEX('Player Data'!$C:$C,AL186)</f>
        <v/>
      </c>
      <c r="D186">
        <f>SUMPRODUCT(($AN$2:$AN$266=AN186)*($H$2:$H$266&gt;H186))+1</f>
        <v/>
      </c>
      <c r="E186">
        <f>INDEX('Player Data'!$B:$B,AL186)</f>
        <v/>
      </c>
      <c r="F186" s="2" t="n"/>
      <c r="G186" s="3">
        <f>Settings!$B$2*AB186+Settings!$B$3*AC186+Settings!$B$4*AD186+Settings!$B$5*AE186+Settings!$B$6*AF186+Settings!$B$7*AG186+Settings!$B$8*AH186+Settings!$B$9*AI186+Settings!$B$10*AJ186</f>
        <v/>
      </c>
      <c r="H186" s="3">
        <f>G186-LARGE($G$2:$G$266,Settings!$F$4)</f>
        <v/>
      </c>
      <c r="I186">
        <f>IF(INDEX('Player Data'!$R:$R,AL186)="","",INDEX('Player Data'!$R:$R,AL186))</f>
        <v/>
      </c>
      <c r="J186" s="4">
        <f>IF(I186="","",I186-A186)</f>
        <v/>
      </c>
      <c r="L186" s="5">
        <f>IF(Settings!$F$7="Yes",INDEX('Minutes &amp; Health'!$O:$O,AL186),Settings!$F$8)</f>
        <v/>
      </c>
      <c r="M186" s="6">
        <f>INDEX('Minutes &amp; Health'!$P:$P,AL186)</f>
        <v/>
      </c>
      <c r="N186" s="5">
        <f>INDEX('Player Data'!$F:$F,AL186)/INDEX('Player Data'!$E:$E,AL186)*M186*L186*AM186</f>
        <v/>
      </c>
      <c r="O186" s="5">
        <f>INDEX('Player Data'!$G:$G,AL186)/INDEX('Player Data'!$E:$E,AL186)*M186*L186*AM186</f>
        <v/>
      </c>
      <c r="P186" s="5">
        <f>INDEX('Player Data'!$H:$H,AL186)/INDEX('Player Data'!$E:$E,AL186)*M186*L186*AM186</f>
        <v/>
      </c>
      <c r="Q186" s="5">
        <f>INDEX('Player Data'!$I:$I,AL186)/INDEX('Player Data'!$E:$E,AL186)*M186*L186*AM186</f>
        <v/>
      </c>
      <c r="R186" s="5">
        <f>INDEX('Player Data'!$J:$J,AL186)/INDEX('Player Data'!$E:$E,AL186)*M186*L186*AM186</f>
        <v/>
      </c>
      <c r="S186" s="5">
        <f>INDEX('Player Data'!$K:$K,AL186)/INDEX('Player Data'!$E:$E,AL186)*M186*L186*AM186</f>
        <v/>
      </c>
      <c r="T186" s="5">
        <f>INDEX('Player Data'!$L:$L,AL186)/INDEX('Player Data'!$E:$E,AL186)*M186*L186*AM186</f>
        <v/>
      </c>
      <c r="U186" s="7">
        <f>INDEX('Player Data'!$M:$M,AL186)</f>
        <v/>
      </c>
      <c r="V186" s="7">
        <f>INDEX('Player Data'!$N:$N,AL186)</f>
        <v/>
      </c>
      <c r="W186" s="5">
        <f>X186*U186</f>
        <v/>
      </c>
      <c r="X186" s="5">
        <f>INDEX('Player Data'!$O:$O,AL186)/INDEX('Player Data'!$E:$E,AL186)*M186*L186*AM186</f>
        <v/>
      </c>
      <c r="Y186" s="5">
        <f>Z186*V186</f>
        <v/>
      </c>
      <c r="Z186" s="5">
        <f>INDEX('Player Data'!$P:$P,AL186)/INDEX('Player Data'!$E:$E,AL186)*M186*L186*AM186</f>
        <v/>
      </c>
      <c r="AB186" s="3">
        <f>(N186-Pool!$D$2)/Pool!$E$2</f>
        <v/>
      </c>
      <c r="AC186" s="3">
        <f>(O186-Pool!$D$3)/Pool!$E$3</f>
        <v/>
      </c>
      <c r="AD186" s="3">
        <f>(P186-Pool!$D$4)/Pool!$E$4</f>
        <v/>
      </c>
      <c r="AE186" s="3">
        <f>(Q186-Pool!$D$5)/Pool!$E$5</f>
        <v/>
      </c>
      <c r="AF186" s="3">
        <f>(R186-Pool!$D$6)/Pool!$E$6</f>
        <v/>
      </c>
      <c r="AG186" s="3">
        <f>(S186-Pool!$D$7)/Pool!$E$7</f>
        <v/>
      </c>
      <c r="AH186" s="3">
        <f>(AS186-Pool!$D$8)/Pool!$E$8</f>
        <v/>
      </c>
      <c r="AI186" s="3">
        <f>(AT186-Pool!$D$9)/Pool!$E$9</f>
        <v/>
      </c>
      <c r="AJ186" s="3">
        <f>-(T186-Pool!$D$10)/Pool!$E$10</f>
        <v/>
      </c>
      <c r="AL186">
        <f>MATCH(B186,'Player Data'!$A:$A,0)</f>
        <v/>
      </c>
      <c r="AM186" s="3">
        <f>1+IF(Settings!$F$10="ON",IFERROR(VLOOKUP(TRIM(F186),Settings!$D$12:$F$17,3,FALSE),0),0)</f>
        <v/>
      </c>
      <c r="AN186">
        <f>IFERROR(LEFT(C186,FIND(",",C186)-1),C186)</f>
        <v/>
      </c>
      <c r="AO186" s="6">
        <f>X186*(U186-Pool!$B$12)</f>
        <v/>
      </c>
      <c r="AP186" s="6">
        <f>Z186*(V186-Pool!$B$13)</f>
        <v/>
      </c>
      <c r="AQ186" s="3">
        <f>Settings!$B$2*(N186-Pool!$B$2)/Pool!$C$2+Settings!$B$3*(O186-Pool!$B$3)/Pool!$C$3+Settings!$B$4*(P186-Pool!$B$4)/Pool!$C$4+Settings!$B$5*(Q186-Pool!$B$5)/Pool!$C$5+Settings!$B$6*(R186-Pool!$B$6)/Pool!$C$6+Settings!$B$7*(S186-Pool!$B$7)/Pool!$C$7+Settings!$B$8*(AO186-Pool!$B$8)/Pool!$C$8+Settings!$B$9*(AP186-Pool!$B$9)/Pool!$C$9+Settings!$B$10*-(T186-Pool!$B$10)/Pool!$C$10</f>
        <v/>
      </c>
      <c r="AR186">
        <f>IF(RANK(AQ186,$AQ$2:$AQ$266)&lt;=Settings!$F$5,1,0)</f>
        <v/>
      </c>
      <c r="AS186" s="6">
        <f>X186*(U186-Pool!$D$12)</f>
        <v/>
      </c>
      <c r="AT186" s="6">
        <f>Z186*(V186-Pool!$D$13)</f>
        <v/>
      </c>
    </row>
    <row r="187">
      <c r="A187">
        <f>RANK(H187,$H$2:$H$266)</f>
        <v/>
      </c>
      <c r="B187" t="inlineStr">
        <is>
          <t>Jaylon Tyson</t>
        </is>
      </c>
      <c r="C187">
        <f>INDEX('Player Data'!$C:$C,AL187)</f>
        <v/>
      </c>
      <c r="D187">
        <f>SUMPRODUCT(($AN$2:$AN$266=AN187)*($H$2:$H$266&gt;H187))+1</f>
        <v/>
      </c>
      <c r="E187">
        <f>INDEX('Player Data'!$B:$B,AL187)</f>
        <v/>
      </c>
      <c r="F187" s="2" t="n"/>
      <c r="G187" s="3">
        <f>Settings!$B$2*AB187+Settings!$B$3*AC187+Settings!$B$4*AD187+Settings!$B$5*AE187+Settings!$B$6*AF187+Settings!$B$7*AG187+Settings!$B$8*AH187+Settings!$B$9*AI187+Settings!$B$10*AJ187</f>
        <v/>
      </c>
      <c r="H187" s="3">
        <f>G187-LARGE($G$2:$G$266,Settings!$F$4)</f>
        <v/>
      </c>
      <c r="I187">
        <f>IF(INDEX('Player Data'!$R:$R,AL187)="","",INDEX('Player Data'!$R:$R,AL187))</f>
        <v/>
      </c>
      <c r="J187" s="4">
        <f>IF(I187="","",I187-A187)</f>
        <v/>
      </c>
      <c r="L187" s="5">
        <f>IF(Settings!$F$7="Yes",INDEX('Minutes &amp; Health'!$O:$O,AL187),Settings!$F$8)</f>
        <v/>
      </c>
      <c r="M187" s="6">
        <f>INDEX('Minutes &amp; Health'!$P:$P,AL187)</f>
        <v/>
      </c>
      <c r="N187" s="5">
        <f>INDEX('Player Data'!$F:$F,AL187)/INDEX('Player Data'!$E:$E,AL187)*M187*L187*AM187</f>
        <v/>
      </c>
      <c r="O187" s="5">
        <f>INDEX('Player Data'!$G:$G,AL187)/INDEX('Player Data'!$E:$E,AL187)*M187*L187*AM187</f>
        <v/>
      </c>
      <c r="P187" s="5">
        <f>INDEX('Player Data'!$H:$H,AL187)/INDEX('Player Data'!$E:$E,AL187)*M187*L187*AM187</f>
        <v/>
      </c>
      <c r="Q187" s="5">
        <f>INDEX('Player Data'!$I:$I,AL187)/INDEX('Player Data'!$E:$E,AL187)*M187*L187*AM187</f>
        <v/>
      </c>
      <c r="R187" s="5">
        <f>INDEX('Player Data'!$J:$J,AL187)/INDEX('Player Data'!$E:$E,AL187)*M187*L187*AM187</f>
        <v/>
      </c>
      <c r="S187" s="5">
        <f>INDEX('Player Data'!$K:$K,AL187)/INDEX('Player Data'!$E:$E,AL187)*M187*L187*AM187</f>
        <v/>
      </c>
      <c r="T187" s="5">
        <f>INDEX('Player Data'!$L:$L,AL187)/INDEX('Player Data'!$E:$E,AL187)*M187*L187*AM187</f>
        <v/>
      </c>
      <c r="U187" s="7">
        <f>INDEX('Player Data'!$M:$M,AL187)</f>
        <v/>
      </c>
      <c r="V187" s="7">
        <f>INDEX('Player Data'!$N:$N,AL187)</f>
        <v/>
      </c>
      <c r="W187" s="5">
        <f>X187*U187</f>
        <v/>
      </c>
      <c r="X187" s="5">
        <f>INDEX('Player Data'!$O:$O,AL187)/INDEX('Player Data'!$E:$E,AL187)*M187*L187*AM187</f>
        <v/>
      </c>
      <c r="Y187" s="5">
        <f>Z187*V187</f>
        <v/>
      </c>
      <c r="Z187" s="5">
        <f>INDEX('Player Data'!$P:$P,AL187)/INDEX('Player Data'!$E:$E,AL187)*M187*L187*AM187</f>
        <v/>
      </c>
      <c r="AB187" s="3">
        <f>(N187-Pool!$D$2)/Pool!$E$2</f>
        <v/>
      </c>
      <c r="AC187" s="3">
        <f>(O187-Pool!$D$3)/Pool!$E$3</f>
        <v/>
      </c>
      <c r="AD187" s="3">
        <f>(P187-Pool!$D$4)/Pool!$E$4</f>
        <v/>
      </c>
      <c r="AE187" s="3">
        <f>(Q187-Pool!$D$5)/Pool!$E$5</f>
        <v/>
      </c>
      <c r="AF187" s="3">
        <f>(R187-Pool!$D$6)/Pool!$E$6</f>
        <v/>
      </c>
      <c r="AG187" s="3">
        <f>(S187-Pool!$D$7)/Pool!$E$7</f>
        <v/>
      </c>
      <c r="AH187" s="3">
        <f>(AS187-Pool!$D$8)/Pool!$E$8</f>
        <v/>
      </c>
      <c r="AI187" s="3">
        <f>(AT187-Pool!$D$9)/Pool!$E$9</f>
        <v/>
      </c>
      <c r="AJ187" s="3">
        <f>-(T187-Pool!$D$10)/Pool!$E$10</f>
        <v/>
      </c>
      <c r="AL187">
        <f>MATCH(B187,'Player Data'!$A:$A,0)</f>
        <v/>
      </c>
      <c r="AM187" s="3">
        <f>1+IF(Settings!$F$10="ON",IFERROR(VLOOKUP(TRIM(F187),Settings!$D$12:$F$17,3,FALSE),0),0)</f>
        <v/>
      </c>
      <c r="AN187">
        <f>IFERROR(LEFT(C187,FIND(",",C187)-1),C187)</f>
        <v/>
      </c>
      <c r="AO187" s="6">
        <f>X187*(U187-Pool!$B$12)</f>
        <v/>
      </c>
      <c r="AP187" s="6">
        <f>Z187*(V187-Pool!$B$13)</f>
        <v/>
      </c>
      <c r="AQ187" s="3">
        <f>Settings!$B$2*(N187-Pool!$B$2)/Pool!$C$2+Settings!$B$3*(O187-Pool!$B$3)/Pool!$C$3+Settings!$B$4*(P187-Pool!$B$4)/Pool!$C$4+Settings!$B$5*(Q187-Pool!$B$5)/Pool!$C$5+Settings!$B$6*(R187-Pool!$B$6)/Pool!$C$6+Settings!$B$7*(S187-Pool!$B$7)/Pool!$C$7+Settings!$B$8*(AO187-Pool!$B$8)/Pool!$C$8+Settings!$B$9*(AP187-Pool!$B$9)/Pool!$C$9+Settings!$B$10*-(T187-Pool!$B$10)/Pool!$C$10</f>
        <v/>
      </c>
      <c r="AR187">
        <f>IF(RANK(AQ187,$AQ$2:$AQ$266)&lt;=Settings!$F$5,1,0)</f>
        <v/>
      </c>
      <c r="AS187" s="6">
        <f>X187*(U187-Pool!$D$12)</f>
        <v/>
      </c>
      <c r="AT187" s="6">
        <f>Z187*(V187-Pool!$D$13)</f>
        <v/>
      </c>
    </row>
    <row r="188">
      <c r="A188">
        <f>RANK(H188,$H$2:$H$266)</f>
        <v/>
      </c>
      <c r="B188" t="inlineStr">
        <is>
          <t>Klay Thompson</t>
        </is>
      </c>
      <c r="C188">
        <f>INDEX('Player Data'!$C:$C,AL188)</f>
        <v/>
      </c>
      <c r="D188">
        <f>SUMPRODUCT(($AN$2:$AN$266=AN188)*($H$2:$H$266&gt;H188))+1</f>
        <v/>
      </c>
      <c r="E188">
        <f>INDEX('Player Data'!$B:$B,AL188)</f>
        <v/>
      </c>
      <c r="F188" s="2" t="n"/>
      <c r="G188" s="3">
        <f>Settings!$B$2*AB188+Settings!$B$3*AC188+Settings!$B$4*AD188+Settings!$B$5*AE188+Settings!$B$6*AF188+Settings!$B$7*AG188+Settings!$B$8*AH188+Settings!$B$9*AI188+Settings!$B$10*AJ188</f>
        <v/>
      </c>
      <c r="H188" s="3">
        <f>G188-LARGE($G$2:$G$266,Settings!$F$4)</f>
        <v/>
      </c>
      <c r="I188">
        <f>IF(INDEX('Player Data'!$R:$R,AL188)="","",INDEX('Player Data'!$R:$R,AL188))</f>
        <v/>
      </c>
      <c r="J188" s="4">
        <f>IF(I188="","",I188-A188)</f>
        <v/>
      </c>
      <c r="L188" s="5">
        <f>IF(Settings!$F$7="Yes",INDEX('Minutes &amp; Health'!$O:$O,AL188),Settings!$F$8)</f>
        <v/>
      </c>
      <c r="M188" s="6">
        <f>INDEX('Minutes &amp; Health'!$P:$P,AL188)</f>
        <v/>
      </c>
      <c r="N188" s="5">
        <f>INDEX('Player Data'!$F:$F,AL188)/INDEX('Player Data'!$E:$E,AL188)*M188*L188*AM188</f>
        <v/>
      </c>
      <c r="O188" s="5">
        <f>INDEX('Player Data'!$G:$G,AL188)/INDEX('Player Data'!$E:$E,AL188)*M188*L188*AM188</f>
        <v/>
      </c>
      <c r="P188" s="5">
        <f>INDEX('Player Data'!$H:$H,AL188)/INDEX('Player Data'!$E:$E,AL188)*M188*L188*AM188</f>
        <v/>
      </c>
      <c r="Q188" s="5">
        <f>INDEX('Player Data'!$I:$I,AL188)/INDEX('Player Data'!$E:$E,AL188)*M188*L188*AM188</f>
        <v/>
      </c>
      <c r="R188" s="5">
        <f>INDEX('Player Data'!$J:$J,AL188)/INDEX('Player Data'!$E:$E,AL188)*M188*L188*AM188</f>
        <v/>
      </c>
      <c r="S188" s="5">
        <f>INDEX('Player Data'!$K:$K,AL188)/INDEX('Player Data'!$E:$E,AL188)*M188*L188*AM188</f>
        <v/>
      </c>
      <c r="T188" s="5">
        <f>INDEX('Player Data'!$L:$L,AL188)/INDEX('Player Data'!$E:$E,AL188)*M188*L188*AM188</f>
        <v/>
      </c>
      <c r="U188" s="7">
        <f>INDEX('Player Data'!$M:$M,AL188)</f>
        <v/>
      </c>
      <c r="V188" s="7">
        <f>INDEX('Player Data'!$N:$N,AL188)</f>
        <v/>
      </c>
      <c r="W188" s="5">
        <f>X188*U188</f>
        <v/>
      </c>
      <c r="X188" s="5">
        <f>INDEX('Player Data'!$O:$O,AL188)/INDEX('Player Data'!$E:$E,AL188)*M188*L188*AM188</f>
        <v/>
      </c>
      <c r="Y188" s="5">
        <f>Z188*V188</f>
        <v/>
      </c>
      <c r="Z188" s="5">
        <f>INDEX('Player Data'!$P:$P,AL188)/INDEX('Player Data'!$E:$E,AL188)*M188*L188*AM188</f>
        <v/>
      </c>
      <c r="AB188" s="3">
        <f>(N188-Pool!$D$2)/Pool!$E$2</f>
        <v/>
      </c>
      <c r="AC188" s="3">
        <f>(O188-Pool!$D$3)/Pool!$E$3</f>
        <v/>
      </c>
      <c r="AD188" s="3">
        <f>(P188-Pool!$D$4)/Pool!$E$4</f>
        <v/>
      </c>
      <c r="AE188" s="3">
        <f>(Q188-Pool!$D$5)/Pool!$E$5</f>
        <v/>
      </c>
      <c r="AF188" s="3">
        <f>(R188-Pool!$D$6)/Pool!$E$6</f>
        <v/>
      </c>
      <c r="AG188" s="3">
        <f>(S188-Pool!$D$7)/Pool!$E$7</f>
        <v/>
      </c>
      <c r="AH188" s="3">
        <f>(AS188-Pool!$D$8)/Pool!$E$8</f>
        <v/>
      </c>
      <c r="AI188" s="3">
        <f>(AT188-Pool!$D$9)/Pool!$E$9</f>
        <v/>
      </c>
      <c r="AJ188" s="3">
        <f>-(T188-Pool!$D$10)/Pool!$E$10</f>
        <v/>
      </c>
      <c r="AL188">
        <f>MATCH(B188,'Player Data'!$A:$A,0)</f>
        <v/>
      </c>
      <c r="AM188" s="3">
        <f>1+IF(Settings!$F$10="ON",IFERROR(VLOOKUP(TRIM(F188),Settings!$D$12:$F$17,3,FALSE),0),0)</f>
        <v/>
      </c>
      <c r="AN188">
        <f>IFERROR(LEFT(C188,FIND(",",C188)-1),C188)</f>
        <v/>
      </c>
      <c r="AO188" s="6">
        <f>X188*(U188-Pool!$B$12)</f>
        <v/>
      </c>
      <c r="AP188" s="6">
        <f>Z188*(V188-Pool!$B$13)</f>
        <v/>
      </c>
      <c r="AQ188" s="3">
        <f>Settings!$B$2*(N188-Pool!$B$2)/Pool!$C$2+Settings!$B$3*(O188-Pool!$B$3)/Pool!$C$3+Settings!$B$4*(P188-Pool!$B$4)/Pool!$C$4+Settings!$B$5*(Q188-Pool!$B$5)/Pool!$C$5+Settings!$B$6*(R188-Pool!$B$6)/Pool!$C$6+Settings!$B$7*(S188-Pool!$B$7)/Pool!$C$7+Settings!$B$8*(AO188-Pool!$B$8)/Pool!$C$8+Settings!$B$9*(AP188-Pool!$B$9)/Pool!$C$9+Settings!$B$10*-(T188-Pool!$B$10)/Pool!$C$10</f>
        <v/>
      </c>
      <c r="AR188">
        <f>IF(RANK(AQ188,$AQ$2:$AQ$266)&lt;=Settings!$F$5,1,0)</f>
        <v/>
      </c>
      <c r="AS188" s="6">
        <f>X188*(U188-Pool!$D$12)</f>
        <v/>
      </c>
      <c r="AT188" s="6">
        <f>Z188*(V188-Pool!$D$13)</f>
        <v/>
      </c>
    </row>
    <row r="189">
      <c r="A189">
        <f>RANK(H189,$H$2:$H$266)</f>
        <v/>
      </c>
      <c r="B189" t="inlineStr">
        <is>
          <t>Luke Kennard</t>
        </is>
      </c>
      <c r="C189">
        <f>INDEX('Player Data'!$C:$C,AL189)</f>
        <v/>
      </c>
      <c r="D189">
        <f>SUMPRODUCT(($AN$2:$AN$266=AN189)*($H$2:$H$266&gt;H189))+1</f>
        <v/>
      </c>
      <c r="E189">
        <f>INDEX('Player Data'!$B:$B,AL189)</f>
        <v/>
      </c>
      <c r="F189" s="2" t="n"/>
      <c r="G189" s="3">
        <f>Settings!$B$2*AB189+Settings!$B$3*AC189+Settings!$B$4*AD189+Settings!$B$5*AE189+Settings!$B$6*AF189+Settings!$B$7*AG189+Settings!$B$8*AH189+Settings!$B$9*AI189+Settings!$B$10*AJ189</f>
        <v/>
      </c>
      <c r="H189" s="3">
        <f>G189-LARGE($G$2:$G$266,Settings!$F$4)</f>
        <v/>
      </c>
      <c r="I189">
        <f>IF(INDEX('Player Data'!$R:$R,AL189)="","",INDEX('Player Data'!$R:$R,AL189))</f>
        <v/>
      </c>
      <c r="J189" s="4">
        <f>IF(I189="","",I189-A189)</f>
        <v/>
      </c>
      <c r="L189" s="5">
        <f>IF(Settings!$F$7="Yes",INDEX('Minutes &amp; Health'!$O:$O,AL189),Settings!$F$8)</f>
        <v/>
      </c>
      <c r="M189" s="6">
        <f>INDEX('Minutes &amp; Health'!$P:$P,AL189)</f>
        <v/>
      </c>
      <c r="N189" s="5">
        <f>INDEX('Player Data'!$F:$F,AL189)/INDEX('Player Data'!$E:$E,AL189)*M189*L189*AM189</f>
        <v/>
      </c>
      <c r="O189" s="5">
        <f>INDEX('Player Data'!$G:$G,AL189)/INDEX('Player Data'!$E:$E,AL189)*M189*L189*AM189</f>
        <v/>
      </c>
      <c r="P189" s="5">
        <f>INDEX('Player Data'!$H:$H,AL189)/INDEX('Player Data'!$E:$E,AL189)*M189*L189*AM189</f>
        <v/>
      </c>
      <c r="Q189" s="5">
        <f>INDEX('Player Data'!$I:$I,AL189)/INDEX('Player Data'!$E:$E,AL189)*M189*L189*AM189</f>
        <v/>
      </c>
      <c r="R189" s="5">
        <f>INDEX('Player Data'!$J:$J,AL189)/INDEX('Player Data'!$E:$E,AL189)*M189*L189*AM189</f>
        <v/>
      </c>
      <c r="S189" s="5">
        <f>INDEX('Player Data'!$K:$K,AL189)/INDEX('Player Data'!$E:$E,AL189)*M189*L189*AM189</f>
        <v/>
      </c>
      <c r="T189" s="5">
        <f>INDEX('Player Data'!$L:$L,AL189)/INDEX('Player Data'!$E:$E,AL189)*M189*L189*AM189</f>
        <v/>
      </c>
      <c r="U189" s="7">
        <f>INDEX('Player Data'!$M:$M,AL189)</f>
        <v/>
      </c>
      <c r="V189" s="7">
        <f>INDEX('Player Data'!$N:$N,AL189)</f>
        <v/>
      </c>
      <c r="W189" s="5">
        <f>X189*U189</f>
        <v/>
      </c>
      <c r="X189" s="5">
        <f>INDEX('Player Data'!$O:$O,AL189)/INDEX('Player Data'!$E:$E,AL189)*M189*L189*AM189</f>
        <v/>
      </c>
      <c r="Y189" s="5">
        <f>Z189*V189</f>
        <v/>
      </c>
      <c r="Z189" s="5">
        <f>INDEX('Player Data'!$P:$P,AL189)/INDEX('Player Data'!$E:$E,AL189)*M189*L189*AM189</f>
        <v/>
      </c>
      <c r="AB189" s="3">
        <f>(N189-Pool!$D$2)/Pool!$E$2</f>
        <v/>
      </c>
      <c r="AC189" s="3">
        <f>(O189-Pool!$D$3)/Pool!$E$3</f>
        <v/>
      </c>
      <c r="AD189" s="3">
        <f>(P189-Pool!$D$4)/Pool!$E$4</f>
        <v/>
      </c>
      <c r="AE189" s="3">
        <f>(Q189-Pool!$D$5)/Pool!$E$5</f>
        <v/>
      </c>
      <c r="AF189" s="3">
        <f>(R189-Pool!$D$6)/Pool!$E$6</f>
        <v/>
      </c>
      <c r="AG189" s="3">
        <f>(S189-Pool!$D$7)/Pool!$E$7</f>
        <v/>
      </c>
      <c r="AH189" s="3">
        <f>(AS189-Pool!$D$8)/Pool!$E$8</f>
        <v/>
      </c>
      <c r="AI189" s="3">
        <f>(AT189-Pool!$D$9)/Pool!$E$9</f>
        <v/>
      </c>
      <c r="AJ189" s="3">
        <f>-(T189-Pool!$D$10)/Pool!$E$10</f>
        <v/>
      </c>
      <c r="AL189">
        <f>MATCH(B189,'Player Data'!$A:$A,0)</f>
        <v/>
      </c>
      <c r="AM189" s="3">
        <f>1+IF(Settings!$F$10="ON",IFERROR(VLOOKUP(TRIM(F189),Settings!$D$12:$F$17,3,FALSE),0),0)</f>
        <v/>
      </c>
      <c r="AN189">
        <f>IFERROR(LEFT(C189,FIND(",",C189)-1),C189)</f>
        <v/>
      </c>
      <c r="AO189" s="6">
        <f>X189*(U189-Pool!$B$12)</f>
        <v/>
      </c>
      <c r="AP189" s="6">
        <f>Z189*(V189-Pool!$B$13)</f>
        <v/>
      </c>
      <c r="AQ189" s="3">
        <f>Settings!$B$2*(N189-Pool!$B$2)/Pool!$C$2+Settings!$B$3*(O189-Pool!$B$3)/Pool!$C$3+Settings!$B$4*(P189-Pool!$B$4)/Pool!$C$4+Settings!$B$5*(Q189-Pool!$B$5)/Pool!$C$5+Settings!$B$6*(R189-Pool!$B$6)/Pool!$C$6+Settings!$B$7*(S189-Pool!$B$7)/Pool!$C$7+Settings!$B$8*(AO189-Pool!$B$8)/Pool!$C$8+Settings!$B$9*(AP189-Pool!$B$9)/Pool!$C$9+Settings!$B$10*-(T189-Pool!$B$10)/Pool!$C$10</f>
        <v/>
      </c>
      <c r="AR189">
        <f>IF(RANK(AQ189,$AQ$2:$AQ$266)&lt;=Settings!$F$5,1,0)</f>
        <v/>
      </c>
      <c r="AS189" s="6">
        <f>X189*(U189-Pool!$D$12)</f>
        <v/>
      </c>
      <c r="AT189" s="6">
        <f>Z189*(V189-Pool!$D$13)</f>
        <v/>
      </c>
    </row>
    <row r="190">
      <c r="A190">
        <f>RANK(H190,$H$2:$H$266)</f>
        <v/>
      </c>
      <c r="B190" t="inlineStr">
        <is>
          <t>Kyle Filipowski</t>
        </is>
      </c>
      <c r="C190">
        <f>INDEX('Player Data'!$C:$C,AL190)</f>
        <v/>
      </c>
      <c r="D190">
        <f>SUMPRODUCT(($AN$2:$AN$266=AN190)*($H$2:$H$266&gt;H190))+1</f>
        <v/>
      </c>
      <c r="E190">
        <f>INDEX('Player Data'!$B:$B,AL190)</f>
        <v/>
      </c>
      <c r="F190" s="2" t="n"/>
      <c r="G190" s="3">
        <f>Settings!$B$2*AB190+Settings!$B$3*AC190+Settings!$B$4*AD190+Settings!$B$5*AE190+Settings!$B$6*AF190+Settings!$B$7*AG190+Settings!$B$8*AH190+Settings!$B$9*AI190+Settings!$B$10*AJ190</f>
        <v/>
      </c>
      <c r="H190" s="3">
        <f>G190-LARGE($G$2:$G$266,Settings!$F$4)</f>
        <v/>
      </c>
      <c r="I190">
        <f>IF(INDEX('Player Data'!$R:$R,AL190)="","",INDEX('Player Data'!$R:$R,AL190))</f>
        <v/>
      </c>
      <c r="J190" s="4">
        <f>IF(I190="","",I190-A190)</f>
        <v/>
      </c>
      <c r="L190" s="5">
        <f>IF(Settings!$F$7="Yes",INDEX('Minutes &amp; Health'!$O:$O,AL190),Settings!$F$8)</f>
        <v/>
      </c>
      <c r="M190" s="6">
        <f>INDEX('Minutes &amp; Health'!$P:$P,AL190)</f>
        <v/>
      </c>
      <c r="N190" s="5">
        <f>INDEX('Player Data'!$F:$F,AL190)/INDEX('Player Data'!$E:$E,AL190)*M190*L190*AM190</f>
        <v/>
      </c>
      <c r="O190" s="5">
        <f>INDEX('Player Data'!$G:$G,AL190)/INDEX('Player Data'!$E:$E,AL190)*M190*L190*AM190</f>
        <v/>
      </c>
      <c r="P190" s="5">
        <f>INDEX('Player Data'!$H:$H,AL190)/INDEX('Player Data'!$E:$E,AL190)*M190*L190*AM190</f>
        <v/>
      </c>
      <c r="Q190" s="5">
        <f>INDEX('Player Data'!$I:$I,AL190)/INDEX('Player Data'!$E:$E,AL190)*M190*L190*AM190</f>
        <v/>
      </c>
      <c r="R190" s="5">
        <f>INDEX('Player Data'!$J:$J,AL190)/INDEX('Player Data'!$E:$E,AL190)*M190*L190*AM190</f>
        <v/>
      </c>
      <c r="S190" s="5">
        <f>INDEX('Player Data'!$K:$K,AL190)/INDEX('Player Data'!$E:$E,AL190)*M190*L190*AM190</f>
        <v/>
      </c>
      <c r="T190" s="5">
        <f>INDEX('Player Data'!$L:$L,AL190)/INDEX('Player Data'!$E:$E,AL190)*M190*L190*AM190</f>
        <v/>
      </c>
      <c r="U190" s="7">
        <f>INDEX('Player Data'!$M:$M,AL190)</f>
        <v/>
      </c>
      <c r="V190" s="7">
        <f>INDEX('Player Data'!$N:$N,AL190)</f>
        <v/>
      </c>
      <c r="W190" s="5">
        <f>X190*U190</f>
        <v/>
      </c>
      <c r="X190" s="5">
        <f>INDEX('Player Data'!$O:$O,AL190)/INDEX('Player Data'!$E:$E,AL190)*M190*L190*AM190</f>
        <v/>
      </c>
      <c r="Y190" s="5">
        <f>Z190*V190</f>
        <v/>
      </c>
      <c r="Z190" s="5">
        <f>INDEX('Player Data'!$P:$P,AL190)/INDEX('Player Data'!$E:$E,AL190)*M190*L190*AM190</f>
        <v/>
      </c>
      <c r="AB190" s="3">
        <f>(N190-Pool!$D$2)/Pool!$E$2</f>
        <v/>
      </c>
      <c r="AC190" s="3">
        <f>(O190-Pool!$D$3)/Pool!$E$3</f>
        <v/>
      </c>
      <c r="AD190" s="3">
        <f>(P190-Pool!$D$4)/Pool!$E$4</f>
        <v/>
      </c>
      <c r="AE190" s="3">
        <f>(Q190-Pool!$D$5)/Pool!$E$5</f>
        <v/>
      </c>
      <c r="AF190" s="3">
        <f>(R190-Pool!$D$6)/Pool!$E$6</f>
        <v/>
      </c>
      <c r="AG190" s="3">
        <f>(S190-Pool!$D$7)/Pool!$E$7</f>
        <v/>
      </c>
      <c r="AH190" s="3">
        <f>(AS190-Pool!$D$8)/Pool!$E$8</f>
        <v/>
      </c>
      <c r="AI190" s="3">
        <f>(AT190-Pool!$D$9)/Pool!$E$9</f>
        <v/>
      </c>
      <c r="AJ190" s="3">
        <f>-(T190-Pool!$D$10)/Pool!$E$10</f>
        <v/>
      </c>
      <c r="AL190">
        <f>MATCH(B190,'Player Data'!$A:$A,0)</f>
        <v/>
      </c>
      <c r="AM190" s="3">
        <f>1+IF(Settings!$F$10="ON",IFERROR(VLOOKUP(TRIM(F190),Settings!$D$12:$F$17,3,FALSE),0),0)</f>
        <v/>
      </c>
      <c r="AN190">
        <f>IFERROR(LEFT(C190,FIND(",",C190)-1),C190)</f>
        <v/>
      </c>
      <c r="AO190" s="6">
        <f>X190*(U190-Pool!$B$12)</f>
        <v/>
      </c>
      <c r="AP190" s="6">
        <f>Z190*(V190-Pool!$B$13)</f>
        <v/>
      </c>
      <c r="AQ190" s="3">
        <f>Settings!$B$2*(N190-Pool!$B$2)/Pool!$C$2+Settings!$B$3*(O190-Pool!$B$3)/Pool!$C$3+Settings!$B$4*(P190-Pool!$B$4)/Pool!$C$4+Settings!$B$5*(Q190-Pool!$B$5)/Pool!$C$5+Settings!$B$6*(R190-Pool!$B$6)/Pool!$C$6+Settings!$B$7*(S190-Pool!$B$7)/Pool!$C$7+Settings!$B$8*(AO190-Pool!$B$8)/Pool!$C$8+Settings!$B$9*(AP190-Pool!$B$9)/Pool!$C$9+Settings!$B$10*-(T190-Pool!$B$10)/Pool!$C$10</f>
        <v/>
      </c>
      <c r="AR190">
        <f>IF(RANK(AQ190,$AQ$2:$AQ$266)&lt;=Settings!$F$5,1,0)</f>
        <v/>
      </c>
      <c r="AS190" s="6">
        <f>X190*(U190-Pool!$D$12)</f>
        <v/>
      </c>
      <c r="AT190" s="6">
        <f>Z190*(V190-Pool!$D$13)</f>
        <v/>
      </c>
    </row>
    <row r="191">
      <c r="A191">
        <f>RANK(H191,$H$2:$H$266)</f>
        <v/>
      </c>
      <c r="B191" t="inlineStr">
        <is>
          <t>Deandre Ayton</t>
        </is>
      </c>
      <c r="C191">
        <f>INDEX('Player Data'!$C:$C,AL191)</f>
        <v/>
      </c>
      <c r="D191">
        <f>SUMPRODUCT(($AN$2:$AN$266=AN191)*($H$2:$H$266&gt;H191))+1</f>
        <v/>
      </c>
      <c r="E191">
        <f>INDEX('Player Data'!$B:$B,AL191)</f>
        <v/>
      </c>
      <c r="F191" s="2" t="n"/>
      <c r="G191" s="3">
        <f>Settings!$B$2*AB191+Settings!$B$3*AC191+Settings!$B$4*AD191+Settings!$B$5*AE191+Settings!$B$6*AF191+Settings!$B$7*AG191+Settings!$B$8*AH191+Settings!$B$9*AI191+Settings!$B$10*AJ191</f>
        <v/>
      </c>
      <c r="H191" s="3">
        <f>G191-LARGE($G$2:$G$266,Settings!$F$4)</f>
        <v/>
      </c>
      <c r="I191">
        <f>IF(INDEX('Player Data'!$R:$R,AL191)="","",INDEX('Player Data'!$R:$R,AL191))</f>
        <v/>
      </c>
      <c r="J191" s="4">
        <f>IF(I191="","",I191-A191)</f>
        <v/>
      </c>
      <c r="L191" s="5">
        <f>IF(Settings!$F$7="Yes",INDEX('Minutes &amp; Health'!$O:$O,AL191),Settings!$F$8)</f>
        <v/>
      </c>
      <c r="M191" s="6">
        <f>INDEX('Minutes &amp; Health'!$P:$P,AL191)</f>
        <v/>
      </c>
      <c r="N191" s="5">
        <f>INDEX('Player Data'!$F:$F,AL191)/INDEX('Player Data'!$E:$E,AL191)*M191*L191*AM191</f>
        <v/>
      </c>
      <c r="O191" s="5">
        <f>INDEX('Player Data'!$G:$G,AL191)/INDEX('Player Data'!$E:$E,AL191)*M191*L191*AM191</f>
        <v/>
      </c>
      <c r="P191" s="5">
        <f>INDEX('Player Data'!$H:$H,AL191)/INDEX('Player Data'!$E:$E,AL191)*M191*L191*AM191</f>
        <v/>
      </c>
      <c r="Q191" s="5">
        <f>INDEX('Player Data'!$I:$I,AL191)/INDEX('Player Data'!$E:$E,AL191)*M191*L191*AM191</f>
        <v/>
      </c>
      <c r="R191" s="5">
        <f>INDEX('Player Data'!$J:$J,AL191)/INDEX('Player Data'!$E:$E,AL191)*M191*L191*AM191</f>
        <v/>
      </c>
      <c r="S191" s="5">
        <f>INDEX('Player Data'!$K:$K,AL191)/INDEX('Player Data'!$E:$E,AL191)*M191*L191*AM191</f>
        <v/>
      </c>
      <c r="T191" s="5">
        <f>INDEX('Player Data'!$L:$L,AL191)/INDEX('Player Data'!$E:$E,AL191)*M191*L191*AM191</f>
        <v/>
      </c>
      <c r="U191" s="7">
        <f>INDEX('Player Data'!$M:$M,AL191)</f>
        <v/>
      </c>
      <c r="V191" s="7">
        <f>INDEX('Player Data'!$N:$N,AL191)</f>
        <v/>
      </c>
      <c r="W191" s="5">
        <f>X191*U191</f>
        <v/>
      </c>
      <c r="X191" s="5">
        <f>INDEX('Player Data'!$O:$O,AL191)/INDEX('Player Data'!$E:$E,AL191)*M191*L191*AM191</f>
        <v/>
      </c>
      <c r="Y191" s="5">
        <f>Z191*V191</f>
        <v/>
      </c>
      <c r="Z191" s="5">
        <f>INDEX('Player Data'!$P:$P,AL191)/INDEX('Player Data'!$E:$E,AL191)*M191*L191*AM191</f>
        <v/>
      </c>
      <c r="AB191" s="3">
        <f>(N191-Pool!$D$2)/Pool!$E$2</f>
        <v/>
      </c>
      <c r="AC191" s="3">
        <f>(O191-Pool!$D$3)/Pool!$E$3</f>
        <v/>
      </c>
      <c r="AD191" s="3">
        <f>(P191-Pool!$D$4)/Pool!$E$4</f>
        <v/>
      </c>
      <c r="AE191" s="3">
        <f>(Q191-Pool!$D$5)/Pool!$E$5</f>
        <v/>
      </c>
      <c r="AF191" s="3">
        <f>(R191-Pool!$D$6)/Pool!$E$6</f>
        <v/>
      </c>
      <c r="AG191" s="3">
        <f>(S191-Pool!$D$7)/Pool!$E$7</f>
        <v/>
      </c>
      <c r="AH191" s="3">
        <f>(AS191-Pool!$D$8)/Pool!$E$8</f>
        <v/>
      </c>
      <c r="AI191" s="3">
        <f>(AT191-Pool!$D$9)/Pool!$E$9</f>
        <v/>
      </c>
      <c r="AJ191" s="3">
        <f>-(T191-Pool!$D$10)/Pool!$E$10</f>
        <v/>
      </c>
      <c r="AL191">
        <f>MATCH(B191,'Player Data'!$A:$A,0)</f>
        <v/>
      </c>
      <c r="AM191" s="3">
        <f>1+IF(Settings!$F$10="ON",IFERROR(VLOOKUP(TRIM(F191),Settings!$D$12:$F$17,3,FALSE),0),0)</f>
        <v/>
      </c>
      <c r="AN191">
        <f>IFERROR(LEFT(C191,FIND(",",C191)-1),C191)</f>
        <v/>
      </c>
      <c r="AO191" s="6">
        <f>X191*(U191-Pool!$B$12)</f>
        <v/>
      </c>
      <c r="AP191" s="6">
        <f>Z191*(V191-Pool!$B$13)</f>
        <v/>
      </c>
      <c r="AQ191" s="3">
        <f>Settings!$B$2*(N191-Pool!$B$2)/Pool!$C$2+Settings!$B$3*(O191-Pool!$B$3)/Pool!$C$3+Settings!$B$4*(P191-Pool!$B$4)/Pool!$C$4+Settings!$B$5*(Q191-Pool!$B$5)/Pool!$C$5+Settings!$B$6*(R191-Pool!$B$6)/Pool!$C$6+Settings!$B$7*(S191-Pool!$B$7)/Pool!$C$7+Settings!$B$8*(AO191-Pool!$B$8)/Pool!$C$8+Settings!$B$9*(AP191-Pool!$B$9)/Pool!$C$9+Settings!$B$10*-(T191-Pool!$B$10)/Pool!$C$10</f>
        <v/>
      </c>
      <c r="AR191">
        <f>IF(RANK(AQ191,$AQ$2:$AQ$266)&lt;=Settings!$F$5,1,0)</f>
        <v/>
      </c>
      <c r="AS191" s="6">
        <f>X191*(U191-Pool!$D$12)</f>
        <v/>
      </c>
      <c r="AT191" s="6">
        <f>Z191*(V191-Pool!$D$13)</f>
        <v/>
      </c>
    </row>
    <row r="192">
      <c r="A192">
        <f>RANK(H192,$H$2:$H$266)</f>
        <v/>
      </c>
      <c r="B192" t="inlineStr">
        <is>
          <t>Santi Aldama</t>
        </is>
      </c>
      <c r="C192">
        <f>INDEX('Player Data'!$C:$C,AL192)</f>
        <v/>
      </c>
      <c r="D192">
        <f>SUMPRODUCT(($AN$2:$AN$266=AN192)*($H$2:$H$266&gt;H192))+1</f>
        <v/>
      </c>
      <c r="E192">
        <f>INDEX('Player Data'!$B:$B,AL192)</f>
        <v/>
      </c>
      <c r="F192" s="2" t="n"/>
      <c r="G192" s="3">
        <f>Settings!$B$2*AB192+Settings!$B$3*AC192+Settings!$B$4*AD192+Settings!$B$5*AE192+Settings!$B$6*AF192+Settings!$B$7*AG192+Settings!$B$8*AH192+Settings!$B$9*AI192+Settings!$B$10*AJ192</f>
        <v/>
      </c>
      <c r="H192" s="3">
        <f>G192-LARGE($G$2:$G$266,Settings!$F$4)</f>
        <v/>
      </c>
      <c r="I192">
        <f>IF(INDEX('Player Data'!$R:$R,AL192)="","",INDEX('Player Data'!$R:$R,AL192))</f>
        <v/>
      </c>
      <c r="J192" s="4">
        <f>IF(I192="","",I192-A192)</f>
        <v/>
      </c>
      <c r="L192" s="5">
        <f>IF(Settings!$F$7="Yes",INDEX('Minutes &amp; Health'!$O:$O,AL192),Settings!$F$8)</f>
        <v/>
      </c>
      <c r="M192" s="6">
        <f>INDEX('Minutes &amp; Health'!$P:$P,AL192)</f>
        <v/>
      </c>
      <c r="N192" s="5">
        <f>INDEX('Player Data'!$F:$F,AL192)/INDEX('Player Data'!$E:$E,AL192)*M192*L192*AM192</f>
        <v/>
      </c>
      <c r="O192" s="5">
        <f>INDEX('Player Data'!$G:$G,AL192)/INDEX('Player Data'!$E:$E,AL192)*M192*L192*AM192</f>
        <v/>
      </c>
      <c r="P192" s="5">
        <f>INDEX('Player Data'!$H:$H,AL192)/INDEX('Player Data'!$E:$E,AL192)*M192*L192*AM192</f>
        <v/>
      </c>
      <c r="Q192" s="5">
        <f>INDEX('Player Data'!$I:$I,AL192)/INDEX('Player Data'!$E:$E,AL192)*M192*L192*AM192</f>
        <v/>
      </c>
      <c r="R192" s="5">
        <f>INDEX('Player Data'!$J:$J,AL192)/INDEX('Player Data'!$E:$E,AL192)*M192*L192*AM192</f>
        <v/>
      </c>
      <c r="S192" s="5">
        <f>INDEX('Player Data'!$K:$K,AL192)/INDEX('Player Data'!$E:$E,AL192)*M192*L192*AM192</f>
        <v/>
      </c>
      <c r="T192" s="5">
        <f>INDEX('Player Data'!$L:$L,AL192)/INDEX('Player Data'!$E:$E,AL192)*M192*L192*AM192</f>
        <v/>
      </c>
      <c r="U192" s="7">
        <f>INDEX('Player Data'!$M:$M,AL192)</f>
        <v/>
      </c>
      <c r="V192" s="7">
        <f>INDEX('Player Data'!$N:$N,AL192)</f>
        <v/>
      </c>
      <c r="W192" s="5">
        <f>X192*U192</f>
        <v/>
      </c>
      <c r="X192" s="5">
        <f>INDEX('Player Data'!$O:$O,AL192)/INDEX('Player Data'!$E:$E,AL192)*M192*L192*AM192</f>
        <v/>
      </c>
      <c r="Y192" s="5">
        <f>Z192*V192</f>
        <v/>
      </c>
      <c r="Z192" s="5">
        <f>INDEX('Player Data'!$P:$P,AL192)/INDEX('Player Data'!$E:$E,AL192)*M192*L192*AM192</f>
        <v/>
      </c>
      <c r="AB192" s="3">
        <f>(N192-Pool!$D$2)/Pool!$E$2</f>
        <v/>
      </c>
      <c r="AC192" s="3">
        <f>(O192-Pool!$D$3)/Pool!$E$3</f>
        <v/>
      </c>
      <c r="AD192" s="3">
        <f>(P192-Pool!$D$4)/Pool!$E$4</f>
        <v/>
      </c>
      <c r="AE192" s="3">
        <f>(Q192-Pool!$D$5)/Pool!$E$5</f>
        <v/>
      </c>
      <c r="AF192" s="3">
        <f>(R192-Pool!$D$6)/Pool!$E$6</f>
        <v/>
      </c>
      <c r="AG192" s="3">
        <f>(S192-Pool!$D$7)/Pool!$E$7</f>
        <v/>
      </c>
      <c r="AH192" s="3">
        <f>(AS192-Pool!$D$8)/Pool!$E$8</f>
        <v/>
      </c>
      <c r="AI192" s="3">
        <f>(AT192-Pool!$D$9)/Pool!$E$9</f>
        <v/>
      </c>
      <c r="AJ192" s="3">
        <f>-(T192-Pool!$D$10)/Pool!$E$10</f>
        <v/>
      </c>
      <c r="AL192">
        <f>MATCH(B192,'Player Data'!$A:$A,0)</f>
        <v/>
      </c>
      <c r="AM192" s="3">
        <f>1+IF(Settings!$F$10="ON",IFERROR(VLOOKUP(TRIM(F192),Settings!$D$12:$F$17,3,FALSE),0),0)</f>
        <v/>
      </c>
      <c r="AN192">
        <f>IFERROR(LEFT(C192,FIND(",",C192)-1),C192)</f>
        <v/>
      </c>
      <c r="AO192" s="6">
        <f>X192*(U192-Pool!$B$12)</f>
        <v/>
      </c>
      <c r="AP192" s="6">
        <f>Z192*(V192-Pool!$B$13)</f>
        <v/>
      </c>
      <c r="AQ192" s="3">
        <f>Settings!$B$2*(N192-Pool!$B$2)/Pool!$C$2+Settings!$B$3*(O192-Pool!$B$3)/Pool!$C$3+Settings!$B$4*(P192-Pool!$B$4)/Pool!$C$4+Settings!$B$5*(Q192-Pool!$B$5)/Pool!$C$5+Settings!$B$6*(R192-Pool!$B$6)/Pool!$C$6+Settings!$B$7*(S192-Pool!$B$7)/Pool!$C$7+Settings!$B$8*(AO192-Pool!$B$8)/Pool!$C$8+Settings!$B$9*(AP192-Pool!$B$9)/Pool!$C$9+Settings!$B$10*-(T192-Pool!$B$10)/Pool!$C$10</f>
        <v/>
      </c>
      <c r="AR192">
        <f>IF(RANK(AQ192,$AQ$2:$AQ$266)&lt;=Settings!$F$5,1,0)</f>
        <v/>
      </c>
      <c r="AS192" s="6">
        <f>X192*(U192-Pool!$D$12)</f>
        <v/>
      </c>
      <c r="AT192" s="6">
        <f>Z192*(V192-Pool!$D$13)</f>
        <v/>
      </c>
    </row>
    <row r="193">
      <c r="A193">
        <f>RANK(H193,$H$2:$H$266)</f>
        <v/>
      </c>
      <c r="B193" t="inlineStr">
        <is>
          <t>Tim Hardaway Jr.</t>
        </is>
      </c>
      <c r="C193">
        <f>INDEX('Player Data'!$C:$C,AL193)</f>
        <v/>
      </c>
      <c r="D193">
        <f>SUMPRODUCT(($AN$2:$AN$266=AN193)*($H$2:$H$266&gt;H193))+1</f>
        <v/>
      </c>
      <c r="E193">
        <f>INDEX('Player Data'!$B:$B,AL193)</f>
        <v/>
      </c>
      <c r="F193" s="2" t="n"/>
      <c r="G193" s="3">
        <f>Settings!$B$2*AB193+Settings!$B$3*AC193+Settings!$B$4*AD193+Settings!$B$5*AE193+Settings!$B$6*AF193+Settings!$B$7*AG193+Settings!$B$8*AH193+Settings!$B$9*AI193+Settings!$B$10*AJ193</f>
        <v/>
      </c>
      <c r="H193" s="3">
        <f>G193-LARGE($G$2:$G$266,Settings!$F$4)</f>
        <v/>
      </c>
      <c r="I193">
        <f>IF(INDEX('Player Data'!$R:$R,AL193)="","",INDEX('Player Data'!$R:$R,AL193))</f>
        <v/>
      </c>
      <c r="J193" s="4">
        <f>IF(I193="","",I193-A193)</f>
        <v/>
      </c>
      <c r="L193" s="5">
        <f>IF(Settings!$F$7="Yes",INDEX('Minutes &amp; Health'!$O:$O,AL193),Settings!$F$8)</f>
        <v/>
      </c>
      <c r="M193" s="6">
        <f>INDEX('Minutes &amp; Health'!$P:$P,AL193)</f>
        <v/>
      </c>
      <c r="N193" s="5">
        <f>INDEX('Player Data'!$F:$F,AL193)/INDEX('Player Data'!$E:$E,AL193)*M193*L193*AM193</f>
        <v/>
      </c>
      <c r="O193" s="5">
        <f>INDEX('Player Data'!$G:$G,AL193)/INDEX('Player Data'!$E:$E,AL193)*M193*L193*AM193</f>
        <v/>
      </c>
      <c r="P193" s="5">
        <f>INDEX('Player Data'!$H:$H,AL193)/INDEX('Player Data'!$E:$E,AL193)*M193*L193*AM193</f>
        <v/>
      </c>
      <c r="Q193" s="5">
        <f>INDEX('Player Data'!$I:$I,AL193)/INDEX('Player Data'!$E:$E,AL193)*M193*L193*AM193</f>
        <v/>
      </c>
      <c r="R193" s="5">
        <f>INDEX('Player Data'!$J:$J,AL193)/INDEX('Player Data'!$E:$E,AL193)*M193*L193*AM193</f>
        <v/>
      </c>
      <c r="S193" s="5">
        <f>INDEX('Player Data'!$K:$K,AL193)/INDEX('Player Data'!$E:$E,AL193)*M193*L193*AM193</f>
        <v/>
      </c>
      <c r="T193" s="5">
        <f>INDEX('Player Data'!$L:$L,AL193)/INDEX('Player Data'!$E:$E,AL193)*M193*L193*AM193</f>
        <v/>
      </c>
      <c r="U193" s="7">
        <f>INDEX('Player Data'!$M:$M,AL193)</f>
        <v/>
      </c>
      <c r="V193" s="7">
        <f>INDEX('Player Data'!$N:$N,AL193)</f>
        <v/>
      </c>
      <c r="W193" s="5">
        <f>X193*U193</f>
        <v/>
      </c>
      <c r="X193" s="5">
        <f>INDEX('Player Data'!$O:$O,AL193)/INDEX('Player Data'!$E:$E,AL193)*M193*L193*AM193</f>
        <v/>
      </c>
      <c r="Y193" s="5">
        <f>Z193*V193</f>
        <v/>
      </c>
      <c r="Z193" s="5">
        <f>INDEX('Player Data'!$P:$P,AL193)/INDEX('Player Data'!$E:$E,AL193)*M193*L193*AM193</f>
        <v/>
      </c>
      <c r="AB193" s="3">
        <f>(N193-Pool!$D$2)/Pool!$E$2</f>
        <v/>
      </c>
      <c r="AC193" s="3">
        <f>(O193-Pool!$D$3)/Pool!$E$3</f>
        <v/>
      </c>
      <c r="AD193" s="3">
        <f>(P193-Pool!$D$4)/Pool!$E$4</f>
        <v/>
      </c>
      <c r="AE193" s="3">
        <f>(Q193-Pool!$D$5)/Pool!$E$5</f>
        <v/>
      </c>
      <c r="AF193" s="3">
        <f>(R193-Pool!$D$6)/Pool!$E$6</f>
        <v/>
      </c>
      <c r="AG193" s="3">
        <f>(S193-Pool!$D$7)/Pool!$E$7</f>
        <v/>
      </c>
      <c r="AH193" s="3">
        <f>(AS193-Pool!$D$8)/Pool!$E$8</f>
        <v/>
      </c>
      <c r="AI193" s="3">
        <f>(AT193-Pool!$D$9)/Pool!$E$9</f>
        <v/>
      </c>
      <c r="AJ193" s="3">
        <f>-(T193-Pool!$D$10)/Pool!$E$10</f>
        <v/>
      </c>
      <c r="AL193">
        <f>MATCH(B193,'Player Data'!$A:$A,0)</f>
        <v/>
      </c>
      <c r="AM193" s="3">
        <f>1+IF(Settings!$F$10="ON",IFERROR(VLOOKUP(TRIM(F193),Settings!$D$12:$F$17,3,FALSE),0),0)</f>
        <v/>
      </c>
      <c r="AN193">
        <f>IFERROR(LEFT(C193,FIND(",",C193)-1),C193)</f>
        <v/>
      </c>
      <c r="AO193" s="6">
        <f>X193*(U193-Pool!$B$12)</f>
        <v/>
      </c>
      <c r="AP193" s="6">
        <f>Z193*(V193-Pool!$B$13)</f>
        <v/>
      </c>
      <c r="AQ193" s="3">
        <f>Settings!$B$2*(N193-Pool!$B$2)/Pool!$C$2+Settings!$B$3*(O193-Pool!$B$3)/Pool!$C$3+Settings!$B$4*(P193-Pool!$B$4)/Pool!$C$4+Settings!$B$5*(Q193-Pool!$B$5)/Pool!$C$5+Settings!$B$6*(R193-Pool!$B$6)/Pool!$C$6+Settings!$B$7*(S193-Pool!$B$7)/Pool!$C$7+Settings!$B$8*(AO193-Pool!$B$8)/Pool!$C$8+Settings!$B$9*(AP193-Pool!$B$9)/Pool!$C$9+Settings!$B$10*-(T193-Pool!$B$10)/Pool!$C$10</f>
        <v/>
      </c>
      <c r="AR193">
        <f>IF(RANK(AQ193,$AQ$2:$AQ$266)&lt;=Settings!$F$5,1,0)</f>
        <v/>
      </c>
      <c r="AS193" s="6">
        <f>X193*(U193-Pool!$D$12)</f>
        <v/>
      </c>
      <c r="AT193" s="6">
        <f>Z193*(V193-Pool!$D$13)</f>
        <v/>
      </c>
    </row>
    <row r="194">
      <c r="A194">
        <f>RANK(H194,$H$2:$H$266)</f>
        <v/>
      </c>
      <c r="B194" t="inlineStr">
        <is>
          <t>Sam Merrill</t>
        </is>
      </c>
      <c r="C194">
        <f>INDEX('Player Data'!$C:$C,AL194)</f>
        <v/>
      </c>
      <c r="D194">
        <f>SUMPRODUCT(($AN$2:$AN$266=AN194)*($H$2:$H$266&gt;H194))+1</f>
        <v/>
      </c>
      <c r="E194">
        <f>INDEX('Player Data'!$B:$B,AL194)</f>
        <v/>
      </c>
      <c r="F194" s="2" t="n"/>
      <c r="G194" s="3">
        <f>Settings!$B$2*AB194+Settings!$B$3*AC194+Settings!$B$4*AD194+Settings!$B$5*AE194+Settings!$B$6*AF194+Settings!$B$7*AG194+Settings!$B$8*AH194+Settings!$B$9*AI194+Settings!$B$10*AJ194</f>
        <v/>
      </c>
      <c r="H194" s="3">
        <f>G194-LARGE($G$2:$G$266,Settings!$F$4)</f>
        <v/>
      </c>
      <c r="I194">
        <f>IF(INDEX('Player Data'!$R:$R,AL194)="","",INDEX('Player Data'!$R:$R,AL194))</f>
        <v/>
      </c>
      <c r="J194" s="4">
        <f>IF(I194="","",I194-A194)</f>
        <v/>
      </c>
      <c r="L194" s="5">
        <f>IF(Settings!$F$7="Yes",INDEX('Minutes &amp; Health'!$O:$O,AL194),Settings!$F$8)</f>
        <v/>
      </c>
      <c r="M194" s="6">
        <f>INDEX('Minutes &amp; Health'!$P:$P,AL194)</f>
        <v/>
      </c>
      <c r="N194" s="5">
        <f>INDEX('Player Data'!$F:$F,AL194)/INDEX('Player Data'!$E:$E,AL194)*M194*L194*AM194</f>
        <v/>
      </c>
      <c r="O194" s="5">
        <f>INDEX('Player Data'!$G:$G,AL194)/INDEX('Player Data'!$E:$E,AL194)*M194*L194*AM194</f>
        <v/>
      </c>
      <c r="P194" s="5">
        <f>INDEX('Player Data'!$H:$H,AL194)/INDEX('Player Data'!$E:$E,AL194)*M194*L194*AM194</f>
        <v/>
      </c>
      <c r="Q194" s="5">
        <f>INDEX('Player Data'!$I:$I,AL194)/INDEX('Player Data'!$E:$E,AL194)*M194*L194*AM194</f>
        <v/>
      </c>
      <c r="R194" s="5">
        <f>INDEX('Player Data'!$J:$J,AL194)/INDEX('Player Data'!$E:$E,AL194)*M194*L194*AM194</f>
        <v/>
      </c>
      <c r="S194" s="5">
        <f>INDEX('Player Data'!$K:$K,AL194)/INDEX('Player Data'!$E:$E,AL194)*M194*L194*AM194</f>
        <v/>
      </c>
      <c r="T194" s="5">
        <f>INDEX('Player Data'!$L:$L,AL194)/INDEX('Player Data'!$E:$E,AL194)*M194*L194*AM194</f>
        <v/>
      </c>
      <c r="U194" s="7">
        <f>INDEX('Player Data'!$M:$M,AL194)</f>
        <v/>
      </c>
      <c r="V194" s="7">
        <f>INDEX('Player Data'!$N:$N,AL194)</f>
        <v/>
      </c>
      <c r="W194" s="5">
        <f>X194*U194</f>
        <v/>
      </c>
      <c r="X194" s="5">
        <f>INDEX('Player Data'!$O:$O,AL194)/INDEX('Player Data'!$E:$E,AL194)*M194*L194*AM194</f>
        <v/>
      </c>
      <c r="Y194" s="5">
        <f>Z194*V194</f>
        <v/>
      </c>
      <c r="Z194" s="5">
        <f>INDEX('Player Data'!$P:$P,AL194)/INDEX('Player Data'!$E:$E,AL194)*M194*L194*AM194</f>
        <v/>
      </c>
      <c r="AB194" s="3">
        <f>(N194-Pool!$D$2)/Pool!$E$2</f>
        <v/>
      </c>
      <c r="AC194" s="3">
        <f>(O194-Pool!$D$3)/Pool!$E$3</f>
        <v/>
      </c>
      <c r="AD194" s="3">
        <f>(P194-Pool!$D$4)/Pool!$E$4</f>
        <v/>
      </c>
      <c r="AE194" s="3">
        <f>(Q194-Pool!$D$5)/Pool!$E$5</f>
        <v/>
      </c>
      <c r="AF194" s="3">
        <f>(R194-Pool!$D$6)/Pool!$E$6</f>
        <v/>
      </c>
      <c r="AG194" s="3">
        <f>(S194-Pool!$D$7)/Pool!$E$7</f>
        <v/>
      </c>
      <c r="AH194" s="3">
        <f>(AS194-Pool!$D$8)/Pool!$E$8</f>
        <v/>
      </c>
      <c r="AI194" s="3">
        <f>(AT194-Pool!$D$9)/Pool!$E$9</f>
        <v/>
      </c>
      <c r="AJ194" s="3">
        <f>-(T194-Pool!$D$10)/Pool!$E$10</f>
        <v/>
      </c>
      <c r="AL194">
        <f>MATCH(B194,'Player Data'!$A:$A,0)</f>
        <v/>
      </c>
      <c r="AM194" s="3">
        <f>1+IF(Settings!$F$10="ON",IFERROR(VLOOKUP(TRIM(F194),Settings!$D$12:$F$17,3,FALSE),0),0)</f>
        <v/>
      </c>
      <c r="AN194">
        <f>IFERROR(LEFT(C194,FIND(",",C194)-1),C194)</f>
        <v/>
      </c>
      <c r="AO194" s="6">
        <f>X194*(U194-Pool!$B$12)</f>
        <v/>
      </c>
      <c r="AP194" s="6">
        <f>Z194*(V194-Pool!$B$13)</f>
        <v/>
      </c>
      <c r="AQ194" s="3">
        <f>Settings!$B$2*(N194-Pool!$B$2)/Pool!$C$2+Settings!$B$3*(O194-Pool!$B$3)/Pool!$C$3+Settings!$B$4*(P194-Pool!$B$4)/Pool!$C$4+Settings!$B$5*(Q194-Pool!$B$5)/Pool!$C$5+Settings!$B$6*(R194-Pool!$B$6)/Pool!$C$6+Settings!$B$7*(S194-Pool!$B$7)/Pool!$C$7+Settings!$B$8*(AO194-Pool!$B$8)/Pool!$C$8+Settings!$B$9*(AP194-Pool!$B$9)/Pool!$C$9+Settings!$B$10*-(T194-Pool!$B$10)/Pool!$C$10</f>
        <v/>
      </c>
      <c r="AR194">
        <f>IF(RANK(AQ194,$AQ$2:$AQ$266)&lt;=Settings!$F$5,1,0)</f>
        <v/>
      </c>
      <c r="AS194" s="6">
        <f>X194*(U194-Pool!$D$12)</f>
        <v/>
      </c>
      <c r="AT194" s="6">
        <f>Z194*(V194-Pool!$D$13)</f>
        <v/>
      </c>
    </row>
    <row r="195">
      <c r="A195">
        <f>RANK(H195,$H$2:$H$266)</f>
        <v/>
      </c>
      <c r="B195" t="inlineStr">
        <is>
          <t>Isaiah Jackson</t>
        </is>
      </c>
      <c r="C195">
        <f>INDEX('Player Data'!$C:$C,AL195)</f>
        <v/>
      </c>
      <c r="D195">
        <f>SUMPRODUCT(($AN$2:$AN$266=AN195)*($H$2:$H$266&gt;H195))+1</f>
        <v/>
      </c>
      <c r="E195">
        <f>INDEX('Player Data'!$B:$B,AL195)</f>
        <v/>
      </c>
      <c r="F195" s="2" t="n"/>
      <c r="G195" s="3">
        <f>Settings!$B$2*AB195+Settings!$B$3*AC195+Settings!$B$4*AD195+Settings!$B$5*AE195+Settings!$B$6*AF195+Settings!$B$7*AG195+Settings!$B$8*AH195+Settings!$B$9*AI195+Settings!$B$10*AJ195</f>
        <v/>
      </c>
      <c r="H195" s="3">
        <f>G195-LARGE($G$2:$G$266,Settings!$F$4)</f>
        <v/>
      </c>
      <c r="I195">
        <f>IF(INDEX('Player Data'!$R:$R,AL195)="","",INDEX('Player Data'!$R:$R,AL195))</f>
        <v/>
      </c>
      <c r="J195" s="4">
        <f>IF(I195="","",I195-A195)</f>
        <v/>
      </c>
      <c r="L195" s="5">
        <f>IF(Settings!$F$7="Yes",INDEX('Minutes &amp; Health'!$O:$O,AL195),Settings!$F$8)</f>
        <v/>
      </c>
      <c r="M195" s="6">
        <f>INDEX('Minutes &amp; Health'!$P:$P,AL195)</f>
        <v/>
      </c>
      <c r="N195" s="5">
        <f>INDEX('Player Data'!$F:$F,AL195)/INDEX('Player Data'!$E:$E,AL195)*M195*L195*AM195</f>
        <v/>
      </c>
      <c r="O195" s="5">
        <f>INDEX('Player Data'!$G:$G,AL195)/INDEX('Player Data'!$E:$E,AL195)*M195*L195*AM195</f>
        <v/>
      </c>
      <c r="P195" s="5">
        <f>INDEX('Player Data'!$H:$H,AL195)/INDEX('Player Data'!$E:$E,AL195)*M195*L195*AM195</f>
        <v/>
      </c>
      <c r="Q195" s="5">
        <f>INDEX('Player Data'!$I:$I,AL195)/INDEX('Player Data'!$E:$E,AL195)*M195*L195*AM195</f>
        <v/>
      </c>
      <c r="R195" s="5">
        <f>INDEX('Player Data'!$J:$J,AL195)/INDEX('Player Data'!$E:$E,AL195)*M195*L195*AM195</f>
        <v/>
      </c>
      <c r="S195" s="5">
        <f>INDEX('Player Data'!$K:$K,AL195)/INDEX('Player Data'!$E:$E,AL195)*M195*L195*AM195</f>
        <v/>
      </c>
      <c r="T195" s="5">
        <f>INDEX('Player Data'!$L:$L,AL195)/INDEX('Player Data'!$E:$E,AL195)*M195*L195*AM195</f>
        <v/>
      </c>
      <c r="U195" s="7">
        <f>INDEX('Player Data'!$M:$M,AL195)</f>
        <v/>
      </c>
      <c r="V195" s="7">
        <f>INDEX('Player Data'!$N:$N,AL195)</f>
        <v/>
      </c>
      <c r="W195" s="5">
        <f>X195*U195</f>
        <v/>
      </c>
      <c r="X195" s="5">
        <f>INDEX('Player Data'!$O:$O,AL195)/INDEX('Player Data'!$E:$E,AL195)*M195*L195*AM195</f>
        <v/>
      </c>
      <c r="Y195" s="5">
        <f>Z195*V195</f>
        <v/>
      </c>
      <c r="Z195" s="5">
        <f>INDEX('Player Data'!$P:$P,AL195)/INDEX('Player Data'!$E:$E,AL195)*M195*L195*AM195</f>
        <v/>
      </c>
      <c r="AB195" s="3">
        <f>(N195-Pool!$D$2)/Pool!$E$2</f>
        <v/>
      </c>
      <c r="AC195" s="3">
        <f>(O195-Pool!$D$3)/Pool!$E$3</f>
        <v/>
      </c>
      <c r="AD195" s="3">
        <f>(P195-Pool!$D$4)/Pool!$E$4</f>
        <v/>
      </c>
      <c r="AE195" s="3">
        <f>(Q195-Pool!$D$5)/Pool!$E$5</f>
        <v/>
      </c>
      <c r="AF195" s="3">
        <f>(R195-Pool!$D$6)/Pool!$E$6</f>
        <v/>
      </c>
      <c r="AG195" s="3">
        <f>(S195-Pool!$D$7)/Pool!$E$7</f>
        <v/>
      </c>
      <c r="AH195" s="3">
        <f>(AS195-Pool!$D$8)/Pool!$E$8</f>
        <v/>
      </c>
      <c r="AI195" s="3">
        <f>(AT195-Pool!$D$9)/Pool!$E$9</f>
        <v/>
      </c>
      <c r="AJ195" s="3">
        <f>-(T195-Pool!$D$10)/Pool!$E$10</f>
        <v/>
      </c>
      <c r="AL195">
        <f>MATCH(B195,'Player Data'!$A:$A,0)</f>
        <v/>
      </c>
      <c r="AM195" s="3">
        <f>1+IF(Settings!$F$10="ON",IFERROR(VLOOKUP(TRIM(F195),Settings!$D$12:$F$17,3,FALSE),0),0)</f>
        <v/>
      </c>
      <c r="AN195">
        <f>IFERROR(LEFT(C195,FIND(",",C195)-1),C195)</f>
        <v/>
      </c>
      <c r="AO195" s="6">
        <f>X195*(U195-Pool!$B$12)</f>
        <v/>
      </c>
      <c r="AP195" s="6">
        <f>Z195*(V195-Pool!$B$13)</f>
        <v/>
      </c>
      <c r="AQ195" s="3">
        <f>Settings!$B$2*(N195-Pool!$B$2)/Pool!$C$2+Settings!$B$3*(O195-Pool!$B$3)/Pool!$C$3+Settings!$B$4*(P195-Pool!$B$4)/Pool!$C$4+Settings!$B$5*(Q195-Pool!$B$5)/Pool!$C$5+Settings!$B$6*(R195-Pool!$B$6)/Pool!$C$6+Settings!$B$7*(S195-Pool!$B$7)/Pool!$C$7+Settings!$B$8*(AO195-Pool!$B$8)/Pool!$C$8+Settings!$B$9*(AP195-Pool!$B$9)/Pool!$C$9+Settings!$B$10*-(T195-Pool!$B$10)/Pool!$C$10</f>
        <v/>
      </c>
      <c r="AR195">
        <f>IF(RANK(AQ195,$AQ$2:$AQ$266)&lt;=Settings!$F$5,1,0)</f>
        <v/>
      </c>
      <c r="AS195" s="6">
        <f>X195*(U195-Pool!$D$12)</f>
        <v/>
      </c>
      <c r="AT195" s="6">
        <f>Z195*(V195-Pool!$D$13)</f>
        <v/>
      </c>
    </row>
    <row r="196">
      <c r="A196">
        <f>RANK(H196,$H$2:$H$266)</f>
        <v/>
      </c>
      <c r="B196" t="inlineStr">
        <is>
          <t>Bradley Beal</t>
        </is>
      </c>
      <c r="C196">
        <f>INDEX('Player Data'!$C:$C,AL196)</f>
        <v/>
      </c>
      <c r="D196">
        <f>SUMPRODUCT(($AN$2:$AN$266=AN196)*($H$2:$H$266&gt;H196))+1</f>
        <v/>
      </c>
      <c r="E196">
        <f>INDEX('Player Data'!$B:$B,AL196)</f>
        <v/>
      </c>
      <c r="F196" s="2" t="n"/>
      <c r="G196" s="3">
        <f>Settings!$B$2*AB196+Settings!$B$3*AC196+Settings!$B$4*AD196+Settings!$B$5*AE196+Settings!$B$6*AF196+Settings!$B$7*AG196+Settings!$B$8*AH196+Settings!$B$9*AI196+Settings!$B$10*AJ196</f>
        <v/>
      </c>
      <c r="H196" s="3">
        <f>G196-LARGE($G$2:$G$266,Settings!$F$4)</f>
        <v/>
      </c>
      <c r="I196">
        <f>IF(INDEX('Player Data'!$R:$R,AL196)="","",INDEX('Player Data'!$R:$R,AL196))</f>
        <v/>
      </c>
      <c r="J196" s="4">
        <f>IF(I196="","",I196-A196)</f>
        <v/>
      </c>
      <c r="L196" s="5">
        <f>IF(Settings!$F$7="Yes",INDEX('Minutes &amp; Health'!$O:$O,AL196),Settings!$F$8)</f>
        <v/>
      </c>
      <c r="M196" s="6">
        <f>INDEX('Minutes &amp; Health'!$P:$P,AL196)</f>
        <v/>
      </c>
      <c r="N196" s="5">
        <f>INDEX('Player Data'!$F:$F,AL196)/INDEX('Player Data'!$E:$E,AL196)*M196*L196*AM196</f>
        <v/>
      </c>
      <c r="O196" s="5">
        <f>INDEX('Player Data'!$G:$G,AL196)/INDEX('Player Data'!$E:$E,AL196)*M196*L196*AM196</f>
        <v/>
      </c>
      <c r="P196" s="5">
        <f>INDEX('Player Data'!$H:$H,AL196)/INDEX('Player Data'!$E:$E,AL196)*M196*L196*AM196</f>
        <v/>
      </c>
      <c r="Q196" s="5">
        <f>INDEX('Player Data'!$I:$I,AL196)/INDEX('Player Data'!$E:$E,AL196)*M196*L196*AM196</f>
        <v/>
      </c>
      <c r="R196" s="5">
        <f>INDEX('Player Data'!$J:$J,AL196)/INDEX('Player Data'!$E:$E,AL196)*M196*L196*AM196</f>
        <v/>
      </c>
      <c r="S196" s="5">
        <f>INDEX('Player Data'!$K:$K,AL196)/INDEX('Player Data'!$E:$E,AL196)*M196*L196*AM196</f>
        <v/>
      </c>
      <c r="T196" s="5">
        <f>INDEX('Player Data'!$L:$L,AL196)/INDEX('Player Data'!$E:$E,AL196)*M196*L196*AM196</f>
        <v/>
      </c>
      <c r="U196" s="7">
        <f>INDEX('Player Data'!$M:$M,AL196)</f>
        <v/>
      </c>
      <c r="V196" s="7">
        <f>INDEX('Player Data'!$N:$N,AL196)</f>
        <v/>
      </c>
      <c r="W196" s="5">
        <f>X196*U196</f>
        <v/>
      </c>
      <c r="X196" s="5">
        <f>INDEX('Player Data'!$O:$O,AL196)/INDEX('Player Data'!$E:$E,AL196)*M196*L196*AM196</f>
        <v/>
      </c>
      <c r="Y196" s="5">
        <f>Z196*V196</f>
        <v/>
      </c>
      <c r="Z196" s="5">
        <f>INDEX('Player Data'!$P:$P,AL196)/INDEX('Player Data'!$E:$E,AL196)*M196*L196*AM196</f>
        <v/>
      </c>
      <c r="AB196" s="3">
        <f>(N196-Pool!$D$2)/Pool!$E$2</f>
        <v/>
      </c>
      <c r="AC196" s="3">
        <f>(O196-Pool!$D$3)/Pool!$E$3</f>
        <v/>
      </c>
      <c r="AD196" s="3">
        <f>(P196-Pool!$D$4)/Pool!$E$4</f>
        <v/>
      </c>
      <c r="AE196" s="3">
        <f>(Q196-Pool!$D$5)/Pool!$E$5</f>
        <v/>
      </c>
      <c r="AF196" s="3">
        <f>(R196-Pool!$D$6)/Pool!$E$6</f>
        <v/>
      </c>
      <c r="AG196" s="3">
        <f>(S196-Pool!$D$7)/Pool!$E$7</f>
        <v/>
      </c>
      <c r="AH196" s="3">
        <f>(AS196-Pool!$D$8)/Pool!$E$8</f>
        <v/>
      </c>
      <c r="AI196" s="3">
        <f>(AT196-Pool!$D$9)/Pool!$E$9</f>
        <v/>
      </c>
      <c r="AJ196" s="3">
        <f>-(T196-Pool!$D$10)/Pool!$E$10</f>
        <v/>
      </c>
      <c r="AL196">
        <f>MATCH(B196,'Player Data'!$A:$A,0)</f>
        <v/>
      </c>
      <c r="AM196" s="3">
        <f>1+IF(Settings!$F$10="ON",IFERROR(VLOOKUP(TRIM(F196),Settings!$D$12:$F$17,3,FALSE),0),0)</f>
        <v/>
      </c>
      <c r="AN196">
        <f>IFERROR(LEFT(C196,FIND(",",C196)-1),C196)</f>
        <v/>
      </c>
      <c r="AO196" s="6">
        <f>X196*(U196-Pool!$B$12)</f>
        <v/>
      </c>
      <c r="AP196" s="6">
        <f>Z196*(V196-Pool!$B$13)</f>
        <v/>
      </c>
      <c r="AQ196" s="3">
        <f>Settings!$B$2*(N196-Pool!$B$2)/Pool!$C$2+Settings!$B$3*(O196-Pool!$B$3)/Pool!$C$3+Settings!$B$4*(P196-Pool!$B$4)/Pool!$C$4+Settings!$B$5*(Q196-Pool!$B$5)/Pool!$C$5+Settings!$B$6*(R196-Pool!$B$6)/Pool!$C$6+Settings!$B$7*(S196-Pool!$B$7)/Pool!$C$7+Settings!$B$8*(AO196-Pool!$B$8)/Pool!$C$8+Settings!$B$9*(AP196-Pool!$B$9)/Pool!$C$9+Settings!$B$10*-(T196-Pool!$B$10)/Pool!$C$10</f>
        <v/>
      </c>
      <c r="AR196">
        <f>IF(RANK(AQ196,$AQ$2:$AQ$266)&lt;=Settings!$F$5,1,0)</f>
        <v/>
      </c>
      <c r="AS196" s="6">
        <f>X196*(U196-Pool!$D$12)</f>
        <v/>
      </c>
      <c r="AT196" s="6">
        <f>Z196*(V196-Pool!$D$13)</f>
        <v/>
      </c>
    </row>
    <row r="197">
      <c r="A197">
        <f>RANK(H197,$H$2:$H$266)</f>
        <v/>
      </c>
      <c r="B197" t="inlineStr">
        <is>
          <t>Bilal Coulibaly</t>
        </is>
      </c>
      <c r="C197">
        <f>INDEX('Player Data'!$C:$C,AL197)</f>
        <v/>
      </c>
      <c r="D197">
        <f>SUMPRODUCT(($AN$2:$AN$266=AN197)*($H$2:$H$266&gt;H197))+1</f>
        <v/>
      </c>
      <c r="E197">
        <f>INDEX('Player Data'!$B:$B,AL197)</f>
        <v/>
      </c>
      <c r="F197" s="2" t="n"/>
      <c r="G197" s="3">
        <f>Settings!$B$2*AB197+Settings!$B$3*AC197+Settings!$B$4*AD197+Settings!$B$5*AE197+Settings!$B$6*AF197+Settings!$B$7*AG197+Settings!$B$8*AH197+Settings!$B$9*AI197+Settings!$B$10*AJ197</f>
        <v/>
      </c>
      <c r="H197" s="3">
        <f>G197-LARGE($G$2:$G$266,Settings!$F$4)</f>
        <v/>
      </c>
      <c r="I197">
        <f>IF(INDEX('Player Data'!$R:$R,AL197)="","",INDEX('Player Data'!$R:$R,AL197))</f>
        <v/>
      </c>
      <c r="J197" s="4">
        <f>IF(I197="","",I197-A197)</f>
        <v/>
      </c>
      <c r="L197" s="5">
        <f>IF(Settings!$F$7="Yes",INDEX('Minutes &amp; Health'!$O:$O,AL197),Settings!$F$8)</f>
        <v/>
      </c>
      <c r="M197" s="6">
        <f>INDEX('Minutes &amp; Health'!$P:$P,AL197)</f>
        <v/>
      </c>
      <c r="N197" s="5">
        <f>INDEX('Player Data'!$F:$F,AL197)/INDEX('Player Data'!$E:$E,AL197)*M197*L197*AM197</f>
        <v/>
      </c>
      <c r="O197" s="5">
        <f>INDEX('Player Data'!$G:$G,AL197)/INDEX('Player Data'!$E:$E,AL197)*M197*L197*AM197</f>
        <v/>
      </c>
      <c r="P197" s="5">
        <f>INDEX('Player Data'!$H:$H,AL197)/INDEX('Player Data'!$E:$E,AL197)*M197*L197*AM197</f>
        <v/>
      </c>
      <c r="Q197" s="5">
        <f>INDEX('Player Data'!$I:$I,AL197)/INDEX('Player Data'!$E:$E,AL197)*M197*L197*AM197</f>
        <v/>
      </c>
      <c r="R197" s="5">
        <f>INDEX('Player Data'!$J:$J,AL197)/INDEX('Player Data'!$E:$E,AL197)*M197*L197*AM197</f>
        <v/>
      </c>
      <c r="S197" s="5">
        <f>INDEX('Player Data'!$K:$K,AL197)/INDEX('Player Data'!$E:$E,AL197)*M197*L197*AM197</f>
        <v/>
      </c>
      <c r="T197" s="5">
        <f>INDEX('Player Data'!$L:$L,AL197)/INDEX('Player Data'!$E:$E,AL197)*M197*L197*AM197</f>
        <v/>
      </c>
      <c r="U197" s="7">
        <f>INDEX('Player Data'!$M:$M,AL197)</f>
        <v/>
      </c>
      <c r="V197" s="7">
        <f>INDEX('Player Data'!$N:$N,AL197)</f>
        <v/>
      </c>
      <c r="W197" s="5">
        <f>X197*U197</f>
        <v/>
      </c>
      <c r="X197" s="5">
        <f>INDEX('Player Data'!$O:$O,AL197)/INDEX('Player Data'!$E:$E,AL197)*M197*L197*AM197</f>
        <v/>
      </c>
      <c r="Y197" s="5">
        <f>Z197*V197</f>
        <v/>
      </c>
      <c r="Z197" s="5">
        <f>INDEX('Player Data'!$P:$P,AL197)/INDEX('Player Data'!$E:$E,AL197)*M197*L197*AM197</f>
        <v/>
      </c>
      <c r="AB197" s="3">
        <f>(N197-Pool!$D$2)/Pool!$E$2</f>
        <v/>
      </c>
      <c r="AC197" s="3">
        <f>(O197-Pool!$D$3)/Pool!$E$3</f>
        <v/>
      </c>
      <c r="AD197" s="3">
        <f>(P197-Pool!$D$4)/Pool!$E$4</f>
        <v/>
      </c>
      <c r="AE197" s="3">
        <f>(Q197-Pool!$D$5)/Pool!$E$5</f>
        <v/>
      </c>
      <c r="AF197" s="3">
        <f>(R197-Pool!$D$6)/Pool!$E$6</f>
        <v/>
      </c>
      <c r="AG197" s="3">
        <f>(S197-Pool!$D$7)/Pool!$E$7</f>
        <v/>
      </c>
      <c r="AH197" s="3">
        <f>(AS197-Pool!$D$8)/Pool!$E$8</f>
        <v/>
      </c>
      <c r="AI197" s="3">
        <f>(AT197-Pool!$D$9)/Pool!$E$9</f>
        <v/>
      </c>
      <c r="AJ197" s="3">
        <f>-(T197-Pool!$D$10)/Pool!$E$10</f>
        <v/>
      </c>
      <c r="AL197">
        <f>MATCH(B197,'Player Data'!$A:$A,0)</f>
        <v/>
      </c>
      <c r="AM197" s="3">
        <f>1+IF(Settings!$F$10="ON",IFERROR(VLOOKUP(TRIM(F197),Settings!$D$12:$F$17,3,FALSE),0),0)</f>
        <v/>
      </c>
      <c r="AN197">
        <f>IFERROR(LEFT(C197,FIND(",",C197)-1),C197)</f>
        <v/>
      </c>
      <c r="AO197" s="6">
        <f>X197*(U197-Pool!$B$12)</f>
        <v/>
      </c>
      <c r="AP197" s="6">
        <f>Z197*(V197-Pool!$B$13)</f>
        <v/>
      </c>
      <c r="AQ197" s="3">
        <f>Settings!$B$2*(N197-Pool!$B$2)/Pool!$C$2+Settings!$B$3*(O197-Pool!$B$3)/Pool!$C$3+Settings!$B$4*(P197-Pool!$B$4)/Pool!$C$4+Settings!$B$5*(Q197-Pool!$B$5)/Pool!$C$5+Settings!$B$6*(R197-Pool!$B$6)/Pool!$C$6+Settings!$B$7*(S197-Pool!$B$7)/Pool!$C$7+Settings!$B$8*(AO197-Pool!$B$8)/Pool!$C$8+Settings!$B$9*(AP197-Pool!$B$9)/Pool!$C$9+Settings!$B$10*-(T197-Pool!$B$10)/Pool!$C$10</f>
        <v/>
      </c>
      <c r="AR197">
        <f>IF(RANK(AQ197,$AQ$2:$AQ$266)&lt;=Settings!$F$5,1,0)</f>
        <v/>
      </c>
      <c r="AS197" s="6">
        <f>X197*(U197-Pool!$D$12)</f>
        <v/>
      </c>
      <c r="AT197" s="6">
        <f>Z197*(V197-Pool!$D$13)</f>
        <v/>
      </c>
    </row>
    <row r="198">
      <c r="A198">
        <f>RANK(H198,$H$2:$H$266)</f>
        <v/>
      </c>
      <c r="B198" t="inlineStr">
        <is>
          <t>T.J. McConnell</t>
        </is>
      </c>
      <c r="C198">
        <f>INDEX('Player Data'!$C:$C,AL198)</f>
        <v/>
      </c>
      <c r="D198">
        <f>SUMPRODUCT(($AN$2:$AN$266=AN198)*($H$2:$H$266&gt;H198))+1</f>
        <v/>
      </c>
      <c r="E198">
        <f>INDEX('Player Data'!$B:$B,AL198)</f>
        <v/>
      </c>
      <c r="F198" s="2" t="n"/>
      <c r="G198" s="3">
        <f>Settings!$B$2*AB198+Settings!$B$3*AC198+Settings!$B$4*AD198+Settings!$B$5*AE198+Settings!$B$6*AF198+Settings!$B$7*AG198+Settings!$B$8*AH198+Settings!$B$9*AI198+Settings!$B$10*AJ198</f>
        <v/>
      </c>
      <c r="H198" s="3">
        <f>G198-LARGE($G$2:$G$266,Settings!$F$4)</f>
        <v/>
      </c>
      <c r="I198">
        <f>IF(INDEX('Player Data'!$R:$R,AL198)="","",INDEX('Player Data'!$R:$R,AL198))</f>
        <v/>
      </c>
      <c r="J198" s="4">
        <f>IF(I198="","",I198-A198)</f>
        <v/>
      </c>
      <c r="L198" s="5">
        <f>IF(Settings!$F$7="Yes",INDEX('Minutes &amp; Health'!$O:$O,AL198),Settings!$F$8)</f>
        <v/>
      </c>
      <c r="M198" s="6">
        <f>INDEX('Minutes &amp; Health'!$P:$P,AL198)</f>
        <v/>
      </c>
      <c r="N198" s="5">
        <f>INDEX('Player Data'!$F:$F,AL198)/INDEX('Player Data'!$E:$E,AL198)*M198*L198*AM198</f>
        <v/>
      </c>
      <c r="O198" s="5">
        <f>INDEX('Player Data'!$G:$G,AL198)/INDEX('Player Data'!$E:$E,AL198)*M198*L198*AM198</f>
        <v/>
      </c>
      <c r="P198" s="5">
        <f>INDEX('Player Data'!$H:$H,AL198)/INDEX('Player Data'!$E:$E,AL198)*M198*L198*AM198</f>
        <v/>
      </c>
      <c r="Q198" s="5">
        <f>INDEX('Player Data'!$I:$I,AL198)/INDEX('Player Data'!$E:$E,AL198)*M198*L198*AM198</f>
        <v/>
      </c>
      <c r="R198" s="5">
        <f>INDEX('Player Data'!$J:$J,AL198)/INDEX('Player Data'!$E:$E,AL198)*M198*L198*AM198</f>
        <v/>
      </c>
      <c r="S198" s="5">
        <f>INDEX('Player Data'!$K:$K,AL198)/INDEX('Player Data'!$E:$E,AL198)*M198*L198*AM198</f>
        <v/>
      </c>
      <c r="T198" s="5">
        <f>INDEX('Player Data'!$L:$L,AL198)/INDEX('Player Data'!$E:$E,AL198)*M198*L198*AM198</f>
        <v/>
      </c>
      <c r="U198" s="7">
        <f>INDEX('Player Data'!$M:$M,AL198)</f>
        <v/>
      </c>
      <c r="V198" s="7">
        <f>INDEX('Player Data'!$N:$N,AL198)</f>
        <v/>
      </c>
      <c r="W198" s="5">
        <f>X198*U198</f>
        <v/>
      </c>
      <c r="X198" s="5">
        <f>INDEX('Player Data'!$O:$O,AL198)/INDEX('Player Data'!$E:$E,AL198)*M198*L198*AM198</f>
        <v/>
      </c>
      <c r="Y198" s="5">
        <f>Z198*V198</f>
        <v/>
      </c>
      <c r="Z198" s="5">
        <f>INDEX('Player Data'!$P:$P,AL198)/INDEX('Player Data'!$E:$E,AL198)*M198*L198*AM198</f>
        <v/>
      </c>
      <c r="AB198" s="3">
        <f>(N198-Pool!$D$2)/Pool!$E$2</f>
        <v/>
      </c>
      <c r="AC198" s="3">
        <f>(O198-Pool!$D$3)/Pool!$E$3</f>
        <v/>
      </c>
      <c r="AD198" s="3">
        <f>(P198-Pool!$D$4)/Pool!$E$4</f>
        <v/>
      </c>
      <c r="AE198" s="3">
        <f>(Q198-Pool!$D$5)/Pool!$E$5</f>
        <v/>
      </c>
      <c r="AF198" s="3">
        <f>(R198-Pool!$D$6)/Pool!$E$6</f>
        <v/>
      </c>
      <c r="AG198" s="3">
        <f>(S198-Pool!$D$7)/Pool!$E$7</f>
        <v/>
      </c>
      <c r="AH198" s="3">
        <f>(AS198-Pool!$D$8)/Pool!$E$8</f>
        <v/>
      </c>
      <c r="AI198" s="3">
        <f>(AT198-Pool!$D$9)/Pool!$E$9</f>
        <v/>
      </c>
      <c r="AJ198" s="3">
        <f>-(T198-Pool!$D$10)/Pool!$E$10</f>
        <v/>
      </c>
      <c r="AL198">
        <f>MATCH(B198,'Player Data'!$A:$A,0)</f>
        <v/>
      </c>
      <c r="AM198" s="3">
        <f>1+IF(Settings!$F$10="ON",IFERROR(VLOOKUP(TRIM(F198),Settings!$D$12:$F$17,3,FALSE),0),0)</f>
        <v/>
      </c>
      <c r="AN198">
        <f>IFERROR(LEFT(C198,FIND(",",C198)-1),C198)</f>
        <v/>
      </c>
      <c r="AO198" s="6">
        <f>X198*(U198-Pool!$B$12)</f>
        <v/>
      </c>
      <c r="AP198" s="6">
        <f>Z198*(V198-Pool!$B$13)</f>
        <v/>
      </c>
      <c r="AQ198" s="3">
        <f>Settings!$B$2*(N198-Pool!$B$2)/Pool!$C$2+Settings!$B$3*(O198-Pool!$B$3)/Pool!$C$3+Settings!$B$4*(P198-Pool!$B$4)/Pool!$C$4+Settings!$B$5*(Q198-Pool!$B$5)/Pool!$C$5+Settings!$B$6*(R198-Pool!$B$6)/Pool!$C$6+Settings!$B$7*(S198-Pool!$B$7)/Pool!$C$7+Settings!$B$8*(AO198-Pool!$B$8)/Pool!$C$8+Settings!$B$9*(AP198-Pool!$B$9)/Pool!$C$9+Settings!$B$10*-(T198-Pool!$B$10)/Pool!$C$10</f>
        <v/>
      </c>
      <c r="AR198">
        <f>IF(RANK(AQ198,$AQ$2:$AQ$266)&lt;=Settings!$F$5,1,0)</f>
        <v/>
      </c>
      <c r="AS198" s="6">
        <f>X198*(U198-Pool!$D$12)</f>
        <v/>
      </c>
      <c r="AT198" s="6">
        <f>Z198*(V198-Pool!$D$13)</f>
        <v/>
      </c>
    </row>
    <row r="199">
      <c r="A199">
        <f>RANK(H199,$H$2:$H$266)</f>
        <v/>
      </c>
      <c r="B199" t="inlineStr">
        <is>
          <t>Isaiah Stewart</t>
        </is>
      </c>
      <c r="C199">
        <f>INDEX('Player Data'!$C:$C,AL199)</f>
        <v/>
      </c>
      <c r="D199">
        <f>SUMPRODUCT(($AN$2:$AN$266=AN199)*($H$2:$H$266&gt;H199))+1</f>
        <v/>
      </c>
      <c r="E199">
        <f>INDEX('Player Data'!$B:$B,AL199)</f>
        <v/>
      </c>
      <c r="F199" s="2" t="n"/>
      <c r="G199" s="3">
        <f>Settings!$B$2*AB199+Settings!$B$3*AC199+Settings!$B$4*AD199+Settings!$B$5*AE199+Settings!$B$6*AF199+Settings!$B$7*AG199+Settings!$B$8*AH199+Settings!$B$9*AI199+Settings!$B$10*AJ199</f>
        <v/>
      </c>
      <c r="H199" s="3">
        <f>G199-LARGE($G$2:$G$266,Settings!$F$4)</f>
        <v/>
      </c>
      <c r="I199">
        <f>IF(INDEX('Player Data'!$R:$R,AL199)="","",INDEX('Player Data'!$R:$R,AL199))</f>
        <v/>
      </c>
      <c r="J199" s="4">
        <f>IF(I199="","",I199-A199)</f>
        <v/>
      </c>
      <c r="L199" s="5">
        <f>IF(Settings!$F$7="Yes",INDEX('Minutes &amp; Health'!$O:$O,AL199),Settings!$F$8)</f>
        <v/>
      </c>
      <c r="M199" s="6">
        <f>INDEX('Minutes &amp; Health'!$P:$P,AL199)</f>
        <v/>
      </c>
      <c r="N199" s="5">
        <f>INDEX('Player Data'!$F:$F,AL199)/INDEX('Player Data'!$E:$E,AL199)*M199*L199*AM199</f>
        <v/>
      </c>
      <c r="O199" s="5">
        <f>INDEX('Player Data'!$G:$G,AL199)/INDEX('Player Data'!$E:$E,AL199)*M199*L199*AM199</f>
        <v/>
      </c>
      <c r="P199" s="5">
        <f>INDEX('Player Data'!$H:$H,AL199)/INDEX('Player Data'!$E:$E,AL199)*M199*L199*AM199</f>
        <v/>
      </c>
      <c r="Q199" s="5">
        <f>INDEX('Player Data'!$I:$I,AL199)/INDEX('Player Data'!$E:$E,AL199)*M199*L199*AM199</f>
        <v/>
      </c>
      <c r="R199" s="5">
        <f>INDEX('Player Data'!$J:$J,AL199)/INDEX('Player Data'!$E:$E,AL199)*M199*L199*AM199</f>
        <v/>
      </c>
      <c r="S199" s="5">
        <f>INDEX('Player Data'!$K:$K,AL199)/INDEX('Player Data'!$E:$E,AL199)*M199*L199*AM199</f>
        <v/>
      </c>
      <c r="T199" s="5">
        <f>INDEX('Player Data'!$L:$L,AL199)/INDEX('Player Data'!$E:$E,AL199)*M199*L199*AM199</f>
        <v/>
      </c>
      <c r="U199" s="7">
        <f>INDEX('Player Data'!$M:$M,AL199)</f>
        <v/>
      </c>
      <c r="V199" s="7">
        <f>INDEX('Player Data'!$N:$N,AL199)</f>
        <v/>
      </c>
      <c r="W199" s="5">
        <f>X199*U199</f>
        <v/>
      </c>
      <c r="X199" s="5">
        <f>INDEX('Player Data'!$O:$O,AL199)/INDEX('Player Data'!$E:$E,AL199)*M199*L199*AM199</f>
        <v/>
      </c>
      <c r="Y199" s="5">
        <f>Z199*V199</f>
        <v/>
      </c>
      <c r="Z199" s="5">
        <f>INDEX('Player Data'!$P:$P,AL199)/INDEX('Player Data'!$E:$E,AL199)*M199*L199*AM199</f>
        <v/>
      </c>
      <c r="AB199" s="3">
        <f>(N199-Pool!$D$2)/Pool!$E$2</f>
        <v/>
      </c>
      <c r="AC199" s="3">
        <f>(O199-Pool!$D$3)/Pool!$E$3</f>
        <v/>
      </c>
      <c r="AD199" s="3">
        <f>(P199-Pool!$D$4)/Pool!$E$4</f>
        <v/>
      </c>
      <c r="AE199" s="3">
        <f>(Q199-Pool!$D$5)/Pool!$E$5</f>
        <v/>
      </c>
      <c r="AF199" s="3">
        <f>(R199-Pool!$D$6)/Pool!$E$6</f>
        <v/>
      </c>
      <c r="AG199" s="3">
        <f>(S199-Pool!$D$7)/Pool!$E$7</f>
        <v/>
      </c>
      <c r="AH199" s="3">
        <f>(AS199-Pool!$D$8)/Pool!$E$8</f>
        <v/>
      </c>
      <c r="AI199" s="3">
        <f>(AT199-Pool!$D$9)/Pool!$E$9</f>
        <v/>
      </c>
      <c r="AJ199" s="3">
        <f>-(T199-Pool!$D$10)/Pool!$E$10</f>
        <v/>
      </c>
      <c r="AL199">
        <f>MATCH(B199,'Player Data'!$A:$A,0)</f>
        <v/>
      </c>
      <c r="AM199" s="3">
        <f>1+IF(Settings!$F$10="ON",IFERROR(VLOOKUP(TRIM(F199),Settings!$D$12:$F$17,3,FALSE),0),0)</f>
        <v/>
      </c>
      <c r="AN199">
        <f>IFERROR(LEFT(C199,FIND(",",C199)-1),C199)</f>
        <v/>
      </c>
      <c r="AO199" s="6">
        <f>X199*(U199-Pool!$B$12)</f>
        <v/>
      </c>
      <c r="AP199" s="6">
        <f>Z199*(V199-Pool!$B$13)</f>
        <v/>
      </c>
      <c r="AQ199" s="3">
        <f>Settings!$B$2*(N199-Pool!$B$2)/Pool!$C$2+Settings!$B$3*(O199-Pool!$B$3)/Pool!$C$3+Settings!$B$4*(P199-Pool!$B$4)/Pool!$C$4+Settings!$B$5*(Q199-Pool!$B$5)/Pool!$C$5+Settings!$B$6*(R199-Pool!$B$6)/Pool!$C$6+Settings!$B$7*(S199-Pool!$B$7)/Pool!$C$7+Settings!$B$8*(AO199-Pool!$B$8)/Pool!$C$8+Settings!$B$9*(AP199-Pool!$B$9)/Pool!$C$9+Settings!$B$10*-(T199-Pool!$B$10)/Pool!$C$10</f>
        <v/>
      </c>
      <c r="AR199">
        <f>IF(RANK(AQ199,$AQ$2:$AQ$266)&lt;=Settings!$F$5,1,0)</f>
        <v/>
      </c>
      <c r="AS199" s="6">
        <f>X199*(U199-Pool!$D$12)</f>
        <v/>
      </c>
      <c r="AT199" s="6">
        <f>Z199*(V199-Pool!$D$13)</f>
        <v/>
      </c>
    </row>
    <row r="200">
      <c r="A200">
        <f>RANK(H200,$H$2:$H$266)</f>
        <v/>
      </c>
      <c r="B200" t="inlineStr">
        <is>
          <t>Naji Marshall</t>
        </is>
      </c>
      <c r="C200">
        <f>INDEX('Player Data'!$C:$C,AL200)</f>
        <v/>
      </c>
      <c r="D200">
        <f>SUMPRODUCT(($AN$2:$AN$266=AN200)*($H$2:$H$266&gt;H200))+1</f>
        <v/>
      </c>
      <c r="E200">
        <f>INDEX('Player Data'!$B:$B,AL200)</f>
        <v/>
      </c>
      <c r="F200" s="2" t="n"/>
      <c r="G200" s="3">
        <f>Settings!$B$2*AB200+Settings!$B$3*AC200+Settings!$B$4*AD200+Settings!$B$5*AE200+Settings!$B$6*AF200+Settings!$B$7*AG200+Settings!$B$8*AH200+Settings!$B$9*AI200+Settings!$B$10*AJ200</f>
        <v/>
      </c>
      <c r="H200" s="3">
        <f>G200-LARGE($G$2:$G$266,Settings!$F$4)</f>
        <v/>
      </c>
      <c r="I200">
        <f>IF(INDEX('Player Data'!$R:$R,AL200)="","",INDEX('Player Data'!$R:$R,AL200))</f>
        <v/>
      </c>
      <c r="J200" s="4">
        <f>IF(I200="","",I200-A200)</f>
        <v/>
      </c>
      <c r="L200" s="5">
        <f>IF(Settings!$F$7="Yes",INDEX('Minutes &amp; Health'!$O:$O,AL200),Settings!$F$8)</f>
        <v/>
      </c>
      <c r="M200" s="6">
        <f>INDEX('Minutes &amp; Health'!$P:$P,AL200)</f>
        <v/>
      </c>
      <c r="N200" s="5">
        <f>INDEX('Player Data'!$F:$F,AL200)/INDEX('Player Data'!$E:$E,AL200)*M200*L200*AM200</f>
        <v/>
      </c>
      <c r="O200" s="5">
        <f>INDEX('Player Data'!$G:$G,AL200)/INDEX('Player Data'!$E:$E,AL200)*M200*L200*AM200</f>
        <v/>
      </c>
      <c r="P200" s="5">
        <f>INDEX('Player Data'!$H:$H,AL200)/INDEX('Player Data'!$E:$E,AL200)*M200*L200*AM200</f>
        <v/>
      </c>
      <c r="Q200" s="5">
        <f>INDEX('Player Data'!$I:$I,AL200)/INDEX('Player Data'!$E:$E,AL200)*M200*L200*AM200</f>
        <v/>
      </c>
      <c r="R200" s="5">
        <f>INDEX('Player Data'!$J:$J,AL200)/INDEX('Player Data'!$E:$E,AL200)*M200*L200*AM200</f>
        <v/>
      </c>
      <c r="S200" s="5">
        <f>INDEX('Player Data'!$K:$K,AL200)/INDEX('Player Data'!$E:$E,AL200)*M200*L200*AM200</f>
        <v/>
      </c>
      <c r="T200" s="5">
        <f>INDEX('Player Data'!$L:$L,AL200)/INDEX('Player Data'!$E:$E,AL200)*M200*L200*AM200</f>
        <v/>
      </c>
      <c r="U200" s="7">
        <f>INDEX('Player Data'!$M:$M,AL200)</f>
        <v/>
      </c>
      <c r="V200" s="7">
        <f>INDEX('Player Data'!$N:$N,AL200)</f>
        <v/>
      </c>
      <c r="W200" s="5">
        <f>X200*U200</f>
        <v/>
      </c>
      <c r="X200" s="5">
        <f>INDEX('Player Data'!$O:$O,AL200)/INDEX('Player Data'!$E:$E,AL200)*M200*L200*AM200</f>
        <v/>
      </c>
      <c r="Y200" s="5">
        <f>Z200*V200</f>
        <v/>
      </c>
      <c r="Z200" s="5">
        <f>INDEX('Player Data'!$P:$P,AL200)/INDEX('Player Data'!$E:$E,AL200)*M200*L200*AM200</f>
        <v/>
      </c>
      <c r="AB200" s="3">
        <f>(N200-Pool!$D$2)/Pool!$E$2</f>
        <v/>
      </c>
      <c r="AC200" s="3">
        <f>(O200-Pool!$D$3)/Pool!$E$3</f>
        <v/>
      </c>
      <c r="AD200" s="3">
        <f>(P200-Pool!$D$4)/Pool!$E$4</f>
        <v/>
      </c>
      <c r="AE200" s="3">
        <f>(Q200-Pool!$D$5)/Pool!$E$5</f>
        <v/>
      </c>
      <c r="AF200" s="3">
        <f>(R200-Pool!$D$6)/Pool!$E$6</f>
        <v/>
      </c>
      <c r="AG200" s="3">
        <f>(S200-Pool!$D$7)/Pool!$E$7</f>
        <v/>
      </c>
      <c r="AH200" s="3">
        <f>(AS200-Pool!$D$8)/Pool!$E$8</f>
        <v/>
      </c>
      <c r="AI200" s="3">
        <f>(AT200-Pool!$D$9)/Pool!$E$9</f>
        <v/>
      </c>
      <c r="AJ200" s="3">
        <f>-(T200-Pool!$D$10)/Pool!$E$10</f>
        <v/>
      </c>
      <c r="AL200">
        <f>MATCH(B200,'Player Data'!$A:$A,0)</f>
        <v/>
      </c>
      <c r="AM200" s="3">
        <f>1+IF(Settings!$F$10="ON",IFERROR(VLOOKUP(TRIM(F200),Settings!$D$12:$F$17,3,FALSE),0),0)</f>
        <v/>
      </c>
      <c r="AN200">
        <f>IFERROR(LEFT(C200,FIND(",",C200)-1),C200)</f>
        <v/>
      </c>
      <c r="AO200" s="6">
        <f>X200*(U200-Pool!$B$12)</f>
        <v/>
      </c>
      <c r="AP200" s="6">
        <f>Z200*(V200-Pool!$B$13)</f>
        <v/>
      </c>
      <c r="AQ200" s="3">
        <f>Settings!$B$2*(N200-Pool!$B$2)/Pool!$C$2+Settings!$B$3*(O200-Pool!$B$3)/Pool!$C$3+Settings!$B$4*(P200-Pool!$B$4)/Pool!$C$4+Settings!$B$5*(Q200-Pool!$B$5)/Pool!$C$5+Settings!$B$6*(R200-Pool!$B$6)/Pool!$C$6+Settings!$B$7*(S200-Pool!$B$7)/Pool!$C$7+Settings!$B$8*(AO200-Pool!$B$8)/Pool!$C$8+Settings!$B$9*(AP200-Pool!$B$9)/Pool!$C$9+Settings!$B$10*-(T200-Pool!$B$10)/Pool!$C$10</f>
        <v/>
      </c>
      <c r="AR200">
        <f>IF(RANK(AQ200,$AQ$2:$AQ$266)&lt;=Settings!$F$5,1,0)</f>
        <v/>
      </c>
      <c r="AS200" s="6">
        <f>X200*(U200-Pool!$D$12)</f>
        <v/>
      </c>
      <c r="AT200" s="6">
        <f>Z200*(V200-Pool!$D$13)</f>
        <v/>
      </c>
    </row>
    <row r="201">
      <c r="A201">
        <f>RANK(H201,$H$2:$H$266)</f>
        <v/>
      </c>
      <c r="B201" t="inlineStr">
        <is>
          <t>Obi Toppin</t>
        </is>
      </c>
      <c r="C201">
        <f>INDEX('Player Data'!$C:$C,AL201)</f>
        <v/>
      </c>
      <c r="D201">
        <f>SUMPRODUCT(($AN$2:$AN$266=AN201)*($H$2:$H$266&gt;H201))+1</f>
        <v/>
      </c>
      <c r="E201">
        <f>INDEX('Player Data'!$B:$B,AL201)</f>
        <v/>
      </c>
      <c r="F201" s="2" t="n"/>
      <c r="G201" s="3">
        <f>Settings!$B$2*AB201+Settings!$B$3*AC201+Settings!$B$4*AD201+Settings!$B$5*AE201+Settings!$B$6*AF201+Settings!$B$7*AG201+Settings!$B$8*AH201+Settings!$B$9*AI201+Settings!$B$10*AJ201</f>
        <v/>
      </c>
      <c r="H201" s="3">
        <f>G201-LARGE($G$2:$G$266,Settings!$F$4)</f>
        <v/>
      </c>
      <c r="I201">
        <f>IF(INDEX('Player Data'!$R:$R,AL201)="","",INDEX('Player Data'!$R:$R,AL201))</f>
        <v/>
      </c>
      <c r="J201" s="4">
        <f>IF(I201="","",I201-A201)</f>
        <v/>
      </c>
      <c r="L201" s="5">
        <f>IF(Settings!$F$7="Yes",INDEX('Minutes &amp; Health'!$O:$O,AL201),Settings!$F$8)</f>
        <v/>
      </c>
      <c r="M201" s="6">
        <f>INDEX('Minutes &amp; Health'!$P:$P,AL201)</f>
        <v/>
      </c>
      <c r="N201" s="5">
        <f>INDEX('Player Data'!$F:$F,AL201)/INDEX('Player Data'!$E:$E,AL201)*M201*L201*AM201</f>
        <v/>
      </c>
      <c r="O201" s="5">
        <f>INDEX('Player Data'!$G:$G,AL201)/INDEX('Player Data'!$E:$E,AL201)*M201*L201*AM201</f>
        <v/>
      </c>
      <c r="P201" s="5">
        <f>INDEX('Player Data'!$H:$H,AL201)/INDEX('Player Data'!$E:$E,AL201)*M201*L201*AM201</f>
        <v/>
      </c>
      <c r="Q201" s="5">
        <f>INDEX('Player Data'!$I:$I,AL201)/INDEX('Player Data'!$E:$E,AL201)*M201*L201*AM201</f>
        <v/>
      </c>
      <c r="R201" s="5">
        <f>INDEX('Player Data'!$J:$J,AL201)/INDEX('Player Data'!$E:$E,AL201)*M201*L201*AM201</f>
        <v/>
      </c>
      <c r="S201" s="5">
        <f>INDEX('Player Data'!$K:$K,AL201)/INDEX('Player Data'!$E:$E,AL201)*M201*L201*AM201</f>
        <v/>
      </c>
      <c r="T201" s="5">
        <f>INDEX('Player Data'!$L:$L,AL201)/INDEX('Player Data'!$E:$E,AL201)*M201*L201*AM201</f>
        <v/>
      </c>
      <c r="U201" s="7">
        <f>INDEX('Player Data'!$M:$M,AL201)</f>
        <v/>
      </c>
      <c r="V201" s="7">
        <f>INDEX('Player Data'!$N:$N,AL201)</f>
        <v/>
      </c>
      <c r="W201" s="5">
        <f>X201*U201</f>
        <v/>
      </c>
      <c r="X201" s="5">
        <f>INDEX('Player Data'!$O:$O,AL201)/INDEX('Player Data'!$E:$E,AL201)*M201*L201*AM201</f>
        <v/>
      </c>
      <c r="Y201" s="5">
        <f>Z201*V201</f>
        <v/>
      </c>
      <c r="Z201" s="5">
        <f>INDEX('Player Data'!$P:$P,AL201)/INDEX('Player Data'!$E:$E,AL201)*M201*L201*AM201</f>
        <v/>
      </c>
      <c r="AB201" s="3">
        <f>(N201-Pool!$D$2)/Pool!$E$2</f>
        <v/>
      </c>
      <c r="AC201" s="3">
        <f>(O201-Pool!$D$3)/Pool!$E$3</f>
        <v/>
      </c>
      <c r="AD201" s="3">
        <f>(P201-Pool!$D$4)/Pool!$E$4</f>
        <v/>
      </c>
      <c r="AE201" s="3">
        <f>(Q201-Pool!$D$5)/Pool!$E$5</f>
        <v/>
      </c>
      <c r="AF201" s="3">
        <f>(R201-Pool!$D$6)/Pool!$E$6</f>
        <v/>
      </c>
      <c r="AG201" s="3">
        <f>(S201-Pool!$D$7)/Pool!$E$7</f>
        <v/>
      </c>
      <c r="AH201" s="3">
        <f>(AS201-Pool!$D$8)/Pool!$E$8</f>
        <v/>
      </c>
      <c r="AI201" s="3">
        <f>(AT201-Pool!$D$9)/Pool!$E$9</f>
        <v/>
      </c>
      <c r="AJ201" s="3">
        <f>-(T201-Pool!$D$10)/Pool!$E$10</f>
        <v/>
      </c>
      <c r="AL201">
        <f>MATCH(B201,'Player Data'!$A:$A,0)</f>
        <v/>
      </c>
      <c r="AM201" s="3">
        <f>1+IF(Settings!$F$10="ON",IFERROR(VLOOKUP(TRIM(F201),Settings!$D$12:$F$17,3,FALSE),0),0)</f>
        <v/>
      </c>
      <c r="AN201">
        <f>IFERROR(LEFT(C201,FIND(",",C201)-1),C201)</f>
        <v/>
      </c>
      <c r="AO201" s="6">
        <f>X201*(U201-Pool!$B$12)</f>
        <v/>
      </c>
      <c r="AP201" s="6">
        <f>Z201*(V201-Pool!$B$13)</f>
        <v/>
      </c>
      <c r="AQ201" s="3">
        <f>Settings!$B$2*(N201-Pool!$B$2)/Pool!$C$2+Settings!$B$3*(O201-Pool!$B$3)/Pool!$C$3+Settings!$B$4*(P201-Pool!$B$4)/Pool!$C$4+Settings!$B$5*(Q201-Pool!$B$5)/Pool!$C$5+Settings!$B$6*(R201-Pool!$B$6)/Pool!$C$6+Settings!$B$7*(S201-Pool!$B$7)/Pool!$C$7+Settings!$B$8*(AO201-Pool!$B$8)/Pool!$C$8+Settings!$B$9*(AP201-Pool!$B$9)/Pool!$C$9+Settings!$B$10*-(T201-Pool!$B$10)/Pool!$C$10</f>
        <v/>
      </c>
      <c r="AR201">
        <f>IF(RANK(AQ201,$AQ$2:$AQ$266)&lt;=Settings!$F$5,1,0)</f>
        <v/>
      </c>
      <c r="AS201" s="6">
        <f>X201*(U201-Pool!$D$12)</f>
        <v/>
      </c>
      <c r="AT201" s="6">
        <f>Z201*(V201-Pool!$D$13)</f>
        <v/>
      </c>
    </row>
    <row r="202">
      <c r="A202">
        <f>RANK(H202,$H$2:$H$266)</f>
        <v/>
      </c>
      <c r="B202" t="inlineStr">
        <is>
          <t>Precious Achiuwa</t>
        </is>
      </c>
      <c r="C202">
        <f>INDEX('Player Data'!$C:$C,AL202)</f>
        <v/>
      </c>
      <c r="D202">
        <f>SUMPRODUCT(($AN$2:$AN$266=AN202)*($H$2:$H$266&gt;H202))+1</f>
        <v/>
      </c>
      <c r="E202">
        <f>INDEX('Player Data'!$B:$B,AL202)</f>
        <v/>
      </c>
      <c r="F202" s="2" t="n"/>
      <c r="G202" s="3">
        <f>Settings!$B$2*AB202+Settings!$B$3*AC202+Settings!$B$4*AD202+Settings!$B$5*AE202+Settings!$B$6*AF202+Settings!$B$7*AG202+Settings!$B$8*AH202+Settings!$B$9*AI202+Settings!$B$10*AJ202</f>
        <v/>
      </c>
      <c r="H202" s="3">
        <f>G202-LARGE($G$2:$G$266,Settings!$F$4)</f>
        <v/>
      </c>
      <c r="I202">
        <f>IF(INDEX('Player Data'!$R:$R,AL202)="","",INDEX('Player Data'!$R:$R,AL202))</f>
        <v/>
      </c>
      <c r="J202" s="4">
        <f>IF(I202="","",I202-A202)</f>
        <v/>
      </c>
      <c r="L202" s="5">
        <f>IF(Settings!$F$7="Yes",INDEX('Minutes &amp; Health'!$O:$O,AL202),Settings!$F$8)</f>
        <v/>
      </c>
      <c r="M202" s="6">
        <f>INDEX('Minutes &amp; Health'!$P:$P,AL202)</f>
        <v/>
      </c>
      <c r="N202" s="5">
        <f>INDEX('Player Data'!$F:$F,AL202)/INDEX('Player Data'!$E:$E,AL202)*M202*L202*AM202</f>
        <v/>
      </c>
      <c r="O202" s="5">
        <f>INDEX('Player Data'!$G:$G,AL202)/INDEX('Player Data'!$E:$E,AL202)*M202*L202*AM202</f>
        <v/>
      </c>
      <c r="P202" s="5">
        <f>INDEX('Player Data'!$H:$H,AL202)/INDEX('Player Data'!$E:$E,AL202)*M202*L202*AM202</f>
        <v/>
      </c>
      <c r="Q202" s="5">
        <f>INDEX('Player Data'!$I:$I,AL202)/INDEX('Player Data'!$E:$E,AL202)*M202*L202*AM202</f>
        <v/>
      </c>
      <c r="R202" s="5">
        <f>INDEX('Player Data'!$J:$J,AL202)/INDEX('Player Data'!$E:$E,AL202)*M202*L202*AM202</f>
        <v/>
      </c>
      <c r="S202" s="5">
        <f>INDEX('Player Data'!$K:$K,AL202)/INDEX('Player Data'!$E:$E,AL202)*M202*L202*AM202</f>
        <v/>
      </c>
      <c r="T202" s="5">
        <f>INDEX('Player Data'!$L:$L,AL202)/INDEX('Player Data'!$E:$E,AL202)*M202*L202*AM202</f>
        <v/>
      </c>
      <c r="U202" s="7">
        <f>INDEX('Player Data'!$M:$M,AL202)</f>
        <v/>
      </c>
      <c r="V202" s="7">
        <f>INDEX('Player Data'!$N:$N,AL202)</f>
        <v/>
      </c>
      <c r="W202" s="5">
        <f>X202*U202</f>
        <v/>
      </c>
      <c r="X202" s="5">
        <f>INDEX('Player Data'!$O:$O,AL202)/INDEX('Player Data'!$E:$E,AL202)*M202*L202*AM202</f>
        <v/>
      </c>
      <c r="Y202" s="5">
        <f>Z202*V202</f>
        <v/>
      </c>
      <c r="Z202" s="5">
        <f>INDEX('Player Data'!$P:$P,AL202)/INDEX('Player Data'!$E:$E,AL202)*M202*L202*AM202</f>
        <v/>
      </c>
      <c r="AB202" s="3">
        <f>(N202-Pool!$D$2)/Pool!$E$2</f>
        <v/>
      </c>
      <c r="AC202" s="3">
        <f>(O202-Pool!$D$3)/Pool!$E$3</f>
        <v/>
      </c>
      <c r="AD202" s="3">
        <f>(P202-Pool!$D$4)/Pool!$E$4</f>
        <v/>
      </c>
      <c r="AE202" s="3">
        <f>(Q202-Pool!$D$5)/Pool!$E$5</f>
        <v/>
      </c>
      <c r="AF202" s="3">
        <f>(R202-Pool!$D$6)/Pool!$E$6</f>
        <v/>
      </c>
      <c r="AG202" s="3">
        <f>(S202-Pool!$D$7)/Pool!$E$7</f>
        <v/>
      </c>
      <c r="AH202" s="3">
        <f>(AS202-Pool!$D$8)/Pool!$E$8</f>
        <v/>
      </c>
      <c r="AI202" s="3">
        <f>(AT202-Pool!$D$9)/Pool!$E$9</f>
        <v/>
      </c>
      <c r="AJ202" s="3">
        <f>-(T202-Pool!$D$10)/Pool!$E$10</f>
        <v/>
      </c>
      <c r="AL202">
        <f>MATCH(B202,'Player Data'!$A:$A,0)</f>
        <v/>
      </c>
      <c r="AM202" s="3">
        <f>1+IF(Settings!$F$10="ON",IFERROR(VLOOKUP(TRIM(F202),Settings!$D$12:$F$17,3,FALSE),0),0)</f>
        <v/>
      </c>
      <c r="AN202">
        <f>IFERROR(LEFT(C202,FIND(",",C202)-1),C202)</f>
        <v/>
      </c>
      <c r="AO202" s="6">
        <f>X202*(U202-Pool!$B$12)</f>
        <v/>
      </c>
      <c r="AP202" s="6">
        <f>Z202*(V202-Pool!$B$13)</f>
        <v/>
      </c>
      <c r="AQ202" s="3">
        <f>Settings!$B$2*(N202-Pool!$B$2)/Pool!$C$2+Settings!$B$3*(O202-Pool!$B$3)/Pool!$C$3+Settings!$B$4*(P202-Pool!$B$4)/Pool!$C$4+Settings!$B$5*(Q202-Pool!$B$5)/Pool!$C$5+Settings!$B$6*(R202-Pool!$B$6)/Pool!$C$6+Settings!$B$7*(S202-Pool!$B$7)/Pool!$C$7+Settings!$B$8*(AO202-Pool!$B$8)/Pool!$C$8+Settings!$B$9*(AP202-Pool!$B$9)/Pool!$C$9+Settings!$B$10*-(T202-Pool!$B$10)/Pool!$C$10</f>
        <v/>
      </c>
      <c r="AR202">
        <f>IF(RANK(AQ202,$AQ$2:$AQ$266)&lt;=Settings!$F$5,1,0)</f>
        <v/>
      </c>
      <c r="AS202" s="6">
        <f>X202*(U202-Pool!$D$12)</f>
        <v/>
      </c>
      <c r="AT202" s="6">
        <f>Z202*(V202-Pool!$D$13)</f>
        <v/>
      </c>
    </row>
    <row r="203">
      <c r="A203">
        <f>RANK(H203,$H$2:$H$266)</f>
        <v/>
      </c>
      <c r="B203" t="inlineStr">
        <is>
          <t>Paul Reed</t>
        </is>
      </c>
      <c r="C203">
        <f>INDEX('Player Data'!$C:$C,AL203)</f>
        <v/>
      </c>
      <c r="D203">
        <f>SUMPRODUCT(($AN$2:$AN$266=AN203)*($H$2:$H$266&gt;H203))+1</f>
        <v/>
      </c>
      <c r="E203">
        <f>INDEX('Player Data'!$B:$B,AL203)</f>
        <v/>
      </c>
      <c r="F203" s="2" t="n"/>
      <c r="G203" s="3">
        <f>Settings!$B$2*AB203+Settings!$B$3*AC203+Settings!$B$4*AD203+Settings!$B$5*AE203+Settings!$B$6*AF203+Settings!$B$7*AG203+Settings!$B$8*AH203+Settings!$B$9*AI203+Settings!$B$10*AJ203</f>
        <v/>
      </c>
      <c r="H203" s="3">
        <f>G203-LARGE($G$2:$G$266,Settings!$F$4)</f>
        <v/>
      </c>
      <c r="I203">
        <f>IF(INDEX('Player Data'!$R:$R,AL203)="","",INDEX('Player Data'!$R:$R,AL203))</f>
        <v/>
      </c>
      <c r="J203" s="4">
        <f>IF(I203="","",I203-A203)</f>
        <v/>
      </c>
      <c r="L203" s="5">
        <f>IF(Settings!$F$7="Yes",INDEX('Minutes &amp; Health'!$O:$O,AL203),Settings!$F$8)</f>
        <v/>
      </c>
      <c r="M203" s="6">
        <f>INDEX('Minutes &amp; Health'!$P:$P,AL203)</f>
        <v/>
      </c>
      <c r="N203" s="5">
        <f>INDEX('Player Data'!$F:$F,AL203)/INDEX('Player Data'!$E:$E,AL203)*M203*L203*AM203</f>
        <v/>
      </c>
      <c r="O203" s="5">
        <f>INDEX('Player Data'!$G:$G,AL203)/INDEX('Player Data'!$E:$E,AL203)*M203*L203*AM203</f>
        <v/>
      </c>
      <c r="P203" s="5">
        <f>INDEX('Player Data'!$H:$H,AL203)/INDEX('Player Data'!$E:$E,AL203)*M203*L203*AM203</f>
        <v/>
      </c>
      <c r="Q203" s="5">
        <f>INDEX('Player Data'!$I:$I,AL203)/INDEX('Player Data'!$E:$E,AL203)*M203*L203*AM203</f>
        <v/>
      </c>
      <c r="R203" s="5">
        <f>INDEX('Player Data'!$J:$J,AL203)/INDEX('Player Data'!$E:$E,AL203)*M203*L203*AM203</f>
        <v/>
      </c>
      <c r="S203" s="5">
        <f>INDEX('Player Data'!$K:$K,AL203)/INDEX('Player Data'!$E:$E,AL203)*M203*L203*AM203</f>
        <v/>
      </c>
      <c r="T203" s="5">
        <f>INDEX('Player Data'!$L:$L,AL203)/INDEX('Player Data'!$E:$E,AL203)*M203*L203*AM203</f>
        <v/>
      </c>
      <c r="U203" s="7">
        <f>INDEX('Player Data'!$M:$M,AL203)</f>
        <v/>
      </c>
      <c r="V203" s="7">
        <f>INDEX('Player Data'!$N:$N,AL203)</f>
        <v/>
      </c>
      <c r="W203" s="5">
        <f>X203*U203</f>
        <v/>
      </c>
      <c r="X203" s="5">
        <f>INDEX('Player Data'!$O:$O,AL203)/INDEX('Player Data'!$E:$E,AL203)*M203*L203*AM203</f>
        <v/>
      </c>
      <c r="Y203" s="5">
        <f>Z203*V203</f>
        <v/>
      </c>
      <c r="Z203" s="5">
        <f>INDEX('Player Data'!$P:$P,AL203)/INDEX('Player Data'!$E:$E,AL203)*M203*L203*AM203</f>
        <v/>
      </c>
      <c r="AB203" s="3">
        <f>(N203-Pool!$D$2)/Pool!$E$2</f>
        <v/>
      </c>
      <c r="AC203" s="3">
        <f>(O203-Pool!$D$3)/Pool!$E$3</f>
        <v/>
      </c>
      <c r="AD203" s="3">
        <f>(P203-Pool!$D$4)/Pool!$E$4</f>
        <v/>
      </c>
      <c r="AE203" s="3">
        <f>(Q203-Pool!$D$5)/Pool!$E$5</f>
        <v/>
      </c>
      <c r="AF203" s="3">
        <f>(R203-Pool!$D$6)/Pool!$E$6</f>
        <v/>
      </c>
      <c r="AG203" s="3">
        <f>(S203-Pool!$D$7)/Pool!$E$7</f>
        <v/>
      </c>
      <c r="AH203" s="3">
        <f>(AS203-Pool!$D$8)/Pool!$E$8</f>
        <v/>
      </c>
      <c r="AI203" s="3">
        <f>(AT203-Pool!$D$9)/Pool!$E$9</f>
        <v/>
      </c>
      <c r="AJ203" s="3">
        <f>-(T203-Pool!$D$10)/Pool!$E$10</f>
        <v/>
      </c>
      <c r="AL203">
        <f>MATCH(B203,'Player Data'!$A:$A,0)</f>
        <v/>
      </c>
      <c r="AM203" s="3">
        <f>1+IF(Settings!$F$10="ON",IFERROR(VLOOKUP(TRIM(F203),Settings!$D$12:$F$17,3,FALSE),0),0)</f>
        <v/>
      </c>
      <c r="AN203">
        <f>IFERROR(LEFT(C203,FIND(",",C203)-1),C203)</f>
        <v/>
      </c>
      <c r="AO203" s="6">
        <f>X203*(U203-Pool!$B$12)</f>
        <v/>
      </c>
      <c r="AP203" s="6">
        <f>Z203*(V203-Pool!$B$13)</f>
        <v/>
      </c>
      <c r="AQ203" s="3">
        <f>Settings!$B$2*(N203-Pool!$B$2)/Pool!$C$2+Settings!$B$3*(O203-Pool!$B$3)/Pool!$C$3+Settings!$B$4*(P203-Pool!$B$4)/Pool!$C$4+Settings!$B$5*(Q203-Pool!$B$5)/Pool!$C$5+Settings!$B$6*(R203-Pool!$B$6)/Pool!$C$6+Settings!$B$7*(S203-Pool!$B$7)/Pool!$C$7+Settings!$B$8*(AO203-Pool!$B$8)/Pool!$C$8+Settings!$B$9*(AP203-Pool!$B$9)/Pool!$C$9+Settings!$B$10*-(T203-Pool!$B$10)/Pool!$C$10</f>
        <v/>
      </c>
      <c r="AR203">
        <f>IF(RANK(AQ203,$AQ$2:$AQ$266)&lt;=Settings!$F$5,1,0)</f>
        <v/>
      </c>
      <c r="AS203" s="6">
        <f>X203*(U203-Pool!$D$12)</f>
        <v/>
      </c>
      <c r="AT203" s="6">
        <f>Z203*(V203-Pool!$D$13)</f>
        <v/>
      </c>
    </row>
    <row r="204">
      <c r="A204">
        <f>RANK(H204,$H$2:$H$266)</f>
        <v/>
      </c>
      <c r="B204" t="inlineStr">
        <is>
          <t>Keldon Johnson</t>
        </is>
      </c>
      <c r="C204">
        <f>INDEX('Player Data'!$C:$C,AL204)</f>
        <v/>
      </c>
      <c r="D204">
        <f>SUMPRODUCT(($AN$2:$AN$266=AN204)*($H$2:$H$266&gt;H204))+1</f>
        <v/>
      </c>
      <c r="E204">
        <f>INDEX('Player Data'!$B:$B,AL204)</f>
        <v/>
      </c>
      <c r="F204" s="2" t="n"/>
      <c r="G204" s="3">
        <f>Settings!$B$2*AB204+Settings!$B$3*AC204+Settings!$B$4*AD204+Settings!$B$5*AE204+Settings!$B$6*AF204+Settings!$B$7*AG204+Settings!$B$8*AH204+Settings!$B$9*AI204+Settings!$B$10*AJ204</f>
        <v/>
      </c>
      <c r="H204" s="3">
        <f>G204-LARGE($G$2:$G$266,Settings!$F$4)</f>
        <v/>
      </c>
      <c r="I204">
        <f>IF(INDEX('Player Data'!$R:$R,AL204)="","",INDEX('Player Data'!$R:$R,AL204))</f>
        <v/>
      </c>
      <c r="J204" s="4">
        <f>IF(I204="","",I204-A204)</f>
        <v/>
      </c>
      <c r="L204" s="5">
        <f>IF(Settings!$F$7="Yes",INDEX('Minutes &amp; Health'!$O:$O,AL204),Settings!$F$8)</f>
        <v/>
      </c>
      <c r="M204" s="6">
        <f>INDEX('Minutes &amp; Health'!$P:$P,AL204)</f>
        <v/>
      </c>
      <c r="N204" s="5">
        <f>INDEX('Player Data'!$F:$F,AL204)/INDEX('Player Data'!$E:$E,AL204)*M204*L204*AM204</f>
        <v/>
      </c>
      <c r="O204" s="5">
        <f>INDEX('Player Data'!$G:$G,AL204)/INDEX('Player Data'!$E:$E,AL204)*M204*L204*AM204</f>
        <v/>
      </c>
      <c r="P204" s="5">
        <f>INDEX('Player Data'!$H:$H,AL204)/INDEX('Player Data'!$E:$E,AL204)*M204*L204*AM204</f>
        <v/>
      </c>
      <c r="Q204" s="5">
        <f>INDEX('Player Data'!$I:$I,AL204)/INDEX('Player Data'!$E:$E,AL204)*M204*L204*AM204</f>
        <v/>
      </c>
      <c r="R204" s="5">
        <f>INDEX('Player Data'!$J:$J,AL204)/INDEX('Player Data'!$E:$E,AL204)*M204*L204*AM204</f>
        <v/>
      </c>
      <c r="S204" s="5">
        <f>INDEX('Player Data'!$K:$K,AL204)/INDEX('Player Data'!$E:$E,AL204)*M204*L204*AM204</f>
        <v/>
      </c>
      <c r="T204" s="5">
        <f>INDEX('Player Data'!$L:$L,AL204)/INDEX('Player Data'!$E:$E,AL204)*M204*L204*AM204</f>
        <v/>
      </c>
      <c r="U204" s="7">
        <f>INDEX('Player Data'!$M:$M,AL204)</f>
        <v/>
      </c>
      <c r="V204" s="7">
        <f>INDEX('Player Data'!$N:$N,AL204)</f>
        <v/>
      </c>
      <c r="W204" s="5">
        <f>X204*U204</f>
        <v/>
      </c>
      <c r="X204" s="5">
        <f>INDEX('Player Data'!$O:$O,AL204)/INDEX('Player Data'!$E:$E,AL204)*M204*L204*AM204</f>
        <v/>
      </c>
      <c r="Y204" s="5">
        <f>Z204*V204</f>
        <v/>
      </c>
      <c r="Z204" s="5">
        <f>INDEX('Player Data'!$P:$P,AL204)/INDEX('Player Data'!$E:$E,AL204)*M204*L204*AM204</f>
        <v/>
      </c>
      <c r="AB204" s="3">
        <f>(N204-Pool!$D$2)/Pool!$E$2</f>
        <v/>
      </c>
      <c r="AC204" s="3">
        <f>(O204-Pool!$D$3)/Pool!$E$3</f>
        <v/>
      </c>
      <c r="AD204" s="3">
        <f>(P204-Pool!$D$4)/Pool!$E$4</f>
        <v/>
      </c>
      <c r="AE204" s="3">
        <f>(Q204-Pool!$D$5)/Pool!$E$5</f>
        <v/>
      </c>
      <c r="AF204" s="3">
        <f>(R204-Pool!$D$6)/Pool!$E$6</f>
        <v/>
      </c>
      <c r="AG204" s="3">
        <f>(S204-Pool!$D$7)/Pool!$E$7</f>
        <v/>
      </c>
      <c r="AH204" s="3">
        <f>(AS204-Pool!$D$8)/Pool!$E$8</f>
        <v/>
      </c>
      <c r="AI204" s="3">
        <f>(AT204-Pool!$D$9)/Pool!$E$9</f>
        <v/>
      </c>
      <c r="AJ204" s="3">
        <f>-(T204-Pool!$D$10)/Pool!$E$10</f>
        <v/>
      </c>
      <c r="AL204">
        <f>MATCH(B204,'Player Data'!$A:$A,0)</f>
        <v/>
      </c>
      <c r="AM204" s="3">
        <f>1+IF(Settings!$F$10="ON",IFERROR(VLOOKUP(TRIM(F204),Settings!$D$12:$F$17,3,FALSE),0),0)</f>
        <v/>
      </c>
      <c r="AN204">
        <f>IFERROR(LEFT(C204,FIND(",",C204)-1),C204)</f>
        <v/>
      </c>
      <c r="AO204" s="6">
        <f>X204*(U204-Pool!$B$12)</f>
        <v/>
      </c>
      <c r="AP204" s="6">
        <f>Z204*(V204-Pool!$B$13)</f>
        <v/>
      </c>
      <c r="AQ204" s="3">
        <f>Settings!$B$2*(N204-Pool!$B$2)/Pool!$C$2+Settings!$B$3*(O204-Pool!$B$3)/Pool!$C$3+Settings!$B$4*(P204-Pool!$B$4)/Pool!$C$4+Settings!$B$5*(Q204-Pool!$B$5)/Pool!$C$5+Settings!$B$6*(R204-Pool!$B$6)/Pool!$C$6+Settings!$B$7*(S204-Pool!$B$7)/Pool!$C$7+Settings!$B$8*(AO204-Pool!$B$8)/Pool!$C$8+Settings!$B$9*(AP204-Pool!$B$9)/Pool!$C$9+Settings!$B$10*-(T204-Pool!$B$10)/Pool!$C$10</f>
        <v/>
      </c>
      <c r="AR204">
        <f>IF(RANK(AQ204,$AQ$2:$AQ$266)&lt;=Settings!$F$5,1,0)</f>
        <v/>
      </c>
      <c r="AS204" s="6">
        <f>X204*(U204-Pool!$D$12)</f>
        <v/>
      </c>
      <c r="AT204" s="6">
        <f>Z204*(V204-Pool!$D$13)</f>
        <v/>
      </c>
    </row>
    <row r="205">
      <c r="A205">
        <f>RANK(H205,$H$2:$H$266)</f>
        <v/>
      </c>
      <c r="B205" t="inlineStr">
        <is>
          <t>Anfernee Simons</t>
        </is>
      </c>
      <c r="C205">
        <f>INDEX('Player Data'!$C:$C,AL205)</f>
        <v/>
      </c>
      <c r="D205">
        <f>SUMPRODUCT(($AN$2:$AN$266=AN205)*($H$2:$H$266&gt;H205))+1</f>
        <v/>
      </c>
      <c r="E205">
        <f>INDEX('Player Data'!$B:$B,AL205)</f>
        <v/>
      </c>
      <c r="F205" s="2" t="n"/>
      <c r="G205" s="3">
        <f>Settings!$B$2*AB205+Settings!$B$3*AC205+Settings!$B$4*AD205+Settings!$B$5*AE205+Settings!$B$6*AF205+Settings!$B$7*AG205+Settings!$B$8*AH205+Settings!$B$9*AI205+Settings!$B$10*AJ205</f>
        <v/>
      </c>
      <c r="H205" s="3">
        <f>G205-LARGE($G$2:$G$266,Settings!$F$4)</f>
        <v/>
      </c>
      <c r="I205">
        <f>IF(INDEX('Player Data'!$R:$R,AL205)="","",INDEX('Player Data'!$R:$R,AL205))</f>
        <v/>
      </c>
      <c r="J205" s="4">
        <f>IF(I205="","",I205-A205)</f>
        <v/>
      </c>
      <c r="L205" s="5">
        <f>IF(Settings!$F$7="Yes",INDEX('Minutes &amp; Health'!$O:$O,AL205),Settings!$F$8)</f>
        <v/>
      </c>
      <c r="M205" s="6">
        <f>INDEX('Minutes &amp; Health'!$P:$P,AL205)</f>
        <v/>
      </c>
      <c r="N205" s="5">
        <f>INDEX('Player Data'!$F:$F,AL205)/INDEX('Player Data'!$E:$E,AL205)*M205*L205*AM205</f>
        <v/>
      </c>
      <c r="O205" s="5">
        <f>INDEX('Player Data'!$G:$G,AL205)/INDEX('Player Data'!$E:$E,AL205)*M205*L205*AM205</f>
        <v/>
      </c>
      <c r="P205" s="5">
        <f>INDEX('Player Data'!$H:$H,AL205)/INDEX('Player Data'!$E:$E,AL205)*M205*L205*AM205</f>
        <v/>
      </c>
      <c r="Q205" s="5">
        <f>INDEX('Player Data'!$I:$I,AL205)/INDEX('Player Data'!$E:$E,AL205)*M205*L205*AM205</f>
        <v/>
      </c>
      <c r="R205" s="5">
        <f>INDEX('Player Data'!$J:$J,AL205)/INDEX('Player Data'!$E:$E,AL205)*M205*L205*AM205</f>
        <v/>
      </c>
      <c r="S205" s="5">
        <f>INDEX('Player Data'!$K:$K,AL205)/INDEX('Player Data'!$E:$E,AL205)*M205*L205*AM205</f>
        <v/>
      </c>
      <c r="T205" s="5">
        <f>INDEX('Player Data'!$L:$L,AL205)/INDEX('Player Data'!$E:$E,AL205)*M205*L205*AM205</f>
        <v/>
      </c>
      <c r="U205" s="7">
        <f>INDEX('Player Data'!$M:$M,AL205)</f>
        <v/>
      </c>
      <c r="V205" s="7">
        <f>INDEX('Player Data'!$N:$N,AL205)</f>
        <v/>
      </c>
      <c r="W205" s="5">
        <f>X205*U205</f>
        <v/>
      </c>
      <c r="X205" s="5">
        <f>INDEX('Player Data'!$O:$O,AL205)/INDEX('Player Data'!$E:$E,AL205)*M205*L205*AM205</f>
        <v/>
      </c>
      <c r="Y205" s="5">
        <f>Z205*V205</f>
        <v/>
      </c>
      <c r="Z205" s="5">
        <f>INDEX('Player Data'!$P:$P,AL205)/INDEX('Player Data'!$E:$E,AL205)*M205*L205*AM205</f>
        <v/>
      </c>
      <c r="AB205" s="3">
        <f>(N205-Pool!$D$2)/Pool!$E$2</f>
        <v/>
      </c>
      <c r="AC205" s="3">
        <f>(O205-Pool!$D$3)/Pool!$E$3</f>
        <v/>
      </c>
      <c r="AD205" s="3">
        <f>(P205-Pool!$D$4)/Pool!$E$4</f>
        <v/>
      </c>
      <c r="AE205" s="3">
        <f>(Q205-Pool!$D$5)/Pool!$E$5</f>
        <v/>
      </c>
      <c r="AF205" s="3">
        <f>(R205-Pool!$D$6)/Pool!$E$6</f>
        <v/>
      </c>
      <c r="AG205" s="3">
        <f>(S205-Pool!$D$7)/Pool!$E$7</f>
        <v/>
      </c>
      <c r="AH205" s="3">
        <f>(AS205-Pool!$D$8)/Pool!$E$8</f>
        <v/>
      </c>
      <c r="AI205" s="3">
        <f>(AT205-Pool!$D$9)/Pool!$E$9</f>
        <v/>
      </c>
      <c r="AJ205" s="3">
        <f>-(T205-Pool!$D$10)/Pool!$E$10</f>
        <v/>
      </c>
      <c r="AL205">
        <f>MATCH(B205,'Player Data'!$A:$A,0)</f>
        <v/>
      </c>
      <c r="AM205" s="3">
        <f>1+IF(Settings!$F$10="ON",IFERROR(VLOOKUP(TRIM(F205),Settings!$D$12:$F$17,3,FALSE),0),0)</f>
        <v/>
      </c>
      <c r="AN205">
        <f>IFERROR(LEFT(C205,FIND(",",C205)-1),C205)</f>
        <v/>
      </c>
      <c r="AO205" s="6">
        <f>X205*(U205-Pool!$B$12)</f>
        <v/>
      </c>
      <c r="AP205" s="6">
        <f>Z205*(V205-Pool!$B$13)</f>
        <v/>
      </c>
      <c r="AQ205" s="3">
        <f>Settings!$B$2*(N205-Pool!$B$2)/Pool!$C$2+Settings!$B$3*(O205-Pool!$B$3)/Pool!$C$3+Settings!$B$4*(P205-Pool!$B$4)/Pool!$C$4+Settings!$B$5*(Q205-Pool!$B$5)/Pool!$C$5+Settings!$B$6*(R205-Pool!$B$6)/Pool!$C$6+Settings!$B$7*(S205-Pool!$B$7)/Pool!$C$7+Settings!$B$8*(AO205-Pool!$B$8)/Pool!$C$8+Settings!$B$9*(AP205-Pool!$B$9)/Pool!$C$9+Settings!$B$10*-(T205-Pool!$B$10)/Pool!$C$10</f>
        <v/>
      </c>
      <c r="AR205">
        <f>IF(RANK(AQ205,$AQ$2:$AQ$266)&lt;=Settings!$F$5,1,0)</f>
        <v/>
      </c>
      <c r="AS205" s="6">
        <f>X205*(U205-Pool!$D$12)</f>
        <v/>
      </c>
      <c r="AT205" s="6">
        <f>Z205*(V205-Pool!$D$13)</f>
        <v/>
      </c>
    </row>
    <row r="206">
      <c r="A206">
        <f>RANK(H206,$H$2:$H$266)</f>
        <v/>
      </c>
      <c r="B206" t="inlineStr">
        <is>
          <t>Nic Claxton</t>
        </is>
      </c>
      <c r="C206">
        <f>INDEX('Player Data'!$C:$C,AL206)</f>
        <v/>
      </c>
      <c r="D206">
        <f>SUMPRODUCT(($AN$2:$AN$266=AN206)*($H$2:$H$266&gt;H206))+1</f>
        <v/>
      </c>
      <c r="E206">
        <f>INDEX('Player Data'!$B:$B,AL206)</f>
        <v/>
      </c>
      <c r="F206" s="2" t="n"/>
      <c r="G206" s="3">
        <f>Settings!$B$2*AB206+Settings!$B$3*AC206+Settings!$B$4*AD206+Settings!$B$5*AE206+Settings!$B$6*AF206+Settings!$B$7*AG206+Settings!$B$8*AH206+Settings!$B$9*AI206+Settings!$B$10*AJ206</f>
        <v/>
      </c>
      <c r="H206" s="3">
        <f>G206-LARGE($G$2:$G$266,Settings!$F$4)</f>
        <v/>
      </c>
      <c r="I206">
        <f>IF(INDEX('Player Data'!$R:$R,AL206)="","",INDEX('Player Data'!$R:$R,AL206))</f>
        <v/>
      </c>
      <c r="J206" s="4">
        <f>IF(I206="","",I206-A206)</f>
        <v/>
      </c>
      <c r="L206" s="5">
        <f>IF(Settings!$F$7="Yes",INDEX('Minutes &amp; Health'!$O:$O,AL206),Settings!$F$8)</f>
        <v/>
      </c>
      <c r="M206" s="6">
        <f>INDEX('Minutes &amp; Health'!$P:$P,AL206)</f>
        <v/>
      </c>
      <c r="N206" s="5">
        <f>INDEX('Player Data'!$F:$F,AL206)/INDEX('Player Data'!$E:$E,AL206)*M206*L206*AM206</f>
        <v/>
      </c>
      <c r="O206" s="5">
        <f>INDEX('Player Data'!$G:$G,AL206)/INDEX('Player Data'!$E:$E,AL206)*M206*L206*AM206</f>
        <v/>
      </c>
      <c r="P206" s="5">
        <f>INDEX('Player Data'!$H:$H,AL206)/INDEX('Player Data'!$E:$E,AL206)*M206*L206*AM206</f>
        <v/>
      </c>
      <c r="Q206" s="5">
        <f>INDEX('Player Data'!$I:$I,AL206)/INDEX('Player Data'!$E:$E,AL206)*M206*L206*AM206</f>
        <v/>
      </c>
      <c r="R206" s="5">
        <f>INDEX('Player Data'!$J:$J,AL206)/INDEX('Player Data'!$E:$E,AL206)*M206*L206*AM206</f>
        <v/>
      </c>
      <c r="S206" s="5">
        <f>INDEX('Player Data'!$K:$K,AL206)/INDEX('Player Data'!$E:$E,AL206)*M206*L206*AM206</f>
        <v/>
      </c>
      <c r="T206" s="5">
        <f>INDEX('Player Data'!$L:$L,AL206)/INDEX('Player Data'!$E:$E,AL206)*M206*L206*AM206</f>
        <v/>
      </c>
      <c r="U206" s="7">
        <f>INDEX('Player Data'!$M:$M,AL206)</f>
        <v/>
      </c>
      <c r="V206" s="7">
        <f>INDEX('Player Data'!$N:$N,AL206)</f>
        <v/>
      </c>
      <c r="W206" s="5">
        <f>X206*U206</f>
        <v/>
      </c>
      <c r="X206" s="5">
        <f>INDEX('Player Data'!$O:$O,AL206)/INDEX('Player Data'!$E:$E,AL206)*M206*L206*AM206</f>
        <v/>
      </c>
      <c r="Y206" s="5">
        <f>Z206*V206</f>
        <v/>
      </c>
      <c r="Z206" s="5">
        <f>INDEX('Player Data'!$P:$P,AL206)/INDEX('Player Data'!$E:$E,AL206)*M206*L206*AM206</f>
        <v/>
      </c>
      <c r="AB206" s="3">
        <f>(N206-Pool!$D$2)/Pool!$E$2</f>
        <v/>
      </c>
      <c r="AC206" s="3">
        <f>(O206-Pool!$D$3)/Pool!$E$3</f>
        <v/>
      </c>
      <c r="AD206" s="3">
        <f>(P206-Pool!$D$4)/Pool!$E$4</f>
        <v/>
      </c>
      <c r="AE206" s="3">
        <f>(Q206-Pool!$D$5)/Pool!$E$5</f>
        <v/>
      </c>
      <c r="AF206" s="3">
        <f>(R206-Pool!$D$6)/Pool!$E$6</f>
        <v/>
      </c>
      <c r="AG206" s="3">
        <f>(S206-Pool!$D$7)/Pool!$E$7</f>
        <v/>
      </c>
      <c r="AH206" s="3">
        <f>(AS206-Pool!$D$8)/Pool!$E$8</f>
        <v/>
      </c>
      <c r="AI206" s="3">
        <f>(AT206-Pool!$D$9)/Pool!$E$9</f>
        <v/>
      </c>
      <c r="AJ206" s="3">
        <f>-(T206-Pool!$D$10)/Pool!$E$10</f>
        <v/>
      </c>
      <c r="AL206">
        <f>MATCH(B206,'Player Data'!$A:$A,0)</f>
        <v/>
      </c>
      <c r="AM206" s="3">
        <f>1+IF(Settings!$F$10="ON",IFERROR(VLOOKUP(TRIM(F206),Settings!$D$12:$F$17,3,FALSE),0),0)</f>
        <v/>
      </c>
      <c r="AN206">
        <f>IFERROR(LEFT(C206,FIND(",",C206)-1),C206)</f>
        <v/>
      </c>
      <c r="AO206" s="6">
        <f>X206*(U206-Pool!$B$12)</f>
        <v/>
      </c>
      <c r="AP206" s="6">
        <f>Z206*(V206-Pool!$B$13)</f>
        <v/>
      </c>
      <c r="AQ206" s="3">
        <f>Settings!$B$2*(N206-Pool!$B$2)/Pool!$C$2+Settings!$B$3*(O206-Pool!$B$3)/Pool!$C$3+Settings!$B$4*(P206-Pool!$B$4)/Pool!$C$4+Settings!$B$5*(Q206-Pool!$B$5)/Pool!$C$5+Settings!$B$6*(R206-Pool!$B$6)/Pool!$C$6+Settings!$B$7*(S206-Pool!$B$7)/Pool!$C$7+Settings!$B$8*(AO206-Pool!$B$8)/Pool!$C$8+Settings!$B$9*(AP206-Pool!$B$9)/Pool!$C$9+Settings!$B$10*-(T206-Pool!$B$10)/Pool!$C$10</f>
        <v/>
      </c>
      <c r="AR206">
        <f>IF(RANK(AQ206,$AQ$2:$AQ$266)&lt;=Settings!$F$5,1,0)</f>
        <v/>
      </c>
      <c r="AS206" s="6">
        <f>X206*(U206-Pool!$D$12)</f>
        <v/>
      </c>
      <c r="AT206" s="6">
        <f>Z206*(V206-Pool!$D$13)</f>
        <v/>
      </c>
    </row>
    <row r="207">
      <c r="A207">
        <f>RANK(H207,$H$2:$H$266)</f>
        <v/>
      </c>
      <c r="B207" t="inlineStr">
        <is>
          <t>Ajay Mitchell</t>
        </is>
      </c>
      <c r="C207">
        <f>INDEX('Player Data'!$C:$C,AL207)</f>
        <v/>
      </c>
      <c r="D207">
        <f>SUMPRODUCT(($AN$2:$AN$266=AN207)*($H$2:$H$266&gt;H207))+1</f>
        <v/>
      </c>
      <c r="E207">
        <f>INDEX('Player Data'!$B:$B,AL207)</f>
        <v/>
      </c>
      <c r="F207" s="2" t="n"/>
      <c r="G207" s="3">
        <f>Settings!$B$2*AB207+Settings!$B$3*AC207+Settings!$B$4*AD207+Settings!$B$5*AE207+Settings!$B$6*AF207+Settings!$B$7*AG207+Settings!$B$8*AH207+Settings!$B$9*AI207+Settings!$B$10*AJ207</f>
        <v/>
      </c>
      <c r="H207" s="3">
        <f>G207-LARGE($G$2:$G$266,Settings!$F$4)</f>
        <v/>
      </c>
      <c r="I207">
        <f>IF(INDEX('Player Data'!$R:$R,AL207)="","",INDEX('Player Data'!$R:$R,AL207))</f>
        <v/>
      </c>
      <c r="J207" s="4">
        <f>IF(I207="","",I207-A207)</f>
        <v/>
      </c>
      <c r="L207" s="5">
        <f>IF(Settings!$F$7="Yes",INDEX('Minutes &amp; Health'!$O:$O,AL207),Settings!$F$8)</f>
        <v/>
      </c>
      <c r="M207" s="6">
        <f>INDEX('Minutes &amp; Health'!$P:$P,AL207)</f>
        <v/>
      </c>
      <c r="N207" s="5">
        <f>INDEX('Player Data'!$F:$F,AL207)/INDEX('Player Data'!$E:$E,AL207)*M207*L207*AM207</f>
        <v/>
      </c>
      <c r="O207" s="5">
        <f>INDEX('Player Data'!$G:$G,AL207)/INDEX('Player Data'!$E:$E,AL207)*M207*L207*AM207</f>
        <v/>
      </c>
      <c r="P207" s="5">
        <f>INDEX('Player Data'!$H:$H,AL207)/INDEX('Player Data'!$E:$E,AL207)*M207*L207*AM207</f>
        <v/>
      </c>
      <c r="Q207" s="5">
        <f>INDEX('Player Data'!$I:$I,AL207)/INDEX('Player Data'!$E:$E,AL207)*M207*L207*AM207</f>
        <v/>
      </c>
      <c r="R207" s="5">
        <f>INDEX('Player Data'!$J:$J,AL207)/INDEX('Player Data'!$E:$E,AL207)*M207*L207*AM207</f>
        <v/>
      </c>
      <c r="S207" s="5">
        <f>INDEX('Player Data'!$K:$K,AL207)/INDEX('Player Data'!$E:$E,AL207)*M207*L207*AM207</f>
        <v/>
      </c>
      <c r="T207" s="5">
        <f>INDEX('Player Data'!$L:$L,AL207)/INDEX('Player Data'!$E:$E,AL207)*M207*L207*AM207</f>
        <v/>
      </c>
      <c r="U207" s="7">
        <f>INDEX('Player Data'!$M:$M,AL207)</f>
        <v/>
      </c>
      <c r="V207" s="7">
        <f>INDEX('Player Data'!$N:$N,AL207)</f>
        <v/>
      </c>
      <c r="W207" s="5">
        <f>X207*U207</f>
        <v/>
      </c>
      <c r="X207" s="5">
        <f>INDEX('Player Data'!$O:$O,AL207)/INDEX('Player Data'!$E:$E,AL207)*M207*L207*AM207</f>
        <v/>
      </c>
      <c r="Y207" s="5">
        <f>Z207*V207</f>
        <v/>
      </c>
      <c r="Z207" s="5">
        <f>INDEX('Player Data'!$P:$P,AL207)/INDEX('Player Data'!$E:$E,AL207)*M207*L207*AM207</f>
        <v/>
      </c>
      <c r="AB207" s="3">
        <f>(N207-Pool!$D$2)/Pool!$E$2</f>
        <v/>
      </c>
      <c r="AC207" s="3">
        <f>(O207-Pool!$D$3)/Pool!$E$3</f>
        <v/>
      </c>
      <c r="AD207" s="3">
        <f>(P207-Pool!$D$4)/Pool!$E$4</f>
        <v/>
      </c>
      <c r="AE207" s="3">
        <f>(Q207-Pool!$D$5)/Pool!$E$5</f>
        <v/>
      </c>
      <c r="AF207" s="3">
        <f>(R207-Pool!$D$6)/Pool!$E$6</f>
        <v/>
      </c>
      <c r="AG207" s="3">
        <f>(S207-Pool!$D$7)/Pool!$E$7</f>
        <v/>
      </c>
      <c r="AH207" s="3">
        <f>(AS207-Pool!$D$8)/Pool!$E$8</f>
        <v/>
      </c>
      <c r="AI207" s="3">
        <f>(AT207-Pool!$D$9)/Pool!$E$9</f>
        <v/>
      </c>
      <c r="AJ207" s="3">
        <f>-(T207-Pool!$D$10)/Pool!$E$10</f>
        <v/>
      </c>
      <c r="AL207">
        <f>MATCH(B207,'Player Data'!$A:$A,0)</f>
        <v/>
      </c>
      <c r="AM207" s="3">
        <f>1+IF(Settings!$F$10="ON",IFERROR(VLOOKUP(TRIM(F207),Settings!$D$12:$F$17,3,FALSE),0),0)</f>
        <v/>
      </c>
      <c r="AN207">
        <f>IFERROR(LEFT(C207,FIND(",",C207)-1),C207)</f>
        <v/>
      </c>
      <c r="AO207" s="6">
        <f>X207*(U207-Pool!$B$12)</f>
        <v/>
      </c>
      <c r="AP207" s="6">
        <f>Z207*(V207-Pool!$B$13)</f>
        <v/>
      </c>
      <c r="AQ207" s="3">
        <f>Settings!$B$2*(N207-Pool!$B$2)/Pool!$C$2+Settings!$B$3*(O207-Pool!$B$3)/Pool!$C$3+Settings!$B$4*(P207-Pool!$B$4)/Pool!$C$4+Settings!$B$5*(Q207-Pool!$B$5)/Pool!$C$5+Settings!$B$6*(R207-Pool!$B$6)/Pool!$C$6+Settings!$B$7*(S207-Pool!$B$7)/Pool!$C$7+Settings!$B$8*(AO207-Pool!$B$8)/Pool!$C$8+Settings!$B$9*(AP207-Pool!$B$9)/Pool!$C$9+Settings!$B$10*-(T207-Pool!$B$10)/Pool!$C$10</f>
        <v/>
      </c>
      <c r="AR207">
        <f>IF(RANK(AQ207,$AQ$2:$AQ$266)&lt;=Settings!$F$5,1,0)</f>
        <v/>
      </c>
      <c r="AS207" s="6">
        <f>X207*(U207-Pool!$D$12)</f>
        <v/>
      </c>
      <c r="AT207" s="6">
        <f>Z207*(V207-Pool!$D$13)</f>
        <v/>
      </c>
    </row>
    <row r="208">
      <c r="A208">
        <f>RANK(H208,$H$2:$H$266)</f>
        <v/>
      </c>
      <c r="B208" t="inlineStr">
        <is>
          <t>Kristaps Porzingis</t>
        </is>
      </c>
      <c r="C208">
        <f>INDEX('Player Data'!$C:$C,AL208)</f>
        <v/>
      </c>
      <c r="D208">
        <f>SUMPRODUCT(($AN$2:$AN$266=AN208)*($H$2:$H$266&gt;H208))+1</f>
        <v/>
      </c>
      <c r="E208">
        <f>INDEX('Player Data'!$B:$B,AL208)</f>
        <v/>
      </c>
      <c r="F208" s="2" t="n"/>
      <c r="G208" s="3">
        <f>Settings!$B$2*AB208+Settings!$B$3*AC208+Settings!$B$4*AD208+Settings!$B$5*AE208+Settings!$B$6*AF208+Settings!$B$7*AG208+Settings!$B$8*AH208+Settings!$B$9*AI208+Settings!$B$10*AJ208</f>
        <v/>
      </c>
      <c r="H208" s="3">
        <f>G208-LARGE($G$2:$G$266,Settings!$F$4)</f>
        <v/>
      </c>
      <c r="I208">
        <f>IF(INDEX('Player Data'!$R:$R,AL208)="","",INDEX('Player Data'!$R:$R,AL208))</f>
        <v/>
      </c>
      <c r="J208" s="4">
        <f>IF(I208="","",I208-A208)</f>
        <v/>
      </c>
      <c r="L208" s="5">
        <f>IF(Settings!$F$7="Yes",INDEX('Minutes &amp; Health'!$O:$O,AL208),Settings!$F$8)</f>
        <v/>
      </c>
      <c r="M208" s="6">
        <f>INDEX('Minutes &amp; Health'!$P:$P,AL208)</f>
        <v/>
      </c>
      <c r="N208" s="5">
        <f>INDEX('Player Data'!$F:$F,AL208)/INDEX('Player Data'!$E:$E,AL208)*M208*L208*AM208</f>
        <v/>
      </c>
      <c r="O208" s="5">
        <f>INDEX('Player Data'!$G:$G,AL208)/INDEX('Player Data'!$E:$E,AL208)*M208*L208*AM208</f>
        <v/>
      </c>
      <c r="P208" s="5">
        <f>INDEX('Player Data'!$H:$H,AL208)/INDEX('Player Data'!$E:$E,AL208)*M208*L208*AM208</f>
        <v/>
      </c>
      <c r="Q208" s="5">
        <f>INDEX('Player Data'!$I:$I,AL208)/INDEX('Player Data'!$E:$E,AL208)*M208*L208*AM208</f>
        <v/>
      </c>
      <c r="R208" s="5">
        <f>INDEX('Player Data'!$J:$J,AL208)/INDEX('Player Data'!$E:$E,AL208)*M208*L208*AM208</f>
        <v/>
      </c>
      <c r="S208" s="5">
        <f>INDEX('Player Data'!$K:$K,AL208)/INDEX('Player Data'!$E:$E,AL208)*M208*L208*AM208</f>
        <v/>
      </c>
      <c r="T208" s="5">
        <f>INDEX('Player Data'!$L:$L,AL208)/INDEX('Player Data'!$E:$E,AL208)*M208*L208*AM208</f>
        <v/>
      </c>
      <c r="U208" s="7">
        <f>INDEX('Player Data'!$M:$M,AL208)</f>
        <v/>
      </c>
      <c r="V208" s="7">
        <f>INDEX('Player Data'!$N:$N,AL208)</f>
        <v/>
      </c>
      <c r="W208" s="5">
        <f>X208*U208</f>
        <v/>
      </c>
      <c r="X208" s="5">
        <f>INDEX('Player Data'!$O:$O,AL208)/INDEX('Player Data'!$E:$E,AL208)*M208*L208*AM208</f>
        <v/>
      </c>
      <c r="Y208" s="5">
        <f>Z208*V208</f>
        <v/>
      </c>
      <c r="Z208" s="5">
        <f>INDEX('Player Data'!$P:$P,AL208)/INDEX('Player Data'!$E:$E,AL208)*M208*L208*AM208</f>
        <v/>
      </c>
      <c r="AB208" s="3">
        <f>(N208-Pool!$D$2)/Pool!$E$2</f>
        <v/>
      </c>
      <c r="AC208" s="3">
        <f>(O208-Pool!$D$3)/Pool!$E$3</f>
        <v/>
      </c>
      <c r="AD208" s="3">
        <f>(P208-Pool!$D$4)/Pool!$E$4</f>
        <v/>
      </c>
      <c r="AE208" s="3">
        <f>(Q208-Pool!$D$5)/Pool!$E$5</f>
        <v/>
      </c>
      <c r="AF208" s="3">
        <f>(R208-Pool!$D$6)/Pool!$E$6</f>
        <v/>
      </c>
      <c r="AG208" s="3">
        <f>(S208-Pool!$D$7)/Pool!$E$7</f>
        <v/>
      </c>
      <c r="AH208" s="3">
        <f>(AS208-Pool!$D$8)/Pool!$E$8</f>
        <v/>
      </c>
      <c r="AI208" s="3">
        <f>(AT208-Pool!$D$9)/Pool!$E$9</f>
        <v/>
      </c>
      <c r="AJ208" s="3">
        <f>-(T208-Pool!$D$10)/Pool!$E$10</f>
        <v/>
      </c>
      <c r="AL208">
        <f>MATCH(B208,'Player Data'!$A:$A,0)</f>
        <v/>
      </c>
      <c r="AM208" s="3">
        <f>1+IF(Settings!$F$10="ON",IFERROR(VLOOKUP(TRIM(F208),Settings!$D$12:$F$17,3,FALSE),0),0)</f>
        <v/>
      </c>
      <c r="AN208">
        <f>IFERROR(LEFT(C208,FIND(",",C208)-1),C208)</f>
        <v/>
      </c>
      <c r="AO208" s="6">
        <f>X208*(U208-Pool!$B$12)</f>
        <v/>
      </c>
      <c r="AP208" s="6">
        <f>Z208*(V208-Pool!$B$13)</f>
        <v/>
      </c>
      <c r="AQ208" s="3">
        <f>Settings!$B$2*(N208-Pool!$B$2)/Pool!$C$2+Settings!$B$3*(O208-Pool!$B$3)/Pool!$C$3+Settings!$B$4*(P208-Pool!$B$4)/Pool!$C$4+Settings!$B$5*(Q208-Pool!$B$5)/Pool!$C$5+Settings!$B$6*(R208-Pool!$B$6)/Pool!$C$6+Settings!$B$7*(S208-Pool!$B$7)/Pool!$C$7+Settings!$B$8*(AO208-Pool!$B$8)/Pool!$C$8+Settings!$B$9*(AP208-Pool!$B$9)/Pool!$C$9+Settings!$B$10*-(T208-Pool!$B$10)/Pool!$C$10</f>
        <v/>
      </c>
      <c r="AR208">
        <f>IF(RANK(AQ208,$AQ$2:$AQ$266)&lt;=Settings!$F$5,1,0)</f>
        <v/>
      </c>
      <c r="AS208" s="6">
        <f>X208*(U208-Pool!$D$12)</f>
        <v/>
      </c>
      <c r="AT208" s="6">
        <f>Z208*(V208-Pool!$D$13)</f>
        <v/>
      </c>
    </row>
    <row r="209">
      <c r="A209">
        <f>RANK(H209,$H$2:$H$266)</f>
        <v/>
      </c>
      <c r="B209" t="inlineStr">
        <is>
          <t>Max Strus</t>
        </is>
      </c>
      <c r="C209">
        <f>INDEX('Player Data'!$C:$C,AL209)</f>
        <v/>
      </c>
      <c r="D209">
        <f>SUMPRODUCT(($AN$2:$AN$266=AN209)*($H$2:$H$266&gt;H209))+1</f>
        <v/>
      </c>
      <c r="E209">
        <f>INDEX('Player Data'!$B:$B,AL209)</f>
        <v/>
      </c>
      <c r="F209" s="2" t="n"/>
      <c r="G209" s="3">
        <f>Settings!$B$2*AB209+Settings!$B$3*AC209+Settings!$B$4*AD209+Settings!$B$5*AE209+Settings!$B$6*AF209+Settings!$B$7*AG209+Settings!$B$8*AH209+Settings!$B$9*AI209+Settings!$B$10*AJ209</f>
        <v/>
      </c>
      <c r="H209" s="3">
        <f>G209-LARGE($G$2:$G$266,Settings!$F$4)</f>
        <v/>
      </c>
      <c r="I209">
        <f>IF(INDEX('Player Data'!$R:$R,AL209)="","",INDEX('Player Data'!$R:$R,AL209))</f>
        <v/>
      </c>
      <c r="J209" s="4">
        <f>IF(I209="","",I209-A209)</f>
        <v/>
      </c>
      <c r="L209" s="5">
        <f>IF(Settings!$F$7="Yes",INDEX('Minutes &amp; Health'!$O:$O,AL209),Settings!$F$8)</f>
        <v/>
      </c>
      <c r="M209" s="6">
        <f>INDEX('Minutes &amp; Health'!$P:$P,AL209)</f>
        <v/>
      </c>
      <c r="N209" s="5">
        <f>INDEX('Player Data'!$F:$F,AL209)/INDEX('Player Data'!$E:$E,AL209)*M209*L209*AM209</f>
        <v/>
      </c>
      <c r="O209" s="5">
        <f>INDEX('Player Data'!$G:$G,AL209)/INDEX('Player Data'!$E:$E,AL209)*M209*L209*AM209</f>
        <v/>
      </c>
      <c r="P209" s="5">
        <f>INDEX('Player Data'!$H:$H,AL209)/INDEX('Player Data'!$E:$E,AL209)*M209*L209*AM209</f>
        <v/>
      </c>
      <c r="Q209" s="5">
        <f>INDEX('Player Data'!$I:$I,AL209)/INDEX('Player Data'!$E:$E,AL209)*M209*L209*AM209</f>
        <v/>
      </c>
      <c r="R209" s="5">
        <f>INDEX('Player Data'!$J:$J,AL209)/INDEX('Player Data'!$E:$E,AL209)*M209*L209*AM209</f>
        <v/>
      </c>
      <c r="S209" s="5">
        <f>INDEX('Player Data'!$K:$K,AL209)/INDEX('Player Data'!$E:$E,AL209)*M209*L209*AM209</f>
        <v/>
      </c>
      <c r="T209" s="5">
        <f>INDEX('Player Data'!$L:$L,AL209)/INDEX('Player Data'!$E:$E,AL209)*M209*L209*AM209</f>
        <v/>
      </c>
      <c r="U209" s="7">
        <f>INDEX('Player Data'!$M:$M,AL209)</f>
        <v/>
      </c>
      <c r="V209" s="7">
        <f>INDEX('Player Data'!$N:$N,AL209)</f>
        <v/>
      </c>
      <c r="W209" s="5">
        <f>X209*U209</f>
        <v/>
      </c>
      <c r="X209" s="5">
        <f>INDEX('Player Data'!$O:$O,AL209)/INDEX('Player Data'!$E:$E,AL209)*M209*L209*AM209</f>
        <v/>
      </c>
      <c r="Y209" s="5">
        <f>Z209*V209</f>
        <v/>
      </c>
      <c r="Z209" s="5">
        <f>INDEX('Player Data'!$P:$P,AL209)/INDEX('Player Data'!$E:$E,AL209)*M209*L209*AM209</f>
        <v/>
      </c>
      <c r="AB209" s="3">
        <f>(N209-Pool!$D$2)/Pool!$E$2</f>
        <v/>
      </c>
      <c r="AC209" s="3">
        <f>(O209-Pool!$D$3)/Pool!$E$3</f>
        <v/>
      </c>
      <c r="AD209" s="3">
        <f>(P209-Pool!$D$4)/Pool!$E$4</f>
        <v/>
      </c>
      <c r="AE209" s="3">
        <f>(Q209-Pool!$D$5)/Pool!$E$5</f>
        <v/>
      </c>
      <c r="AF209" s="3">
        <f>(R209-Pool!$D$6)/Pool!$E$6</f>
        <v/>
      </c>
      <c r="AG209" s="3">
        <f>(S209-Pool!$D$7)/Pool!$E$7</f>
        <v/>
      </c>
      <c r="AH209" s="3">
        <f>(AS209-Pool!$D$8)/Pool!$E$8</f>
        <v/>
      </c>
      <c r="AI209" s="3">
        <f>(AT209-Pool!$D$9)/Pool!$E$9</f>
        <v/>
      </c>
      <c r="AJ209" s="3">
        <f>-(T209-Pool!$D$10)/Pool!$E$10</f>
        <v/>
      </c>
      <c r="AL209">
        <f>MATCH(B209,'Player Data'!$A:$A,0)</f>
        <v/>
      </c>
      <c r="AM209" s="3">
        <f>1+IF(Settings!$F$10="ON",IFERROR(VLOOKUP(TRIM(F209),Settings!$D$12:$F$17,3,FALSE),0),0)</f>
        <v/>
      </c>
      <c r="AN209">
        <f>IFERROR(LEFT(C209,FIND(",",C209)-1),C209)</f>
        <v/>
      </c>
      <c r="AO209" s="6">
        <f>X209*(U209-Pool!$B$12)</f>
        <v/>
      </c>
      <c r="AP209" s="6">
        <f>Z209*(V209-Pool!$B$13)</f>
        <v/>
      </c>
      <c r="AQ209" s="3">
        <f>Settings!$B$2*(N209-Pool!$B$2)/Pool!$C$2+Settings!$B$3*(O209-Pool!$B$3)/Pool!$C$3+Settings!$B$4*(P209-Pool!$B$4)/Pool!$C$4+Settings!$B$5*(Q209-Pool!$B$5)/Pool!$C$5+Settings!$B$6*(R209-Pool!$B$6)/Pool!$C$6+Settings!$B$7*(S209-Pool!$B$7)/Pool!$C$7+Settings!$B$8*(AO209-Pool!$B$8)/Pool!$C$8+Settings!$B$9*(AP209-Pool!$B$9)/Pool!$C$9+Settings!$B$10*-(T209-Pool!$B$10)/Pool!$C$10</f>
        <v/>
      </c>
      <c r="AR209">
        <f>IF(RANK(AQ209,$AQ$2:$AQ$266)&lt;=Settings!$F$5,1,0)</f>
        <v/>
      </c>
      <c r="AS209" s="6">
        <f>X209*(U209-Pool!$D$12)</f>
        <v/>
      </c>
      <c r="AT209" s="6">
        <f>Z209*(V209-Pool!$D$13)</f>
        <v/>
      </c>
    </row>
    <row r="210">
      <c r="A210">
        <f>RANK(H210,$H$2:$H$266)</f>
        <v/>
      </c>
      <c r="B210" t="inlineStr">
        <is>
          <t>Bennedict Mathurin</t>
        </is>
      </c>
      <c r="C210">
        <f>INDEX('Player Data'!$C:$C,AL210)</f>
        <v/>
      </c>
      <c r="D210">
        <f>SUMPRODUCT(($AN$2:$AN$266=AN210)*($H$2:$H$266&gt;H210))+1</f>
        <v/>
      </c>
      <c r="E210">
        <f>INDEX('Player Data'!$B:$B,AL210)</f>
        <v/>
      </c>
      <c r="F210" s="2" t="n"/>
      <c r="G210" s="3">
        <f>Settings!$B$2*AB210+Settings!$B$3*AC210+Settings!$B$4*AD210+Settings!$B$5*AE210+Settings!$B$6*AF210+Settings!$B$7*AG210+Settings!$B$8*AH210+Settings!$B$9*AI210+Settings!$B$10*AJ210</f>
        <v/>
      </c>
      <c r="H210" s="3">
        <f>G210-LARGE($G$2:$G$266,Settings!$F$4)</f>
        <v/>
      </c>
      <c r="I210">
        <f>IF(INDEX('Player Data'!$R:$R,AL210)="","",INDEX('Player Data'!$R:$R,AL210))</f>
        <v/>
      </c>
      <c r="J210" s="4">
        <f>IF(I210="","",I210-A210)</f>
        <v/>
      </c>
      <c r="L210" s="5">
        <f>IF(Settings!$F$7="Yes",INDEX('Minutes &amp; Health'!$O:$O,AL210),Settings!$F$8)</f>
        <v/>
      </c>
      <c r="M210" s="6">
        <f>INDEX('Minutes &amp; Health'!$P:$P,AL210)</f>
        <v/>
      </c>
      <c r="N210" s="5">
        <f>INDEX('Player Data'!$F:$F,AL210)/INDEX('Player Data'!$E:$E,AL210)*M210*L210*AM210</f>
        <v/>
      </c>
      <c r="O210" s="5">
        <f>INDEX('Player Data'!$G:$G,AL210)/INDEX('Player Data'!$E:$E,AL210)*M210*L210*AM210</f>
        <v/>
      </c>
      <c r="P210" s="5">
        <f>INDEX('Player Data'!$H:$H,AL210)/INDEX('Player Data'!$E:$E,AL210)*M210*L210*AM210</f>
        <v/>
      </c>
      <c r="Q210" s="5">
        <f>INDEX('Player Data'!$I:$I,AL210)/INDEX('Player Data'!$E:$E,AL210)*M210*L210*AM210</f>
        <v/>
      </c>
      <c r="R210" s="5">
        <f>INDEX('Player Data'!$J:$J,AL210)/INDEX('Player Data'!$E:$E,AL210)*M210*L210*AM210</f>
        <v/>
      </c>
      <c r="S210" s="5">
        <f>INDEX('Player Data'!$K:$K,AL210)/INDEX('Player Data'!$E:$E,AL210)*M210*L210*AM210</f>
        <v/>
      </c>
      <c r="T210" s="5">
        <f>INDEX('Player Data'!$L:$L,AL210)/INDEX('Player Data'!$E:$E,AL210)*M210*L210*AM210</f>
        <v/>
      </c>
      <c r="U210" s="7">
        <f>INDEX('Player Data'!$M:$M,AL210)</f>
        <v/>
      </c>
      <c r="V210" s="7">
        <f>INDEX('Player Data'!$N:$N,AL210)</f>
        <v/>
      </c>
      <c r="W210" s="5">
        <f>X210*U210</f>
        <v/>
      </c>
      <c r="X210" s="5">
        <f>INDEX('Player Data'!$O:$O,AL210)/INDEX('Player Data'!$E:$E,AL210)*M210*L210*AM210</f>
        <v/>
      </c>
      <c r="Y210" s="5">
        <f>Z210*V210</f>
        <v/>
      </c>
      <c r="Z210" s="5">
        <f>INDEX('Player Data'!$P:$P,AL210)/INDEX('Player Data'!$E:$E,AL210)*M210*L210*AM210</f>
        <v/>
      </c>
      <c r="AB210" s="3">
        <f>(N210-Pool!$D$2)/Pool!$E$2</f>
        <v/>
      </c>
      <c r="AC210" s="3">
        <f>(O210-Pool!$D$3)/Pool!$E$3</f>
        <v/>
      </c>
      <c r="AD210" s="3">
        <f>(P210-Pool!$D$4)/Pool!$E$4</f>
        <v/>
      </c>
      <c r="AE210" s="3">
        <f>(Q210-Pool!$D$5)/Pool!$E$5</f>
        <v/>
      </c>
      <c r="AF210" s="3">
        <f>(R210-Pool!$D$6)/Pool!$E$6</f>
        <v/>
      </c>
      <c r="AG210" s="3">
        <f>(S210-Pool!$D$7)/Pool!$E$7</f>
        <v/>
      </c>
      <c r="AH210" s="3">
        <f>(AS210-Pool!$D$8)/Pool!$E$8</f>
        <v/>
      </c>
      <c r="AI210" s="3">
        <f>(AT210-Pool!$D$9)/Pool!$E$9</f>
        <v/>
      </c>
      <c r="AJ210" s="3">
        <f>-(T210-Pool!$D$10)/Pool!$E$10</f>
        <v/>
      </c>
      <c r="AL210">
        <f>MATCH(B210,'Player Data'!$A:$A,0)</f>
        <v/>
      </c>
      <c r="AM210" s="3">
        <f>1+IF(Settings!$F$10="ON",IFERROR(VLOOKUP(TRIM(F210),Settings!$D$12:$F$17,3,FALSE),0),0)</f>
        <v/>
      </c>
      <c r="AN210">
        <f>IFERROR(LEFT(C210,FIND(",",C210)-1),C210)</f>
        <v/>
      </c>
      <c r="AO210" s="6">
        <f>X210*(U210-Pool!$B$12)</f>
        <v/>
      </c>
      <c r="AP210" s="6">
        <f>Z210*(V210-Pool!$B$13)</f>
        <v/>
      </c>
      <c r="AQ210" s="3">
        <f>Settings!$B$2*(N210-Pool!$B$2)/Pool!$C$2+Settings!$B$3*(O210-Pool!$B$3)/Pool!$C$3+Settings!$B$4*(P210-Pool!$B$4)/Pool!$C$4+Settings!$B$5*(Q210-Pool!$B$5)/Pool!$C$5+Settings!$B$6*(R210-Pool!$B$6)/Pool!$C$6+Settings!$B$7*(S210-Pool!$B$7)/Pool!$C$7+Settings!$B$8*(AO210-Pool!$B$8)/Pool!$C$8+Settings!$B$9*(AP210-Pool!$B$9)/Pool!$C$9+Settings!$B$10*-(T210-Pool!$B$10)/Pool!$C$10</f>
        <v/>
      </c>
      <c r="AR210">
        <f>IF(RANK(AQ210,$AQ$2:$AQ$266)&lt;=Settings!$F$5,1,0)</f>
        <v/>
      </c>
      <c r="AS210" s="6">
        <f>X210*(U210-Pool!$D$12)</f>
        <v/>
      </c>
      <c r="AT210" s="6">
        <f>Z210*(V210-Pool!$D$13)</f>
        <v/>
      </c>
    </row>
    <row r="211">
      <c r="A211">
        <f>RANK(H211,$H$2:$H$266)</f>
        <v/>
      </c>
      <c r="B211" t="inlineStr">
        <is>
          <t>Jonathan Kuminga</t>
        </is>
      </c>
      <c r="C211">
        <f>INDEX('Player Data'!$C:$C,AL211)</f>
        <v/>
      </c>
      <c r="D211">
        <f>SUMPRODUCT(($AN$2:$AN$266=AN211)*($H$2:$H$266&gt;H211))+1</f>
        <v/>
      </c>
      <c r="E211">
        <f>INDEX('Player Data'!$B:$B,AL211)</f>
        <v/>
      </c>
      <c r="F211" s="2" t="n"/>
      <c r="G211" s="3">
        <f>Settings!$B$2*AB211+Settings!$B$3*AC211+Settings!$B$4*AD211+Settings!$B$5*AE211+Settings!$B$6*AF211+Settings!$B$7*AG211+Settings!$B$8*AH211+Settings!$B$9*AI211+Settings!$B$10*AJ211</f>
        <v/>
      </c>
      <c r="H211" s="3">
        <f>G211-LARGE($G$2:$G$266,Settings!$F$4)</f>
        <v/>
      </c>
      <c r="I211">
        <f>IF(INDEX('Player Data'!$R:$R,AL211)="","",INDEX('Player Data'!$R:$R,AL211))</f>
        <v/>
      </c>
      <c r="J211" s="4">
        <f>IF(I211="","",I211-A211)</f>
        <v/>
      </c>
      <c r="L211" s="5">
        <f>IF(Settings!$F$7="Yes",INDEX('Minutes &amp; Health'!$O:$O,AL211),Settings!$F$8)</f>
        <v/>
      </c>
      <c r="M211" s="6">
        <f>INDEX('Minutes &amp; Health'!$P:$P,AL211)</f>
        <v/>
      </c>
      <c r="N211" s="5">
        <f>INDEX('Player Data'!$F:$F,AL211)/INDEX('Player Data'!$E:$E,AL211)*M211*L211*AM211</f>
        <v/>
      </c>
      <c r="O211" s="5">
        <f>INDEX('Player Data'!$G:$G,AL211)/INDEX('Player Data'!$E:$E,AL211)*M211*L211*AM211</f>
        <v/>
      </c>
      <c r="P211" s="5">
        <f>INDEX('Player Data'!$H:$H,AL211)/INDEX('Player Data'!$E:$E,AL211)*M211*L211*AM211</f>
        <v/>
      </c>
      <c r="Q211" s="5">
        <f>INDEX('Player Data'!$I:$I,AL211)/INDEX('Player Data'!$E:$E,AL211)*M211*L211*AM211</f>
        <v/>
      </c>
      <c r="R211" s="5">
        <f>INDEX('Player Data'!$J:$J,AL211)/INDEX('Player Data'!$E:$E,AL211)*M211*L211*AM211</f>
        <v/>
      </c>
      <c r="S211" s="5">
        <f>INDEX('Player Data'!$K:$K,AL211)/INDEX('Player Data'!$E:$E,AL211)*M211*L211*AM211</f>
        <v/>
      </c>
      <c r="T211" s="5">
        <f>INDEX('Player Data'!$L:$L,AL211)/INDEX('Player Data'!$E:$E,AL211)*M211*L211*AM211</f>
        <v/>
      </c>
      <c r="U211" s="7">
        <f>INDEX('Player Data'!$M:$M,AL211)</f>
        <v/>
      </c>
      <c r="V211" s="7">
        <f>INDEX('Player Data'!$N:$N,AL211)</f>
        <v/>
      </c>
      <c r="W211" s="5">
        <f>X211*U211</f>
        <v/>
      </c>
      <c r="X211" s="5">
        <f>INDEX('Player Data'!$O:$O,AL211)/INDEX('Player Data'!$E:$E,AL211)*M211*L211*AM211</f>
        <v/>
      </c>
      <c r="Y211" s="5">
        <f>Z211*V211</f>
        <v/>
      </c>
      <c r="Z211" s="5">
        <f>INDEX('Player Data'!$P:$P,AL211)/INDEX('Player Data'!$E:$E,AL211)*M211*L211*AM211</f>
        <v/>
      </c>
      <c r="AB211" s="3">
        <f>(N211-Pool!$D$2)/Pool!$E$2</f>
        <v/>
      </c>
      <c r="AC211" s="3">
        <f>(O211-Pool!$D$3)/Pool!$E$3</f>
        <v/>
      </c>
      <c r="AD211" s="3">
        <f>(P211-Pool!$D$4)/Pool!$E$4</f>
        <v/>
      </c>
      <c r="AE211" s="3">
        <f>(Q211-Pool!$D$5)/Pool!$E$5</f>
        <v/>
      </c>
      <c r="AF211" s="3">
        <f>(R211-Pool!$D$6)/Pool!$E$6</f>
        <v/>
      </c>
      <c r="AG211" s="3">
        <f>(S211-Pool!$D$7)/Pool!$E$7</f>
        <v/>
      </c>
      <c r="AH211" s="3">
        <f>(AS211-Pool!$D$8)/Pool!$E$8</f>
        <v/>
      </c>
      <c r="AI211" s="3">
        <f>(AT211-Pool!$D$9)/Pool!$E$9</f>
        <v/>
      </c>
      <c r="AJ211" s="3">
        <f>-(T211-Pool!$D$10)/Pool!$E$10</f>
        <v/>
      </c>
      <c r="AL211">
        <f>MATCH(B211,'Player Data'!$A:$A,0)</f>
        <v/>
      </c>
      <c r="AM211" s="3">
        <f>1+IF(Settings!$F$10="ON",IFERROR(VLOOKUP(TRIM(F211),Settings!$D$12:$F$17,3,FALSE),0),0)</f>
        <v/>
      </c>
      <c r="AN211">
        <f>IFERROR(LEFT(C211,FIND(",",C211)-1),C211)</f>
        <v/>
      </c>
      <c r="AO211" s="6">
        <f>X211*(U211-Pool!$B$12)</f>
        <v/>
      </c>
      <c r="AP211" s="6">
        <f>Z211*(V211-Pool!$B$13)</f>
        <v/>
      </c>
      <c r="AQ211" s="3">
        <f>Settings!$B$2*(N211-Pool!$B$2)/Pool!$C$2+Settings!$B$3*(O211-Pool!$B$3)/Pool!$C$3+Settings!$B$4*(P211-Pool!$B$4)/Pool!$C$4+Settings!$B$5*(Q211-Pool!$B$5)/Pool!$C$5+Settings!$B$6*(R211-Pool!$B$6)/Pool!$C$6+Settings!$B$7*(S211-Pool!$B$7)/Pool!$C$7+Settings!$B$8*(AO211-Pool!$B$8)/Pool!$C$8+Settings!$B$9*(AP211-Pool!$B$9)/Pool!$C$9+Settings!$B$10*-(T211-Pool!$B$10)/Pool!$C$10</f>
        <v/>
      </c>
      <c r="AR211">
        <f>IF(RANK(AQ211,$AQ$2:$AQ$266)&lt;=Settings!$F$5,1,0)</f>
        <v/>
      </c>
      <c r="AS211" s="6">
        <f>X211*(U211-Pool!$D$12)</f>
        <v/>
      </c>
      <c r="AT211" s="6">
        <f>Z211*(V211-Pool!$D$13)</f>
        <v/>
      </c>
    </row>
    <row r="212">
      <c r="A212">
        <f>RANK(H212,$H$2:$H$266)</f>
        <v/>
      </c>
      <c r="B212" t="inlineStr">
        <is>
          <t>Jaylin Williams</t>
        </is>
      </c>
      <c r="C212">
        <f>INDEX('Player Data'!$C:$C,AL212)</f>
        <v/>
      </c>
      <c r="D212">
        <f>SUMPRODUCT(($AN$2:$AN$266=AN212)*($H$2:$H$266&gt;H212))+1</f>
        <v/>
      </c>
      <c r="E212">
        <f>INDEX('Player Data'!$B:$B,AL212)</f>
        <v/>
      </c>
      <c r="F212" s="2" t="n"/>
      <c r="G212" s="3">
        <f>Settings!$B$2*AB212+Settings!$B$3*AC212+Settings!$B$4*AD212+Settings!$B$5*AE212+Settings!$B$6*AF212+Settings!$B$7*AG212+Settings!$B$8*AH212+Settings!$B$9*AI212+Settings!$B$10*AJ212</f>
        <v/>
      </c>
      <c r="H212" s="3">
        <f>G212-LARGE($G$2:$G$266,Settings!$F$4)</f>
        <v/>
      </c>
      <c r="I212">
        <f>IF(INDEX('Player Data'!$R:$R,AL212)="","",INDEX('Player Data'!$R:$R,AL212))</f>
        <v/>
      </c>
      <c r="J212" s="4">
        <f>IF(I212="","",I212-A212)</f>
        <v/>
      </c>
      <c r="L212" s="5">
        <f>IF(Settings!$F$7="Yes",INDEX('Minutes &amp; Health'!$O:$O,AL212),Settings!$F$8)</f>
        <v/>
      </c>
      <c r="M212" s="6">
        <f>INDEX('Minutes &amp; Health'!$P:$P,AL212)</f>
        <v/>
      </c>
      <c r="N212" s="5">
        <f>INDEX('Player Data'!$F:$F,AL212)/INDEX('Player Data'!$E:$E,AL212)*M212*L212*AM212</f>
        <v/>
      </c>
      <c r="O212" s="5">
        <f>INDEX('Player Data'!$G:$G,AL212)/INDEX('Player Data'!$E:$E,AL212)*M212*L212*AM212</f>
        <v/>
      </c>
      <c r="P212" s="5">
        <f>INDEX('Player Data'!$H:$H,AL212)/INDEX('Player Data'!$E:$E,AL212)*M212*L212*AM212</f>
        <v/>
      </c>
      <c r="Q212" s="5">
        <f>INDEX('Player Data'!$I:$I,AL212)/INDEX('Player Data'!$E:$E,AL212)*M212*L212*AM212</f>
        <v/>
      </c>
      <c r="R212" s="5">
        <f>INDEX('Player Data'!$J:$J,AL212)/INDEX('Player Data'!$E:$E,AL212)*M212*L212*AM212</f>
        <v/>
      </c>
      <c r="S212" s="5">
        <f>INDEX('Player Data'!$K:$K,AL212)/INDEX('Player Data'!$E:$E,AL212)*M212*L212*AM212</f>
        <v/>
      </c>
      <c r="T212" s="5">
        <f>INDEX('Player Data'!$L:$L,AL212)/INDEX('Player Data'!$E:$E,AL212)*M212*L212*AM212</f>
        <v/>
      </c>
      <c r="U212" s="7">
        <f>INDEX('Player Data'!$M:$M,AL212)</f>
        <v/>
      </c>
      <c r="V212" s="7">
        <f>INDEX('Player Data'!$N:$N,AL212)</f>
        <v/>
      </c>
      <c r="W212" s="5">
        <f>X212*U212</f>
        <v/>
      </c>
      <c r="X212" s="5">
        <f>INDEX('Player Data'!$O:$O,AL212)/INDEX('Player Data'!$E:$E,AL212)*M212*L212*AM212</f>
        <v/>
      </c>
      <c r="Y212" s="5">
        <f>Z212*V212</f>
        <v/>
      </c>
      <c r="Z212" s="5">
        <f>INDEX('Player Data'!$P:$P,AL212)/INDEX('Player Data'!$E:$E,AL212)*M212*L212*AM212</f>
        <v/>
      </c>
      <c r="AB212" s="3">
        <f>(N212-Pool!$D$2)/Pool!$E$2</f>
        <v/>
      </c>
      <c r="AC212" s="3">
        <f>(O212-Pool!$D$3)/Pool!$E$3</f>
        <v/>
      </c>
      <c r="AD212" s="3">
        <f>(P212-Pool!$D$4)/Pool!$E$4</f>
        <v/>
      </c>
      <c r="AE212" s="3">
        <f>(Q212-Pool!$D$5)/Pool!$E$5</f>
        <v/>
      </c>
      <c r="AF212" s="3">
        <f>(R212-Pool!$D$6)/Pool!$E$6</f>
        <v/>
      </c>
      <c r="AG212" s="3">
        <f>(S212-Pool!$D$7)/Pool!$E$7</f>
        <v/>
      </c>
      <c r="AH212" s="3">
        <f>(AS212-Pool!$D$8)/Pool!$E$8</f>
        <v/>
      </c>
      <c r="AI212" s="3">
        <f>(AT212-Pool!$D$9)/Pool!$E$9</f>
        <v/>
      </c>
      <c r="AJ212" s="3">
        <f>-(T212-Pool!$D$10)/Pool!$E$10</f>
        <v/>
      </c>
      <c r="AL212">
        <f>MATCH(B212,'Player Data'!$A:$A,0)</f>
        <v/>
      </c>
      <c r="AM212" s="3">
        <f>1+IF(Settings!$F$10="ON",IFERROR(VLOOKUP(TRIM(F212),Settings!$D$12:$F$17,3,FALSE),0),0)</f>
        <v/>
      </c>
      <c r="AN212">
        <f>IFERROR(LEFT(C212,FIND(",",C212)-1),C212)</f>
        <v/>
      </c>
      <c r="AO212" s="6">
        <f>X212*(U212-Pool!$B$12)</f>
        <v/>
      </c>
      <c r="AP212" s="6">
        <f>Z212*(V212-Pool!$B$13)</f>
        <v/>
      </c>
      <c r="AQ212" s="3">
        <f>Settings!$B$2*(N212-Pool!$B$2)/Pool!$C$2+Settings!$B$3*(O212-Pool!$B$3)/Pool!$C$3+Settings!$B$4*(P212-Pool!$B$4)/Pool!$C$4+Settings!$B$5*(Q212-Pool!$B$5)/Pool!$C$5+Settings!$B$6*(R212-Pool!$B$6)/Pool!$C$6+Settings!$B$7*(S212-Pool!$B$7)/Pool!$C$7+Settings!$B$8*(AO212-Pool!$B$8)/Pool!$C$8+Settings!$B$9*(AP212-Pool!$B$9)/Pool!$C$9+Settings!$B$10*-(T212-Pool!$B$10)/Pool!$C$10</f>
        <v/>
      </c>
      <c r="AR212">
        <f>IF(RANK(AQ212,$AQ$2:$AQ$266)&lt;=Settings!$F$5,1,0)</f>
        <v/>
      </c>
      <c r="AS212" s="6">
        <f>X212*(U212-Pool!$D$12)</f>
        <v/>
      </c>
      <c r="AT212" s="6">
        <f>Z212*(V212-Pool!$D$13)</f>
        <v/>
      </c>
    </row>
    <row r="213">
      <c r="A213">
        <f>RANK(H213,$H$2:$H$266)</f>
        <v/>
      </c>
      <c r="B213" t="inlineStr">
        <is>
          <t>Danny Wolf</t>
        </is>
      </c>
      <c r="C213">
        <f>INDEX('Player Data'!$C:$C,AL213)</f>
        <v/>
      </c>
      <c r="D213">
        <f>SUMPRODUCT(($AN$2:$AN$266=AN213)*($H$2:$H$266&gt;H213))+1</f>
        <v/>
      </c>
      <c r="E213">
        <f>INDEX('Player Data'!$B:$B,AL213)</f>
        <v/>
      </c>
      <c r="F213" s="2" t="n"/>
      <c r="G213" s="3">
        <f>Settings!$B$2*AB213+Settings!$B$3*AC213+Settings!$B$4*AD213+Settings!$B$5*AE213+Settings!$B$6*AF213+Settings!$B$7*AG213+Settings!$B$8*AH213+Settings!$B$9*AI213+Settings!$B$10*AJ213</f>
        <v/>
      </c>
      <c r="H213" s="3">
        <f>G213-LARGE($G$2:$G$266,Settings!$F$4)</f>
        <v/>
      </c>
      <c r="I213">
        <f>IF(INDEX('Player Data'!$R:$R,AL213)="","",INDEX('Player Data'!$R:$R,AL213))</f>
        <v/>
      </c>
      <c r="J213" s="4">
        <f>IF(I213="","",I213-A213)</f>
        <v/>
      </c>
      <c r="L213" s="5">
        <f>IF(Settings!$F$7="Yes",INDEX('Minutes &amp; Health'!$O:$O,AL213),Settings!$F$8)</f>
        <v/>
      </c>
      <c r="M213" s="6">
        <f>INDEX('Minutes &amp; Health'!$P:$P,AL213)</f>
        <v/>
      </c>
      <c r="N213" s="5">
        <f>INDEX('Player Data'!$F:$F,AL213)/INDEX('Player Data'!$E:$E,AL213)*M213*L213*AM213</f>
        <v/>
      </c>
      <c r="O213" s="5">
        <f>INDEX('Player Data'!$G:$G,AL213)/INDEX('Player Data'!$E:$E,AL213)*M213*L213*AM213</f>
        <v/>
      </c>
      <c r="P213" s="5">
        <f>INDEX('Player Data'!$H:$H,AL213)/INDEX('Player Data'!$E:$E,AL213)*M213*L213*AM213</f>
        <v/>
      </c>
      <c r="Q213" s="5">
        <f>INDEX('Player Data'!$I:$I,AL213)/INDEX('Player Data'!$E:$E,AL213)*M213*L213*AM213</f>
        <v/>
      </c>
      <c r="R213" s="5">
        <f>INDEX('Player Data'!$J:$J,AL213)/INDEX('Player Data'!$E:$E,AL213)*M213*L213*AM213</f>
        <v/>
      </c>
      <c r="S213" s="5">
        <f>INDEX('Player Data'!$K:$K,AL213)/INDEX('Player Data'!$E:$E,AL213)*M213*L213*AM213</f>
        <v/>
      </c>
      <c r="T213" s="5">
        <f>INDEX('Player Data'!$L:$L,AL213)/INDEX('Player Data'!$E:$E,AL213)*M213*L213*AM213</f>
        <v/>
      </c>
      <c r="U213" s="7">
        <f>INDEX('Player Data'!$M:$M,AL213)</f>
        <v/>
      </c>
      <c r="V213" s="7">
        <f>INDEX('Player Data'!$N:$N,AL213)</f>
        <v/>
      </c>
      <c r="W213" s="5">
        <f>X213*U213</f>
        <v/>
      </c>
      <c r="X213" s="5">
        <f>INDEX('Player Data'!$O:$O,AL213)/INDEX('Player Data'!$E:$E,AL213)*M213*L213*AM213</f>
        <v/>
      </c>
      <c r="Y213" s="5">
        <f>Z213*V213</f>
        <v/>
      </c>
      <c r="Z213" s="5">
        <f>INDEX('Player Data'!$P:$P,AL213)/INDEX('Player Data'!$E:$E,AL213)*M213*L213*AM213</f>
        <v/>
      </c>
      <c r="AB213" s="3">
        <f>(N213-Pool!$D$2)/Pool!$E$2</f>
        <v/>
      </c>
      <c r="AC213" s="3">
        <f>(O213-Pool!$D$3)/Pool!$E$3</f>
        <v/>
      </c>
      <c r="AD213" s="3">
        <f>(P213-Pool!$D$4)/Pool!$E$4</f>
        <v/>
      </c>
      <c r="AE213" s="3">
        <f>(Q213-Pool!$D$5)/Pool!$E$5</f>
        <v/>
      </c>
      <c r="AF213" s="3">
        <f>(R213-Pool!$D$6)/Pool!$E$6</f>
        <v/>
      </c>
      <c r="AG213" s="3">
        <f>(S213-Pool!$D$7)/Pool!$E$7</f>
        <v/>
      </c>
      <c r="AH213" s="3">
        <f>(AS213-Pool!$D$8)/Pool!$E$8</f>
        <v/>
      </c>
      <c r="AI213" s="3">
        <f>(AT213-Pool!$D$9)/Pool!$E$9</f>
        <v/>
      </c>
      <c r="AJ213" s="3">
        <f>-(T213-Pool!$D$10)/Pool!$E$10</f>
        <v/>
      </c>
      <c r="AL213">
        <f>MATCH(B213,'Player Data'!$A:$A,0)</f>
        <v/>
      </c>
      <c r="AM213" s="3">
        <f>1+IF(Settings!$F$10="ON",IFERROR(VLOOKUP(TRIM(F213),Settings!$D$12:$F$17,3,FALSE),0),0)</f>
        <v/>
      </c>
      <c r="AN213">
        <f>IFERROR(LEFT(C213,FIND(",",C213)-1),C213)</f>
        <v/>
      </c>
      <c r="AO213" s="6">
        <f>X213*(U213-Pool!$B$12)</f>
        <v/>
      </c>
      <c r="AP213" s="6">
        <f>Z213*(V213-Pool!$B$13)</f>
        <v/>
      </c>
      <c r="AQ213" s="3">
        <f>Settings!$B$2*(N213-Pool!$B$2)/Pool!$C$2+Settings!$B$3*(O213-Pool!$B$3)/Pool!$C$3+Settings!$B$4*(P213-Pool!$B$4)/Pool!$C$4+Settings!$B$5*(Q213-Pool!$B$5)/Pool!$C$5+Settings!$B$6*(R213-Pool!$B$6)/Pool!$C$6+Settings!$B$7*(S213-Pool!$B$7)/Pool!$C$7+Settings!$B$8*(AO213-Pool!$B$8)/Pool!$C$8+Settings!$B$9*(AP213-Pool!$B$9)/Pool!$C$9+Settings!$B$10*-(T213-Pool!$B$10)/Pool!$C$10</f>
        <v/>
      </c>
      <c r="AR213">
        <f>IF(RANK(AQ213,$AQ$2:$AQ$266)&lt;=Settings!$F$5,1,0)</f>
        <v/>
      </c>
      <c r="AS213" s="6">
        <f>X213*(U213-Pool!$D$12)</f>
        <v/>
      </c>
      <c r="AT213" s="6">
        <f>Z213*(V213-Pool!$D$13)</f>
        <v/>
      </c>
    </row>
    <row r="214">
      <c r="A214">
        <f>RANK(H214,$H$2:$H$266)</f>
        <v/>
      </c>
      <c r="B214" t="inlineStr">
        <is>
          <t>Luke Kornet</t>
        </is>
      </c>
      <c r="C214">
        <f>INDEX('Player Data'!$C:$C,AL214)</f>
        <v/>
      </c>
      <c r="D214">
        <f>SUMPRODUCT(($AN$2:$AN$266=AN214)*($H$2:$H$266&gt;H214))+1</f>
        <v/>
      </c>
      <c r="E214">
        <f>INDEX('Player Data'!$B:$B,AL214)</f>
        <v/>
      </c>
      <c r="F214" s="2" t="n"/>
      <c r="G214" s="3">
        <f>Settings!$B$2*AB214+Settings!$B$3*AC214+Settings!$B$4*AD214+Settings!$B$5*AE214+Settings!$B$6*AF214+Settings!$B$7*AG214+Settings!$B$8*AH214+Settings!$B$9*AI214+Settings!$B$10*AJ214</f>
        <v/>
      </c>
      <c r="H214" s="3">
        <f>G214-LARGE($G$2:$G$266,Settings!$F$4)</f>
        <v/>
      </c>
      <c r="I214">
        <f>IF(INDEX('Player Data'!$R:$R,AL214)="","",INDEX('Player Data'!$R:$R,AL214))</f>
        <v/>
      </c>
      <c r="J214" s="4">
        <f>IF(I214="","",I214-A214)</f>
        <v/>
      </c>
      <c r="L214" s="5">
        <f>IF(Settings!$F$7="Yes",INDEX('Minutes &amp; Health'!$O:$O,AL214),Settings!$F$8)</f>
        <v/>
      </c>
      <c r="M214" s="6">
        <f>INDEX('Minutes &amp; Health'!$P:$P,AL214)</f>
        <v/>
      </c>
      <c r="N214" s="5">
        <f>INDEX('Player Data'!$F:$F,AL214)/INDEX('Player Data'!$E:$E,AL214)*M214*L214*AM214</f>
        <v/>
      </c>
      <c r="O214" s="5">
        <f>INDEX('Player Data'!$G:$G,AL214)/INDEX('Player Data'!$E:$E,AL214)*M214*L214*AM214</f>
        <v/>
      </c>
      <c r="P214" s="5">
        <f>INDEX('Player Data'!$H:$H,AL214)/INDEX('Player Data'!$E:$E,AL214)*M214*L214*AM214</f>
        <v/>
      </c>
      <c r="Q214" s="5">
        <f>INDEX('Player Data'!$I:$I,AL214)/INDEX('Player Data'!$E:$E,AL214)*M214*L214*AM214</f>
        <v/>
      </c>
      <c r="R214" s="5">
        <f>INDEX('Player Data'!$J:$J,AL214)/INDEX('Player Data'!$E:$E,AL214)*M214*L214*AM214</f>
        <v/>
      </c>
      <c r="S214" s="5">
        <f>INDEX('Player Data'!$K:$K,AL214)/INDEX('Player Data'!$E:$E,AL214)*M214*L214*AM214</f>
        <v/>
      </c>
      <c r="T214" s="5">
        <f>INDEX('Player Data'!$L:$L,AL214)/INDEX('Player Data'!$E:$E,AL214)*M214*L214*AM214</f>
        <v/>
      </c>
      <c r="U214" s="7">
        <f>INDEX('Player Data'!$M:$M,AL214)</f>
        <v/>
      </c>
      <c r="V214" s="7">
        <f>INDEX('Player Data'!$N:$N,AL214)</f>
        <v/>
      </c>
      <c r="W214" s="5">
        <f>X214*U214</f>
        <v/>
      </c>
      <c r="X214" s="5">
        <f>INDEX('Player Data'!$O:$O,AL214)/INDEX('Player Data'!$E:$E,AL214)*M214*L214*AM214</f>
        <v/>
      </c>
      <c r="Y214" s="5">
        <f>Z214*V214</f>
        <v/>
      </c>
      <c r="Z214" s="5">
        <f>INDEX('Player Data'!$P:$P,AL214)/INDEX('Player Data'!$E:$E,AL214)*M214*L214*AM214</f>
        <v/>
      </c>
      <c r="AB214" s="3">
        <f>(N214-Pool!$D$2)/Pool!$E$2</f>
        <v/>
      </c>
      <c r="AC214" s="3">
        <f>(O214-Pool!$D$3)/Pool!$E$3</f>
        <v/>
      </c>
      <c r="AD214" s="3">
        <f>(P214-Pool!$D$4)/Pool!$E$4</f>
        <v/>
      </c>
      <c r="AE214" s="3">
        <f>(Q214-Pool!$D$5)/Pool!$E$5</f>
        <v/>
      </c>
      <c r="AF214" s="3">
        <f>(R214-Pool!$D$6)/Pool!$E$6</f>
        <v/>
      </c>
      <c r="AG214" s="3">
        <f>(S214-Pool!$D$7)/Pool!$E$7</f>
        <v/>
      </c>
      <c r="AH214" s="3">
        <f>(AS214-Pool!$D$8)/Pool!$E$8</f>
        <v/>
      </c>
      <c r="AI214" s="3">
        <f>(AT214-Pool!$D$9)/Pool!$E$9</f>
        <v/>
      </c>
      <c r="AJ214" s="3">
        <f>-(T214-Pool!$D$10)/Pool!$E$10</f>
        <v/>
      </c>
      <c r="AL214">
        <f>MATCH(B214,'Player Data'!$A:$A,0)</f>
        <v/>
      </c>
      <c r="AM214" s="3">
        <f>1+IF(Settings!$F$10="ON",IFERROR(VLOOKUP(TRIM(F214),Settings!$D$12:$F$17,3,FALSE),0),0)</f>
        <v/>
      </c>
      <c r="AN214">
        <f>IFERROR(LEFT(C214,FIND(",",C214)-1),C214)</f>
        <v/>
      </c>
      <c r="AO214" s="6">
        <f>X214*(U214-Pool!$B$12)</f>
        <v/>
      </c>
      <c r="AP214" s="6">
        <f>Z214*(V214-Pool!$B$13)</f>
        <v/>
      </c>
      <c r="AQ214" s="3">
        <f>Settings!$B$2*(N214-Pool!$B$2)/Pool!$C$2+Settings!$B$3*(O214-Pool!$B$3)/Pool!$C$3+Settings!$B$4*(P214-Pool!$B$4)/Pool!$C$4+Settings!$B$5*(Q214-Pool!$B$5)/Pool!$C$5+Settings!$B$6*(R214-Pool!$B$6)/Pool!$C$6+Settings!$B$7*(S214-Pool!$B$7)/Pool!$C$7+Settings!$B$8*(AO214-Pool!$B$8)/Pool!$C$8+Settings!$B$9*(AP214-Pool!$B$9)/Pool!$C$9+Settings!$B$10*-(T214-Pool!$B$10)/Pool!$C$10</f>
        <v/>
      </c>
      <c r="AR214">
        <f>IF(RANK(AQ214,$AQ$2:$AQ$266)&lt;=Settings!$F$5,1,0)</f>
        <v/>
      </c>
      <c r="AS214" s="6">
        <f>X214*(U214-Pool!$D$12)</f>
        <v/>
      </c>
      <c r="AT214" s="6">
        <f>Z214*(V214-Pool!$D$13)</f>
        <v/>
      </c>
    </row>
    <row r="215">
      <c r="A215">
        <f>RANK(H215,$H$2:$H$266)</f>
        <v/>
      </c>
      <c r="B215" t="inlineStr">
        <is>
          <t>Baylor Scheierman</t>
        </is>
      </c>
      <c r="C215">
        <f>INDEX('Player Data'!$C:$C,AL215)</f>
        <v/>
      </c>
      <c r="D215">
        <f>SUMPRODUCT(($AN$2:$AN$266=AN215)*($H$2:$H$266&gt;H215))+1</f>
        <v/>
      </c>
      <c r="E215">
        <f>INDEX('Player Data'!$B:$B,AL215)</f>
        <v/>
      </c>
      <c r="F215" s="2" t="n"/>
      <c r="G215" s="3">
        <f>Settings!$B$2*AB215+Settings!$B$3*AC215+Settings!$B$4*AD215+Settings!$B$5*AE215+Settings!$B$6*AF215+Settings!$B$7*AG215+Settings!$B$8*AH215+Settings!$B$9*AI215+Settings!$B$10*AJ215</f>
        <v/>
      </c>
      <c r="H215" s="3">
        <f>G215-LARGE($G$2:$G$266,Settings!$F$4)</f>
        <v/>
      </c>
      <c r="I215">
        <f>IF(INDEX('Player Data'!$R:$R,AL215)="","",INDEX('Player Data'!$R:$R,AL215))</f>
        <v/>
      </c>
      <c r="J215" s="4">
        <f>IF(I215="","",I215-A215)</f>
        <v/>
      </c>
      <c r="L215" s="5">
        <f>IF(Settings!$F$7="Yes",INDEX('Minutes &amp; Health'!$O:$O,AL215),Settings!$F$8)</f>
        <v/>
      </c>
      <c r="M215" s="6">
        <f>INDEX('Minutes &amp; Health'!$P:$P,AL215)</f>
        <v/>
      </c>
      <c r="N215" s="5">
        <f>INDEX('Player Data'!$F:$F,AL215)/INDEX('Player Data'!$E:$E,AL215)*M215*L215*AM215</f>
        <v/>
      </c>
      <c r="O215" s="5">
        <f>INDEX('Player Data'!$G:$G,AL215)/INDEX('Player Data'!$E:$E,AL215)*M215*L215*AM215</f>
        <v/>
      </c>
      <c r="P215" s="5">
        <f>INDEX('Player Data'!$H:$H,AL215)/INDEX('Player Data'!$E:$E,AL215)*M215*L215*AM215</f>
        <v/>
      </c>
      <c r="Q215" s="5">
        <f>INDEX('Player Data'!$I:$I,AL215)/INDEX('Player Data'!$E:$E,AL215)*M215*L215*AM215</f>
        <v/>
      </c>
      <c r="R215" s="5">
        <f>INDEX('Player Data'!$J:$J,AL215)/INDEX('Player Data'!$E:$E,AL215)*M215*L215*AM215</f>
        <v/>
      </c>
      <c r="S215" s="5">
        <f>INDEX('Player Data'!$K:$K,AL215)/INDEX('Player Data'!$E:$E,AL215)*M215*L215*AM215</f>
        <v/>
      </c>
      <c r="T215" s="5">
        <f>INDEX('Player Data'!$L:$L,AL215)/INDEX('Player Data'!$E:$E,AL215)*M215*L215*AM215</f>
        <v/>
      </c>
      <c r="U215" s="7">
        <f>INDEX('Player Data'!$M:$M,AL215)</f>
        <v/>
      </c>
      <c r="V215" s="7">
        <f>INDEX('Player Data'!$N:$N,AL215)</f>
        <v/>
      </c>
      <c r="W215" s="5">
        <f>X215*U215</f>
        <v/>
      </c>
      <c r="X215" s="5">
        <f>INDEX('Player Data'!$O:$O,AL215)/INDEX('Player Data'!$E:$E,AL215)*M215*L215*AM215</f>
        <v/>
      </c>
      <c r="Y215" s="5">
        <f>Z215*V215</f>
        <v/>
      </c>
      <c r="Z215" s="5">
        <f>INDEX('Player Data'!$P:$P,AL215)/INDEX('Player Data'!$E:$E,AL215)*M215*L215*AM215</f>
        <v/>
      </c>
      <c r="AB215" s="3">
        <f>(N215-Pool!$D$2)/Pool!$E$2</f>
        <v/>
      </c>
      <c r="AC215" s="3">
        <f>(O215-Pool!$D$3)/Pool!$E$3</f>
        <v/>
      </c>
      <c r="AD215" s="3">
        <f>(P215-Pool!$D$4)/Pool!$E$4</f>
        <v/>
      </c>
      <c r="AE215" s="3">
        <f>(Q215-Pool!$D$5)/Pool!$E$5</f>
        <v/>
      </c>
      <c r="AF215" s="3">
        <f>(R215-Pool!$D$6)/Pool!$E$6</f>
        <v/>
      </c>
      <c r="AG215" s="3">
        <f>(S215-Pool!$D$7)/Pool!$E$7</f>
        <v/>
      </c>
      <c r="AH215" s="3">
        <f>(AS215-Pool!$D$8)/Pool!$E$8</f>
        <v/>
      </c>
      <c r="AI215" s="3">
        <f>(AT215-Pool!$D$9)/Pool!$E$9</f>
        <v/>
      </c>
      <c r="AJ215" s="3">
        <f>-(T215-Pool!$D$10)/Pool!$E$10</f>
        <v/>
      </c>
      <c r="AL215">
        <f>MATCH(B215,'Player Data'!$A:$A,0)</f>
        <v/>
      </c>
      <c r="AM215" s="3">
        <f>1+IF(Settings!$F$10="ON",IFERROR(VLOOKUP(TRIM(F215),Settings!$D$12:$F$17,3,FALSE),0),0)</f>
        <v/>
      </c>
      <c r="AN215">
        <f>IFERROR(LEFT(C215,FIND(",",C215)-1),C215)</f>
        <v/>
      </c>
      <c r="AO215" s="6">
        <f>X215*(U215-Pool!$B$12)</f>
        <v/>
      </c>
      <c r="AP215" s="6">
        <f>Z215*(V215-Pool!$B$13)</f>
        <v/>
      </c>
      <c r="AQ215" s="3">
        <f>Settings!$B$2*(N215-Pool!$B$2)/Pool!$C$2+Settings!$B$3*(O215-Pool!$B$3)/Pool!$C$3+Settings!$B$4*(P215-Pool!$B$4)/Pool!$C$4+Settings!$B$5*(Q215-Pool!$B$5)/Pool!$C$5+Settings!$B$6*(R215-Pool!$B$6)/Pool!$C$6+Settings!$B$7*(S215-Pool!$B$7)/Pool!$C$7+Settings!$B$8*(AO215-Pool!$B$8)/Pool!$C$8+Settings!$B$9*(AP215-Pool!$B$9)/Pool!$C$9+Settings!$B$10*-(T215-Pool!$B$10)/Pool!$C$10</f>
        <v/>
      </c>
      <c r="AR215">
        <f>IF(RANK(AQ215,$AQ$2:$AQ$266)&lt;=Settings!$F$5,1,0)</f>
        <v/>
      </c>
      <c r="AS215" s="6">
        <f>X215*(U215-Pool!$D$12)</f>
        <v/>
      </c>
      <c r="AT215" s="6">
        <f>Z215*(V215-Pool!$D$13)</f>
        <v/>
      </c>
    </row>
    <row r="216">
      <c r="A216">
        <f>RANK(H216,$H$2:$H$266)</f>
        <v/>
      </c>
      <c r="B216" t="inlineStr">
        <is>
          <t>Zion Williamson</t>
        </is>
      </c>
      <c r="C216">
        <f>INDEX('Player Data'!$C:$C,AL216)</f>
        <v/>
      </c>
      <c r="D216">
        <f>SUMPRODUCT(($AN$2:$AN$266=AN216)*($H$2:$H$266&gt;H216))+1</f>
        <v/>
      </c>
      <c r="E216">
        <f>INDEX('Player Data'!$B:$B,AL216)</f>
        <v/>
      </c>
      <c r="F216" s="2" t="inlineStr">
        <is>
          <t>-</t>
        </is>
      </c>
      <c r="G216" s="3">
        <f>Settings!$B$2*AB216+Settings!$B$3*AC216+Settings!$B$4*AD216+Settings!$B$5*AE216+Settings!$B$6*AF216+Settings!$B$7*AG216+Settings!$B$8*AH216+Settings!$B$9*AI216+Settings!$B$10*AJ216</f>
        <v/>
      </c>
      <c r="H216" s="3">
        <f>G216-LARGE($G$2:$G$266,Settings!$F$4)</f>
        <v/>
      </c>
      <c r="I216">
        <f>IF(INDEX('Player Data'!$R:$R,AL216)="","",INDEX('Player Data'!$R:$R,AL216))</f>
        <v/>
      </c>
      <c r="J216" s="4">
        <f>IF(I216="","",I216-A216)</f>
        <v/>
      </c>
      <c r="L216" s="5">
        <f>IF(Settings!$F$7="Yes",INDEX('Minutes &amp; Health'!$O:$O,AL216),Settings!$F$8)</f>
        <v/>
      </c>
      <c r="M216" s="6">
        <f>INDEX('Minutes &amp; Health'!$P:$P,AL216)</f>
        <v/>
      </c>
      <c r="N216" s="5">
        <f>INDEX('Player Data'!$F:$F,AL216)/INDEX('Player Data'!$E:$E,AL216)*M216*L216*AM216</f>
        <v/>
      </c>
      <c r="O216" s="5">
        <f>INDEX('Player Data'!$G:$G,AL216)/INDEX('Player Data'!$E:$E,AL216)*M216*L216*AM216</f>
        <v/>
      </c>
      <c r="P216" s="5">
        <f>INDEX('Player Data'!$H:$H,AL216)/INDEX('Player Data'!$E:$E,AL216)*M216*L216*AM216</f>
        <v/>
      </c>
      <c r="Q216" s="5">
        <f>INDEX('Player Data'!$I:$I,AL216)/INDEX('Player Data'!$E:$E,AL216)*M216*L216*AM216</f>
        <v/>
      </c>
      <c r="R216" s="5">
        <f>INDEX('Player Data'!$J:$J,AL216)/INDEX('Player Data'!$E:$E,AL216)*M216*L216*AM216</f>
        <v/>
      </c>
      <c r="S216" s="5">
        <f>INDEX('Player Data'!$K:$K,AL216)/INDEX('Player Data'!$E:$E,AL216)*M216*L216*AM216</f>
        <v/>
      </c>
      <c r="T216" s="5">
        <f>INDEX('Player Data'!$L:$L,AL216)/INDEX('Player Data'!$E:$E,AL216)*M216*L216*AM216</f>
        <v/>
      </c>
      <c r="U216" s="7">
        <f>INDEX('Player Data'!$M:$M,AL216)</f>
        <v/>
      </c>
      <c r="V216" s="7">
        <f>INDEX('Player Data'!$N:$N,AL216)</f>
        <v/>
      </c>
      <c r="W216" s="5">
        <f>X216*U216</f>
        <v/>
      </c>
      <c r="X216" s="5">
        <f>INDEX('Player Data'!$O:$O,AL216)/INDEX('Player Data'!$E:$E,AL216)*M216*L216*AM216</f>
        <v/>
      </c>
      <c r="Y216" s="5">
        <f>Z216*V216</f>
        <v/>
      </c>
      <c r="Z216" s="5">
        <f>INDEX('Player Data'!$P:$P,AL216)/INDEX('Player Data'!$E:$E,AL216)*M216*L216*AM216</f>
        <v/>
      </c>
      <c r="AB216" s="3">
        <f>(N216-Pool!$D$2)/Pool!$E$2</f>
        <v/>
      </c>
      <c r="AC216" s="3">
        <f>(O216-Pool!$D$3)/Pool!$E$3</f>
        <v/>
      </c>
      <c r="AD216" s="3">
        <f>(P216-Pool!$D$4)/Pool!$E$4</f>
        <v/>
      </c>
      <c r="AE216" s="3">
        <f>(Q216-Pool!$D$5)/Pool!$E$5</f>
        <v/>
      </c>
      <c r="AF216" s="3">
        <f>(R216-Pool!$D$6)/Pool!$E$6</f>
        <v/>
      </c>
      <c r="AG216" s="3">
        <f>(S216-Pool!$D$7)/Pool!$E$7</f>
        <v/>
      </c>
      <c r="AH216" s="3">
        <f>(AS216-Pool!$D$8)/Pool!$E$8</f>
        <v/>
      </c>
      <c r="AI216" s="3">
        <f>(AT216-Pool!$D$9)/Pool!$E$9</f>
        <v/>
      </c>
      <c r="AJ216" s="3">
        <f>-(T216-Pool!$D$10)/Pool!$E$10</f>
        <v/>
      </c>
      <c r="AL216">
        <f>MATCH(B216,'Player Data'!$A:$A,0)</f>
        <v/>
      </c>
      <c r="AM216" s="3">
        <f>1+IF(Settings!$F$10="ON",IFERROR(VLOOKUP(TRIM(F216),Settings!$D$12:$F$17,3,FALSE),0),0)</f>
        <v/>
      </c>
      <c r="AN216">
        <f>IFERROR(LEFT(C216,FIND(",",C216)-1),C216)</f>
        <v/>
      </c>
      <c r="AO216" s="6">
        <f>X216*(U216-Pool!$B$12)</f>
        <v/>
      </c>
      <c r="AP216" s="6">
        <f>Z216*(V216-Pool!$B$13)</f>
        <v/>
      </c>
      <c r="AQ216" s="3">
        <f>Settings!$B$2*(N216-Pool!$B$2)/Pool!$C$2+Settings!$B$3*(O216-Pool!$B$3)/Pool!$C$3+Settings!$B$4*(P216-Pool!$B$4)/Pool!$C$4+Settings!$B$5*(Q216-Pool!$B$5)/Pool!$C$5+Settings!$B$6*(R216-Pool!$B$6)/Pool!$C$6+Settings!$B$7*(S216-Pool!$B$7)/Pool!$C$7+Settings!$B$8*(AO216-Pool!$B$8)/Pool!$C$8+Settings!$B$9*(AP216-Pool!$B$9)/Pool!$C$9+Settings!$B$10*-(T216-Pool!$B$10)/Pool!$C$10</f>
        <v/>
      </c>
      <c r="AR216">
        <f>IF(RANK(AQ216,$AQ$2:$AQ$266)&lt;=Settings!$F$5,1,0)</f>
        <v/>
      </c>
      <c r="AS216" s="6">
        <f>X216*(U216-Pool!$D$12)</f>
        <v/>
      </c>
      <c r="AT216" s="6">
        <f>Z216*(V216-Pool!$D$13)</f>
        <v/>
      </c>
    </row>
    <row r="217">
      <c r="A217">
        <f>RANK(H217,$H$2:$H$266)</f>
        <v/>
      </c>
      <c r="B217" t="inlineStr">
        <is>
          <t>Jaylen Wells</t>
        </is>
      </c>
      <c r="C217">
        <f>INDEX('Player Data'!$C:$C,AL217)</f>
        <v/>
      </c>
      <c r="D217">
        <f>SUMPRODUCT(($AN$2:$AN$266=AN217)*($H$2:$H$266&gt;H217))+1</f>
        <v/>
      </c>
      <c r="E217">
        <f>INDEX('Player Data'!$B:$B,AL217)</f>
        <v/>
      </c>
      <c r="F217" s="2" t="n"/>
      <c r="G217" s="3">
        <f>Settings!$B$2*AB217+Settings!$B$3*AC217+Settings!$B$4*AD217+Settings!$B$5*AE217+Settings!$B$6*AF217+Settings!$B$7*AG217+Settings!$B$8*AH217+Settings!$B$9*AI217+Settings!$B$10*AJ217</f>
        <v/>
      </c>
      <c r="H217" s="3">
        <f>G217-LARGE($G$2:$G$266,Settings!$F$4)</f>
        <v/>
      </c>
      <c r="I217">
        <f>IF(INDEX('Player Data'!$R:$R,AL217)="","",INDEX('Player Data'!$R:$R,AL217))</f>
        <v/>
      </c>
      <c r="J217" s="4">
        <f>IF(I217="","",I217-A217)</f>
        <v/>
      </c>
      <c r="L217" s="5">
        <f>IF(Settings!$F$7="Yes",INDEX('Minutes &amp; Health'!$O:$O,AL217),Settings!$F$8)</f>
        <v/>
      </c>
      <c r="M217" s="6">
        <f>INDEX('Minutes &amp; Health'!$P:$P,AL217)</f>
        <v/>
      </c>
      <c r="N217" s="5">
        <f>INDEX('Player Data'!$F:$F,AL217)/INDEX('Player Data'!$E:$E,AL217)*M217*L217*AM217</f>
        <v/>
      </c>
      <c r="O217" s="5">
        <f>INDEX('Player Data'!$G:$G,AL217)/INDEX('Player Data'!$E:$E,AL217)*M217*L217*AM217</f>
        <v/>
      </c>
      <c r="P217" s="5">
        <f>INDEX('Player Data'!$H:$H,AL217)/INDEX('Player Data'!$E:$E,AL217)*M217*L217*AM217</f>
        <v/>
      </c>
      <c r="Q217" s="5">
        <f>INDEX('Player Data'!$I:$I,AL217)/INDEX('Player Data'!$E:$E,AL217)*M217*L217*AM217</f>
        <v/>
      </c>
      <c r="R217" s="5">
        <f>INDEX('Player Data'!$J:$J,AL217)/INDEX('Player Data'!$E:$E,AL217)*M217*L217*AM217</f>
        <v/>
      </c>
      <c r="S217" s="5">
        <f>INDEX('Player Data'!$K:$K,AL217)/INDEX('Player Data'!$E:$E,AL217)*M217*L217*AM217</f>
        <v/>
      </c>
      <c r="T217" s="5">
        <f>INDEX('Player Data'!$L:$L,AL217)/INDEX('Player Data'!$E:$E,AL217)*M217*L217*AM217</f>
        <v/>
      </c>
      <c r="U217" s="7">
        <f>INDEX('Player Data'!$M:$M,AL217)</f>
        <v/>
      </c>
      <c r="V217" s="7">
        <f>INDEX('Player Data'!$N:$N,AL217)</f>
        <v/>
      </c>
      <c r="W217" s="5">
        <f>X217*U217</f>
        <v/>
      </c>
      <c r="X217" s="5">
        <f>INDEX('Player Data'!$O:$O,AL217)/INDEX('Player Data'!$E:$E,AL217)*M217*L217*AM217</f>
        <v/>
      </c>
      <c r="Y217" s="5">
        <f>Z217*V217</f>
        <v/>
      </c>
      <c r="Z217" s="5">
        <f>INDEX('Player Data'!$P:$P,AL217)/INDEX('Player Data'!$E:$E,AL217)*M217*L217*AM217</f>
        <v/>
      </c>
      <c r="AB217" s="3">
        <f>(N217-Pool!$D$2)/Pool!$E$2</f>
        <v/>
      </c>
      <c r="AC217" s="3">
        <f>(O217-Pool!$D$3)/Pool!$E$3</f>
        <v/>
      </c>
      <c r="AD217" s="3">
        <f>(P217-Pool!$D$4)/Pool!$E$4</f>
        <v/>
      </c>
      <c r="AE217" s="3">
        <f>(Q217-Pool!$D$5)/Pool!$E$5</f>
        <v/>
      </c>
      <c r="AF217" s="3">
        <f>(R217-Pool!$D$6)/Pool!$E$6</f>
        <v/>
      </c>
      <c r="AG217" s="3">
        <f>(S217-Pool!$D$7)/Pool!$E$7</f>
        <v/>
      </c>
      <c r="AH217" s="3">
        <f>(AS217-Pool!$D$8)/Pool!$E$8</f>
        <v/>
      </c>
      <c r="AI217" s="3">
        <f>(AT217-Pool!$D$9)/Pool!$E$9</f>
        <v/>
      </c>
      <c r="AJ217" s="3">
        <f>-(T217-Pool!$D$10)/Pool!$E$10</f>
        <v/>
      </c>
      <c r="AL217">
        <f>MATCH(B217,'Player Data'!$A:$A,0)</f>
        <v/>
      </c>
      <c r="AM217" s="3">
        <f>1+IF(Settings!$F$10="ON",IFERROR(VLOOKUP(TRIM(F217),Settings!$D$12:$F$17,3,FALSE),0),0)</f>
        <v/>
      </c>
      <c r="AN217">
        <f>IFERROR(LEFT(C217,FIND(",",C217)-1),C217)</f>
        <v/>
      </c>
      <c r="AO217" s="6">
        <f>X217*(U217-Pool!$B$12)</f>
        <v/>
      </c>
      <c r="AP217" s="6">
        <f>Z217*(V217-Pool!$B$13)</f>
        <v/>
      </c>
      <c r="AQ217" s="3">
        <f>Settings!$B$2*(N217-Pool!$B$2)/Pool!$C$2+Settings!$B$3*(O217-Pool!$B$3)/Pool!$C$3+Settings!$B$4*(P217-Pool!$B$4)/Pool!$C$4+Settings!$B$5*(Q217-Pool!$B$5)/Pool!$C$5+Settings!$B$6*(R217-Pool!$B$6)/Pool!$C$6+Settings!$B$7*(S217-Pool!$B$7)/Pool!$C$7+Settings!$B$8*(AO217-Pool!$B$8)/Pool!$C$8+Settings!$B$9*(AP217-Pool!$B$9)/Pool!$C$9+Settings!$B$10*-(T217-Pool!$B$10)/Pool!$C$10</f>
        <v/>
      </c>
      <c r="AR217">
        <f>IF(RANK(AQ217,$AQ$2:$AQ$266)&lt;=Settings!$F$5,1,0)</f>
        <v/>
      </c>
      <c r="AS217" s="6">
        <f>X217*(U217-Pool!$D$12)</f>
        <v/>
      </c>
      <c r="AT217" s="6">
        <f>Z217*(V217-Pool!$D$13)</f>
        <v/>
      </c>
    </row>
    <row r="218">
      <c r="A218">
        <f>RANK(H218,$H$2:$H$266)</f>
        <v/>
      </c>
      <c r="B218" t="inlineStr">
        <is>
          <t>Brice Sensabaugh</t>
        </is>
      </c>
      <c r="C218">
        <f>INDEX('Player Data'!$C:$C,AL218)</f>
        <v/>
      </c>
      <c r="D218">
        <f>SUMPRODUCT(($AN$2:$AN$266=AN218)*($H$2:$H$266&gt;H218))+1</f>
        <v/>
      </c>
      <c r="E218">
        <f>INDEX('Player Data'!$B:$B,AL218)</f>
        <v/>
      </c>
      <c r="F218" s="2" t="n"/>
      <c r="G218" s="3">
        <f>Settings!$B$2*AB218+Settings!$B$3*AC218+Settings!$B$4*AD218+Settings!$B$5*AE218+Settings!$B$6*AF218+Settings!$B$7*AG218+Settings!$B$8*AH218+Settings!$B$9*AI218+Settings!$B$10*AJ218</f>
        <v/>
      </c>
      <c r="H218" s="3">
        <f>G218-LARGE($G$2:$G$266,Settings!$F$4)</f>
        <v/>
      </c>
      <c r="I218">
        <f>IF(INDEX('Player Data'!$R:$R,AL218)="","",INDEX('Player Data'!$R:$R,AL218))</f>
        <v/>
      </c>
      <c r="J218" s="4">
        <f>IF(I218="","",I218-A218)</f>
        <v/>
      </c>
      <c r="L218" s="5">
        <f>IF(Settings!$F$7="Yes",INDEX('Minutes &amp; Health'!$O:$O,AL218),Settings!$F$8)</f>
        <v/>
      </c>
      <c r="M218" s="6">
        <f>INDEX('Minutes &amp; Health'!$P:$P,AL218)</f>
        <v/>
      </c>
      <c r="N218" s="5">
        <f>INDEX('Player Data'!$F:$F,AL218)/INDEX('Player Data'!$E:$E,AL218)*M218*L218*AM218</f>
        <v/>
      </c>
      <c r="O218" s="5">
        <f>INDEX('Player Data'!$G:$G,AL218)/INDEX('Player Data'!$E:$E,AL218)*M218*L218*AM218</f>
        <v/>
      </c>
      <c r="P218" s="5">
        <f>INDEX('Player Data'!$H:$H,AL218)/INDEX('Player Data'!$E:$E,AL218)*M218*L218*AM218</f>
        <v/>
      </c>
      <c r="Q218" s="5">
        <f>INDEX('Player Data'!$I:$I,AL218)/INDEX('Player Data'!$E:$E,AL218)*M218*L218*AM218</f>
        <v/>
      </c>
      <c r="R218" s="5">
        <f>INDEX('Player Data'!$J:$J,AL218)/INDEX('Player Data'!$E:$E,AL218)*M218*L218*AM218</f>
        <v/>
      </c>
      <c r="S218" s="5">
        <f>INDEX('Player Data'!$K:$K,AL218)/INDEX('Player Data'!$E:$E,AL218)*M218*L218*AM218</f>
        <v/>
      </c>
      <c r="T218" s="5">
        <f>INDEX('Player Data'!$L:$L,AL218)/INDEX('Player Data'!$E:$E,AL218)*M218*L218*AM218</f>
        <v/>
      </c>
      <c r="U218" s="7">
        <f>INDEX('Player Data'!$M:$M,AL218)</f>
        <v/>
      </c>
      <c r="V218" s="7">
        <f>INDEX('Player Data'!$N:$N,AL218)</f>
        <v/>
      </c>
      <c r="W218" s="5">
        <f>X218*U218</f>
        <v/>
      </c>
      <c r="X218" s="5">
        <f>INDEX('Player Data'!$O:$O,AL218)/INDEX('Player Data'!$E:$E,AL218)*M218*L218*AM218</f>
        <v/>
      </c>
      <c r="Y218" s="5">
        <f>Z218*V218</f>
        <v/>
      </c>
      <c r="Z218" s="5">
        <f>INDEX('Player Data'!$P:$P,AL218)/INDEX('Player Data'!$E:$E,AL218)*M218*L218*AM218</f>
        <v/>
      </c>
      <c r="AB218" s="3">
        <f>(N218-Pool!$D$2)/Pool!$E$2</f>
        <v/>
      </c>
      <c r="AC218" s="3">
        <f>(O218-Pool!$D$3)/Pool!$E$3</f>
        <v/>
      </c>
      <c r="AD218" s="3">
        <f>(P218-Pool!$D$4)/Pool!$E$4</f>
        <v/>
      </c>
      <c r="AE218" s="3">
        <f>(Q218-Pool!$D$5)/Pool!$E$5</f>
        <v/>
      </c>
      <c r="AF218" s="3">
        <f>(R218-Pool!$D$6)/Pool!$E$6</f>
        <v/>
      </c>
      <c r="AG218" s="3">
        <f>(S218-Pool!$D$7)/Pool!$E$7</f>
        <v/>
      </c>
      <c r="AH218" s="3">
        <f>(AS218-Pool!$D$8)/Pool!$E$8</f>
        <v/>
      </c>
      <c r="AI218" s="3">
        <f>(AT218-Pool!$D$9)/Pool!$E$9</f>
        <v/>
      </c>
      <c r="AJ218" s="3">
        <f>-(T218-Pool!$D$10)/Pool!$E$10</f>
        <v/>
      </c>
      <c r="AL218">
        <f>MATCH(B218,'Player Data'!$A:$A,0)</f>
        <v/>
      </c>
      <c r="AM218" s="3">
        <f>1+IF(Settings!$F$10="ON",IFERROR(VLOOKUP(TRIM(F218),Settings!$D$12:$F$17,3,FALSE),0),0)</f>
        <v/>
      </c>
      <c r="AN218">
        <f>IFERROR(LEFT(C218,FIND(",",C218)-1),C218)</f>
        <v/>
      </c>
      <c r="AO218" s="6">
        <f>X218*(U218-Pool!$B$12)</f>
        <v/>
      </c>
      <c r="AP218" s="6">
        <f>Z218*(V218-Pool!$B$13)</f>
        <v/>
      </c>
      <c r="AQ218" s="3">
        <f>Settings!$B$2*(N218-Pool!$B$2)/Pool!$C$2+Settings!$B$3*(O218-Pool!$B$3)/Pool!$C$3+Settings!$B$4*(P218-Pool!$B$4)/Pool!$C$4+Settings!$B$5*(Q218-Pool!$B$5)/Pool!$C$5+Settings!$B$6*(R218-Pool!$B$6)/Pool!$C$6+Settings!$B$7*(S218-Pool!$B$7)/Pool!$C$7+Settings!$B$8*(AO218-Pool!$B$8)/Pool!$C$8+Settings!$B$9*(AP218-Pool!$B$9)/Pool!$C$9+Settings!$B$10*-(T218-Pool!$B$10)/Pool!$C$10</f>
        <v/>
      </c>
      <c r="AR218">
        <f>IF(RANK(AQ218,$AQ$2:$AQ$266)&lt;=Settings!$F$5,1,0)</f>
        <v/>
      </c>
      <c r="AS218" s="6">
        <f>X218*(U218-Pool!$D$12)</f>
        <v/>
      </c>
      <c r="AT218" s="6">
        <f>Z218*(V218-Pool!$D$13)</f>
        <v/>
      </c>
    </row>
    <row r="219">
      <c r="A219">
        <f>RANK(H219,$H$2:$H$266)</f>
        <v/>
      </c>
      <c r="B219" t="inlineStr">
        <is>
          <t>Jamal Shead</t>
        </is>
      </c>
      <c r="C219">
        <f>INDEX('Player Data'!$C:$C,AL219)</f>
        <v/>
      </c>
      <c r="D219">
        <f>SUMPRODUCT(($AN$2:$AN$266=AN219)*($H$2:$H$266&gt;H219))+1</f>
        <v/>
      </c>
      <c r="E219">
        <f>INDEX('Player Data'!$B:$B,AL219)</f>
        <v/>
      </c>
      <c r="F219" s="2" t="n"/>
      <c r="G219" s="3">
        <f>Settings!$B$2*AB219+Settings!$B$3*AC219+Settings!$B$4*AD219+Settings!$B$5*AE219+Settings!$B$6*AF219+Settings!$B$7*AG219+Settings!$B$8*AH219+Settings!$B$9*AI219+Settings!$B$10*AJ219</f>
        <v/>
      </c>
      <c r="H219" s="3">
        <f>G219-LARGE($G$2:$G$266,Settings!$F$4)</f>
        <v/>
      </c>
      <c r="I219">
        <f>IF(INDEX('Player Data'!$R:$R,AL219)="","",INDEX('Player Data'!$R:$R,AL219))</f>
        <v/>
      </c>
      <c r="J219" s="4">
        <f>IF(I219="","",I219-A219)</f>
        <v/>
      </c>
      <c r="L219" s="5">
        <f>IF(Settings!$F$7="Yes",INDEX('Minutes &amp; Health'!$O:$O,AL219),Settings!$F$8)</f>
        <v/>
      </c>
      <c r="M219" s="6">
        <f>INDEX('Minutes &amp; Health'!$P:$P,AL219)</f>
        <v/>
      </c>
      <c r="N219" s="5">
        <f>INDEX('Player Data'!$F:$F,AL219)/INDEX('Player Data'!$E:$E,AL219)*M219*L219*AM219</f>
        <v/>
      </c>
      <c r="O219" s="5">
        <f>INDEX('Player Data'!$G:$G,AL219)/INDEX('Player Data'!$E:$E,AL219)*M219*L219*AM219</f>
        <v/>
      </c>
      <c r="P219" s="5">
        <f>INDEX('Player Data'!$H:$H,AL219)/INDEX('Player Data'!$E:$E,AL219)*M219*L219*AM219</f>
        <v/>
      </c>
      <c r="Q219" s="5">
        <f>INDEX('Player Data'!$I:$I,AL219)/INDEX('Player Data'!$E:$E,AL219)*M219*L219*AM219</f>
        <v/>
      </c>
      <c r="R219" s="5">
        <f>INDEX('Player Data'!$J:$J,AL219)/INDEX('Player Data'!$E:$E,AL219)*M219*L219*AM219</f>
        <v/>
      </c>
      <c r="S219" s="5">
        <f>INDEX('Player Data'!$K:$K,AL219)/INDEX('Player Data'!$E:$E,AL219)*M219*L219*AM219</f>
        <v/>
      </c>
      <c r="T219" s="5">
        <f>INDEX('Player Data'!$L:$L,AL219)/INDEX('Player Data'!$E:$E,AL219)*M219*L219*AM219</f>
        <v/>
      </c>
      <c r="U219" s="7">
        <f>INDEX('Player Data'!$M:$M,AL219)</f>
        <v/>
      </c>
      <c r="V219" s="7">
        <f>INDEX('Player Data'!$N:$N,AL219)</f>
        <v/>
      </c>
      <c r="W219" s="5">
        <f>X219*U219</f>
        <v/>
      </c>
      <c r="X219" s="5">
        <f>INDEX('Player Data'!$O:$O,AL219)/INDEX('Player Data'!$E:$E,AL219)*M219*L219*AM219</f>
        <v/>
      </c>
      <c r="Y219" s="5">
        <f>Z219*V219</f>
        <v/>
      </c>
      <c r="Z219" s="5">
        <f>INDEX('Player Data'!$P:$P,AL219)/INDEX('Player Data'!$E:$E,AL219)*M219*L219*AM219</f>
        <v/>
      </c>
      <c r="AB219" s="3">
        <f>(N219-Pool!$D$2)/Pool!$E$2</f>
        <v/>
      </c>
      <c r="AC219" s="3">
        <f>(O219-Pool!$D$3)/Pool!$E$3</f>
        <v/>
      </c>
      <c r="AD219" s="3">
        <f>(P219-Pool!$D$4)/Pool!$E$4</f>
        <v/>
      </c>
      <c r="AE219" s="3">
        <f>(Q219-Pool!$D$5)/Pool!$E$5</f>
        <v/>
      </c>
      <c r="AF219" s="3">
        <f>(R219-Pool!$D$6)/Pool!$E$6</f>
        <v/>
      </c>
      <c r="AG219" s="3">
        <f>(S219-Pool!$D$7)/Pool!$E$7</f>
        <v/>
      </c>
      <c r="AH219" s="3">
        <f>(AS219-Pool!$D$8)/Pool!$E$8</f>
        <v/>
      </c>
      <c r="AI219" s="3">
        <f>(AT219-Pool!$D$9)/Pool!$E$9</f>
        <v/>
      </c>
      <c r="AJ219" s="3">
        <f>-(T219-Pool!$D$10)/Pool!$E$10</f>
        <v/>
      </c>
      <c r="AL219">
        <f>MATCH(B219,'Player Data'!$A:$A,0)</f>
        <v/>
      </c>
      <c r="AM219" s="3">
        <f>1+IF(Settings!$F$10="ON",IFERROR(VLOOKUP(TRIM(F219),Settings!$D$12:$F$17,3,FALSE),0),0)</f>
        <v/>
      </c>
      <c r="AN219">
        <f>IFERROR(LEFT(C219,FIND(",",C219)-1),C219)</f>
        <v/>
      </c>
      <c r="AO219" s="6">
        <f>X219*(U219-Pool!$B$12)</f>
        <v/>
      </c>
      <c r="AP219" s="6">
        <f>Z219*(V219-Pool!$B$13)</f>
        <v/>
      </c>
      <c r="AQ219" s="3">
        <f>Settings!$B$2*(N219-Pool!$B$2)/Pool!$C$2+Settings!$B$3*(O219-Pool!$B$3)/Pool!$C$3+Settings!$B$4*(P219-Pool!$B$4)/Pool!$C$4+Settings!$B$5*(Q219-Pool!$B$5)/Pool!$C$5+Settings!$B$6*(R219-Pool!$B$6)/Pool!$C$6+Settings!$B$7*(S219-Pool!$B$7)/Pool!$C$7+Settings!$B$8*(AO219-Pool!$B$8)/Pool!$C$8+Settings!$B$9*(AP219-Pool!$B$9)/Pool!$C$9+Settings!$B$10*-(T219-Pool!$B$10)/Pool!$C$10</f>
        <v/>
      </c>
      <c r="AR219">
        <f>IF(RANK(AQ219,$AQ$2:$AQ$266)&lt;=Settings!$F$5,1,0)</f>
        <v/>
      </c>
      <c r="AS219" s="6">
        <f>X219*(U219-Pool!$D$12)</f>
        <v/>
      </c>
      <c r="AT219" s="6">
        <f>Z219*(V219-Pool!$D$13)</f>
        <v/>
      </c>
    </row>
    <row r="220">
      <c r="A220">
        <f>RANK(H220,$H$2:$H$266)</f>
        <v/>
      </c>
      <c r="B220" t="inlineStr">
        <is>
          <t>Hannes Steinbach</t>
        </is>
      </c>
      <c r="C220">
        <f>INDEX('Player Data'!$C:$C,AL220)</f>
        <v/>
      </c>
      <c r="D220">
        <f>SUMPRODUCT(($AN$2:$AN$266=AN220)*($H$2:$H$266&gt;H220))+1</f>
        <v/>
      </c>
      <c r="E220">
        <f>INDEX('Player Data'!$B:$B,AL220)</f>
        <v/>
      </c>
      <c r="F220" s="2" t="n"/>
      <c r="G220" s="3">
        <f>Settings!$B$2*AB220+Settings!$B$3*AC220+Settings!$B$4*AD220+Settings!$B$5*AE220+Settings!$B$6*AF220+Settings!$B$7*AG220+Settings!$B$8*AH220+Settings!$B$9*AI220+Settings!$B$10*AJ220</f>
        <v/>
      </c>
      <c r="H220" s="3">
        <f>G220-LARGE($G$2:$G$266,Settings!$F$4)</f>
        <v/>
      </c>
      <c r="I220">
        <f>IF(INDEX('Player Data'!$R:$R,AL220)="","",INDEX('Player Data'!$R:$R,AL220))</f>
        <v/>
      </c>
      <c r="J220" s="4">
        <f>IF(I220="","",I220-A220)</f>
        <v/>
      </c>
      <c r="L220" s="5">
        <f>IF(Settings!$F$7="Yes",INDEX('Minutes &amp; Health'!$O:$O,AL220),Settings!$F$8)</f>
        <v/>
      </c>
      <c r="M220" s="6">
        <f>INDEX('Minutes &amp; Health'!$P:$P,AL220)</f>
        <v/>
      </c>
      <c r="N220" s="5">
        <f>INDEX('Player Data'!$F:$F,AL220)/INDEX('Player Data'!$E:$E,AL220)*M220*L220*AM220</f>
        <v/>
      </c>
      <c r="O220" s="5">
        <f>INDEX('Player Data'!$G:$G,AL220)/INDEX('Player Data'!$E:$E,AL220)*M220*L220*AM220</f>
        <v/>
      </c>
      <c r="P220" s="5">
        <f>INDEX('Player Data'!$H:$H,AL220)/INDEX('Player Data'!$E:$E,AL220)*M220*L220*AM220</f>
        <v/>
      </c>
      <c r="Q220" s="5">
        <f>INDEX('Player Data'!$I:$I,AL220)/INDEX('Player Data'!$E:$E,AL220)*M220*L220*AM220</f>
        <v/>
      </c>
      <c r="R220" s="5">
        <f>INDEX('Player Data'!$J:$J,AL220)/INDEX('Player Data'!$E:$E,AL220)*M220*L220*AM220</f>
        <v/>
      </c>
      <c r="S220" s="5">
        <f>INDEX('Player Data'!$K:$K,AL220)/INDEX('Player Data'!$E:$E,AL220)*M220*L220*AM220</f>
        <v/>
      </c>
      <c r="T220" s="5">
        <f>INDEX('Player Data'!$L:$L,AL220)/INDEX('Player Data'!$E:$E,AL220)*M220*L220*AM220</f>
        <v/>
      </c>
      <c r="U220" s="7">
        <f>INDEX('Player Data'!$M:$M,AL220)</f>
        <v/>
      </c>
      <c r="V220" s="7">
        <f>INDEX('Player Data'!$N:$N,AL220)</f>
        <v/>
      </c>
      <c r="W220" s="5">
        <f>X220*U220</f>
        <v/>
      </c>
      <c r="X220" s="5">
        <f>INDEX('Player Data'!$O:$O,AL220)/INDEX('Player Data'!$E:$E,AL220)*M220*L220*AM220</f>
        <v/>
      </c>
      <c r="Y220" s="5">
        <f>Z220*V220</f>
        <v/>
      </c>
      <c r="Z220" s="5">
        <f>INDEX('Player Data'!$P:$P,AL220)/INDEX('Player Data'!$E:$E,AL220)*M220*L220*AM220</f>
        <v/>
      </c>
      <c r="AB220" s="3">
        <f>(N220-Pool!$D$2)/Pool!$E$2</f>
        <v/>
      </c>
      <c r="AC220" s="3">
        <f>(O220-Pool!$D$3)/Pool!$E$3</f>
        <v/>
      </c>
      <c r="AD220" s="3">
        <f>(P220-Pool!$D$4)/Pool!$E$4</f>
        <v/>
      </c>
      <c r="AE220" s="3">
        <f>(Q220-Pool!$D$5)/Pool!$E$5</f>
        <v/>
      </c>
      <c r="AF220" s="3">
        <f>(R220-Pool!$D$6)/Pool!$E$6</f>
        <v/>
      </c>
      <c r="AG220" s="3">
        <f>(S220-Pool!$D$7)/Pool!$E$7</f>
        <v/>
      </c>
      <c r="AH220" s="3">
        <f>(AS220-Pool!$D$8)/Pool!$E$8</f>
        <v/>
      </c>
      <c r="AI220" s="3">
        <f>(AT220-Pool!$D$9)/Pool!$E$9</f>
        <v/>
      </c>
      <c r="AJ220" s="3">
        <f>-(T220-Pool!$D$10)/Pool!$E$10</f>
        <v/>
      </c>
      <c r="AL220">
        <f>MATCH(B220,'Player Data'!$A:$A,0)</f>
        <v/>
      </c>
      <c r="AM220" s="3">
        <f>1+IF(Settings!$F$10="ON",IFERROR(VLOOKUP(TRIM(F220),Settings!$D$12:$F$17,3,FALSE),0),0)</f>
        <v/>
      </c>
      <c r="AN220">
        <f>IFERROR(LEFT(C220,FIND(",",C220)-1),C220)</f>
        <v/>
      </c>
      <c r="AO220" s="6">
        <f>X220*(U220-Pool!$B$12)</f>
        <v/>
      </c>
      <c r="AP220" s="6">
        <f>Z220*(V220-Pool!$B$13)</f>
        <v/>
      </c>
      <c r="AQ220" s="3">
        <f>Settings!$B$2*(N220-Pool!$B$2)/Pool!$C$2+Settings!$B$3*(O220-Pool!$B$3)/Pool!$C$3+Settings!$B$4*(P220-Pool!$B$4)/Pool!$C$4+Settings!$B$5*(Q220-Pool!$B$5)/Pool!$C$5+Settings!$B$6*(R220-Pool!$B$6)/Pool!$C$6+Settings!$B$7*(S220-Pool!$B$7)/Pool!$C$7+Settings!$B$8*(AO220-Pool!$B$8)/Pool!$C$8+Settings!$B$9*(AP220-Pool!$B$9)/Pool!$C$9+Settings!$B$10*-(T220-Pool!$B$10)/Pool!$C$10</f>
        <v/>
      </c>
      <c r="AR220">
        <f>IF(RANK(AQ220,$AQ$2:$AQ$266)&lt;=Settings!$F$5,1,0)</f>
        <v/>
      </c>
      <c r="AS220" s="6">
        <f>X220*(U220-Pool!$D$12)</f>
        <v/>
      </c>
      <c r="AT220" s="6">
        <f>Z220*(V220-Pool!$D$13)</f>
        <v/>
      </c>
    </row>
    <row r="221">
      <c r="A221">
        <f>RANK(H221,$H$2:$H$266)</f>
        <v/>
      </c>
      <c r="B221" t="inlineStr">
        <is>
          <t>Nate Ament</t>
        </is>
      </c>
      <c r="C221">
        <f>INDEX('Player Data'!$C:$C,AL221)</f>
        <v/>
      </c>
      <c r="D221">
        <f>SUMPRODUCT(($AN$2:$AN$266=AN221)*($H$2:$H$266&gt;H221))+1</f>
        <v/>
      </c>
      <c r="E221">
        <f>INDEX('Player Data'!$B:$B,AL221)</f>
        <v/>
      </c>
      <c r="F221" s="2" t="n"/>
      <c r="G221" s="3">
        <f>Settings!$B$2*AB221+Settings!$B$3*AC221+Settings!$B$4*AD221+Settings!$B$5*AE221+Settings!$B$6*AF221+Settings!$B$7*AG221+Settings!$B$8*AH221+Settings!$B$9*AI221+Settings!$B$10*AJ221</f>
        <v/>
      </c>
      <c r="H221" s="3">
        <f>G221-LARGE($G$2:$G$266,Settings!$F$4)</f>
        <v/>
      </c>
      <c r="I221">
        <f>IF(INDEX('Player Data'!$R:$R,AL221)="","",INDEX('Player Data'!$R:$R,AL221))</f>
        <v/>
      </c>
      <c r="J221" s="4">
        <f>IF(I221="","",I221-A221)</f>
        <v/>
      </c>
      <c r="L221" s="5">
        <f>IF(Settings!$F$7="Yes",INDEX('Minutes &amp; Health'!$O:$O,AL221),Settings!$F$8)</f>
        <v/>
      </c>
      <c r="M221" s="6">
        <f>INDEX('Minutes &amp; Health'!$P:$P,AL221)</f>
        <v/>
      </c>
      <c r="N221" s="5">
        <f>INDEX('Player Data'!$F:$F,AL221)/INDEX('Player Data'!$E:$E,AL221)*M221*L221*AM221</f>
        <v/>
      </c>
      <c r="O221" s="5">
        <f>INDEX('Player Data'!$G:$G,AL221)/INDEX('Player Data'!$E:$E,AL221)*M221*L221*AM221</f>
        <v/>
      </c>
      <c r="P221" s="5">
        <f>INDEX('Player Data'!$H:$H,AL221)/INDEX('Player Data'!$E:$E,AL221)*M221*L221*AM221</f>
        <v/>
      </c>
      <c r="Q221" s="5">
        <f>INDEX('Player Data'!$I:$I,AL221)/INDEX('Player Data'!$E:$E,AL221)*M221*L221*AM221</f>
        <v/>
      </c>
      <c r="R221" s="5">
        <f>INDEX('Player Data'!$J:$J,AL221)/INDEX('Player Data'!$E:$E,AL221)*M221*L221*AM221</f>
        <v/>
      </c>
      <c r="S221" s="5">
        <f>INDEX('Player Data'!$K:$K,AL221)/INDEX('Player Data'!$E:$E,AL221)*M221*L221*AM221</f>
        <v/>
      </c>
      <c r="T221" s="5">
        <f>INDEX('Player Data'!$L:$L,AL221)/INDEX('Player Data'!$E:$E,AL221)*M221*L221*AM221</f>
        <v/>
      </c>
      <c r="U221" s="7">
        <f>INDEX('Player Data'!$M:$M,AL221)</f>
        <v/>
      </c>
      <c r="V221" s="7">
        <f>INDEX('Player Data'!$N:$N,AL221)</f>
        <v/>
      </c>
      <c r="W221" s="5">
        <f>X221*U221</f>
        <v/>
      </c>
      <c r="X221" s="5">
        <f>INDEX('Player Data'!$O:$O,AL221)/INDEX('Player Data'!$E:$E,AL221)*M221*L221*AM221</f>
        <v/>
      </c>
      <c r="Y221" s="5">
        <f>Z221*V221</f>
        <v/>
      </c>
      <c r="Z221" s="5">
        <f>INDEX('Player Data'!$P:$P,AL221)/INDEX('Player Data'!$E:$E,AL221)*M221*L221*AM221</f>
        <v/>
      </c>
      <c r="AB221" s="3">
        <f>(N221-Pool!$D$2)/Pool!$E$2</f>
        <v/>
      </c>
      <c r="AC221" s="3">
        <f>(O221-Pool!$D$3)/Pool!$E$3</f>
        <v/>
      </c>
      <c r="AD221" s="3">
        <f>(P221-Pool!$D$4)/Pool!$E$4</f>
        <v/>
      </c>
      <c r="AE221" s="3">
        <f>(Q221-Pool!$D$5)/Pool!$E$5</f>
        <v/>
      </c>
      <c r="AF221" s="3">
        <f>(R221-Pool!$D$6)/Pool!$E$6</f>
        <v/>
      </c>
      <c r="AG221" s="3">
        <f>(S221-Pool!$D$7)/Pool!$E$7</f>
        <v/>
      </c>
      <c r="AH221" s="3">
        <f>(AS221-Pool!$D$8)/Pool!$E$8</f>
        <v/>
      </c>
      <c r="AI221" s="3">
        <f>(AT221-Pool!$D$9)/Pool!$E$9</f>
        <v/>
      </c>
      <c r="AJ221" s="3">
        <f>-(T221-Pool!$D$10)/Pool!$E$10</f>
        <v/>
      </c>
      <c r="AL221">
        <f>MATCH(B221,'Player Data'!$A:$A,0)</f>
        <v/>
      </c>
      <c r="AM221" s="3">
        <f>1+IF(Settings!$F$10="ON",IFERROR(VLOOKUP(TRIM(F221),Settings!$D$12:$F$17,3,FALSE),0),0)</f>
        <v/>
      </c>
      <c r="AN221">
        <f>IFERROR(LEFT(C221,FIND(",",C221)-1),C221)</f>
        <v/>
      </c>
      <c r="AO221" s="6">
        <f>X221*(U221-Pool!$B$12)</f>
        <v/>
      </c>
      <c r="AP221" s="6">
        <f>Z221*(V221-Pool!$B$13)</f>
        <v/>
      </c>
      <c r="AQ221" s="3">
        <f>Settings!$B$2*(N221-Pool!$B$2)/Pool!$C$2+Settings!$B$3*(O221-Pool!$B$3)/Pool!$C$3+Settings!$B$4*(P221-Pool!$B$4)/Pool!$C$4+Settings!$B$5*(Q221-Pool!$B$5)/Pool!$C$5+Settings!$B$6*(R221-Pool!$B$6)/Pool!$C$6+Settings!$B$7*(S221-Pool!$B$7)/Pool!$C$7+Settings!$B$8*(AO221-Pool!$B$8)/Pool!$C$8+Settings!$B$9*(AP221-Pool!$B$9)/Pool!$C$9+Settings!$B$10*-(T221-Pool!$B$10)/Pool!$C$10</f>
        <v/>
      </c>
      <c r="AR221">
        <f>IF(RANK(AQ221,$AQ$2:$AQ$266)&lt;=Settings!$F$5,1,0)</f>
        <v/>
      </c>
      <c r="AS221" s="6">
        <f>X221*(U221-Pool!$D$12)</f>
        <v/>
      </c>
      <c r="AT221" s="6">
        <f>Z221*(V221-Pool!$D$13)</f>
        <v/>
      </c>
    </row>
    <row r="222">
      <c r="A222">
        <f>RANK(H222,$H$2:$H$266)</f>
        <v/>
      </c>
      <c r="B222" t="inlineStr">
        <is>
          <t>Andre Drummond</t>
        </is>
      </c>
      <c r="C222">
        <f>INDEX('Player Data'!$C:$C,AL222)</f>
        <v/>
      </c>
      <c r="D222">
        <f>SUMPRODUCT(($AN$2:$AN$266=AN222)*($H$2:$H$266&gt;H222))+1</f>
        <v/>
      </c>
      <c r="E222">
        <f>INDEX('Player Data'!$B:$B,AL222)</f>
        <v/>
      </c>
      <c r="F222" s="2" t="n"/>
      <c r="G222" s="3">
        <f>Settings!$B$2*AB222+Settings!$B$3*AC222+Settings!$B$4*AD222+Settings!$B$5*AE222+Settings!$B$6*AF222+Settings!$B$7*AG222+Settings!$B$8*AH222+Settings!$B$9*AI222+Settings!$B$10*AJ222</f>
        <v/>
      </c>
      <c r="H222" s="3">
        <f>G222-LARGE($G$2:$G$266,Settings!$F$4)</f>
        <v/>
      </c>
      <c r="I222">
        <f>IF(INDEX('Player Data'!$R:$R,AL222)="","",INDEX('Player Data'!$R:$R,AL222))</f>
        <v/>
      </c>
      <c r="J222" s="4">
        <f>IF(I222="","",I222-A222)</f>
        <v/>
      </c>
      <c r="L222" s="5">
        <f>IF(Settings!$F$7="Yes",INDEX('Minutes &amp; Health'!$O:$O,AL222),Settings!$F$8)</f>
        <v/>
      </c>
      <c r="M222" s="6">
        <f>INDEX('Minutes &amp; Health'!$P:$P,AL222)</f>
        <v/>
      </c>
      <c r="N222" s="5">
        <f>INDEX('Player Data'!$F:$F,AL222)/INDEX('Player Data'!$E:$E,AL222)*M222*L222*AM222</f>
        <v/>
      </c>
      <c r="O222" s="5">
        <f>INDEX('Player Data'!$G:$G,AL222)/INDEX('Player Data'!$E:$E,AL222)*M222*L222*AM222</f>
        <v/>
      </c>
      <c r="P222" s="5">
        <f>INDEX('Player Data'!$H:$H,AL222)/INDEX('Player Data'!$E:$E,AL222)*M222*L222*AM222</f>
        <v/>
      </c>
      <c r="Q222" s="5">
        <f>INDEX('Player Data'!$I:$I,AL222)/INDEX('Player Data'!$E:$E,AL222)*M222*L222*AM222</f>
        <v/>
      </c>
      <c r="R222" s="5">
        <f>INDEX('Player Data'!$J:$J,AL222)/INDEX('Player Data'!$E:$E,AL222)*M222*L222*AM222</f>
        <v/>
      </c>
      <c r="S222" s="5">
        <f>INDEX('Player Data'!$K:$K,AL222)/INDEX('Player Data'!$E:$E,AL222)*M222*L222*AM222</f>
        <v/>
      </c>
      <c r="T222" s="5">
        <f>INDEX('Player Data'!$L:$L,AL222)/INDEX('Player Data'!$E:$E,AL222)*M222*L222*AM222</f>
        <v/>
      </c>
      <c r="U222" s="7">
        <f>INDEX('Player Data'!$M:$M,AL222)</f>
        <v/>
      </c>
      <c r="V222" s="7">
        <f>INDEX('Player Data'!$N:$N,AL222)</f>
        <v/>
      </c>
      <c r="W222" s="5">
        <f>X222*U222</f>
        <v/>
      </c>
      <c r="X222" s="5">
        <f>INDEX('Player Data'!$O:$O,AL222)/INDEX('Player Data'!$E:$E,AL222)*M222*L222*AM222</f>
        <v/>
      </c>
      <c r="Y222" s="5">
        <f>Z222*V222</f>
        <v/>
      </c>
      <c r="Z222" s="5">
        <f>INDEX('Player Data'!$P:$P,AL222)/INDEX('Player Data'!$E:$E,AL222)*M222*L222*AM222</f>
        <v/>
      </c>
      <c r="AB222" s="3">
        <f>(N222-Pool!$D$2)/Pool!$E$2</f>
        <v/>
      </c>
      <c r="AC222" s="3">
        <f>(O222-Pool!$D$3)/Pool!$E$3</f>
        <v/>
      </c>
      <c r="AD222" s="3">
        <f>(P222-Pool!$D$4)/Pool!$E$4</f>
        <v/>
      </c>
      <c r="AE222" s="3">
        <f>(Q222-Pool!$D$5)/Pool!$E$5</f>
        <v/>
      </c>
      <c r="AF222" s="3">
        <f>(R222-Pool!$D$6)/Pool!$E$6</f>
        <v/>
      </c>
      <c r="AG222" s="3">
        <f>(S222-Pool!$D$7)/Pool!$E$7</f>
        <v/>
      </c>
      <c r="AH222" s="3">
        <f>(AS222-Pool!$D$8)/Pool!$E$8</f>
        <v/>
      </c>
      <c r="AI222" s="3">
        <f>(AT222-Pool!$D$9)/Pool!$E$9</f>
        <v/>
      </c>
      <c r="AJ222" s="3">
        <f>-(T222-Pool!$D$10)/Pool!$E$10</f>
        <v/>
      </c>
      <c r="AL222">
        <f>MATCH(B222,'Player Data'!$A:$A,0)</f>
        <v/>
      </c>
      <c r="AM222" s="3">
        <f>1+IF(Settings!$F$10="ON",IFERROR(VLOOKUP(TRIM(F222),Settings!$D$12:$F$17,3,FALSE),0),0)</f>
        <v/>
      </c>
      <c r="AN222">
        <f>IFERROR(LEFT(C222,FIND(",",C222)-1),C222)</f>
        <v/>
      </c>
      <c r="AO222" s="6">
        <f>X222*(U222-Pool!$B$12)</f>
        <v/>
      </c>
      <c r="AP222" s="6">
        <f>Z222*(V222-Pool!$B$13)</f>
        <v/>
      </c>
      <c r="AQ222" s="3">
        <f>Settings!$B$2*(N222-Pool!$B$2)/Pool!$C$2+Settings!$B$3*(O222-Pool!$B$3)/Pool!$C$3+Settings!$B$4*(P222-Pool!$B$4)/Pool!$C$4+Settings!$B$5*(Q222-Pool!$B$5)/Pool!$C$5+Settings!$B$6*(R222-Pool!$B$6)/Pool!$C$6+Settings!$B$7*(S222-Pool!$B$7)/Pool!$C$7+Settings!$B$8*(AO222-Pool!$B$8)/Pool!$C$8+Settings!$B$9*(AP222-Pool!$B$9)/Pool!$C$9+Settings!$B$10*-(T222-Pool!$B$10)/Pool!$C$10</f>
        <v/>
      </c>
      <c r="AR222">
        <f>IF(RANK(AQ222,$AQ$2:$AQ$266)&lt;=Settings!$F$5,1,0)</f>
        <v/>
      </c>
      <c r="AS222" s="6">
        <f>X222*(U222-Pool!$D$12)</f>
        <v/>
      </c>
      <c r="AT222" s="6">
        <f>Z222*(V222-Pool!$D$13)</f>
        <v/>
      </c>
    </row>
    <row r="223">
      <c r="A223">
        <f>RANK(H223,$H$2:$H$266)</f>
        <v/>
      </c>
      <c r="B223" t="inlineStr">
        <is>
          <t>Goga Bitadze</t>
        </is>
      </c>
      <c r="C223">
        <f>INDEX('Player Data'!$C:$C,AL223)</f>
        <v/>
      </c>
      <c r="D223">
        <f>SUMPRODUCT(($AN$2:$AN$266=AN223)*($H$2:$H$266&gt;H223))+1</f>
        <v/>
      </c>
      <c r="E223">
        <f>INDEX('Player Data'!$B:$B,AL223)</f>
        <v/>
      </c>
      <c r="F223" s="2" t="n"/>
      <c r="G223" s="3">
        <f>Settings!$B$2*AB223+Settings!$B$3*AC223+Settings!$B$4*AD223+Settings!$B$5*AE223+Settings!$B$6*AF223+Settings!$B$7*AG223+Settings!$B$8*AH223+Settings!$B$9*AI223+Settings!$B$10*AJ223</f>
        <v/>
      </c>
      <c r="H223" s="3">
        <f>G223-LARGE($G$2:$G$266,Settings!$F$4)</f>
        <v/>
      </c>
      <c r="I223">
        <f>IF(INDEX('Player Data'!$R:$R,AL223)="","",INDEX('Player Data'!$R:$R,AL223))</f>
        <v/>
      </c>
      <c r="J223" s="4">
        <f>IF(I223="","",I223-A223)</f>
        <v/>
      </c>
      <c r="L223" s="5">
        <f>IF(Settings!$F$7="Yes",INDEX('Minutes &amp; Health'!$O:$O,AL223),Settings!$F$8)</f>
        <v/>
      </c>
      <c r="M223" s="6">
        <f>INDEX('Minutes &amp; Health'!$P:$P,AL223)</f>
        <v/>
      </c>
      <c r="N223" s="5">
        <f>INDEX('Player Data'!$F:$F,AL223)/INDEX('Player Data'!$E:$E,AL223)*M223*L223*AM223</f>
        <v/>
      </c>
      <c r="O223" s="5">
        <f>INDEX('Player Data'!$G:$G,AL223)/INDEX('Player Data'!$E:$E,AL223)*M223*L223*AM223</f>
        <v/>
      </c>
      <c r="P223" s="5">
        <f>INDEX('Player Data'!$H:$H,AL223)/INDEX('Player Data'!$E:$E,AL223)*M223*L223*AM223</f>
        <v/>
      </c>
      <c r="Q223" s="5">
        <f>INDEX('Player Data'!$I:$I,AL223)/INDEX('Player Data'!$E:$E,AL223)*M223*L223*AM223</f>
        <v/>
      </c>
      <c r="R223" s="5">
        <f>INDEX('Player Data'!$J:$J,AL223)/INDEX('Player Data'!$E:$E,AL223)*M223*L223*AM223</f>
        <v/>
      </c>
      <c r="S223" s="5">
        <f>INDEX('Player Data'!$K:$K,AL223)/INDEX('Player Data'!$E:$E,AL223)*M223*L223*AM223</f>
        <v/>
      </c>
      <c r="T223" s="5">
        <f>INDEX('Player Data'!$L:$L,AL223)/INDEX('Player Data'!$E:$E,AL223)*M223*L223*AM223</f>
        <v/>
      </c>
      <c r="U223" s="7">
        <f>INDEX('Player Data'!$M:$M,AL223)</f>
        <v/>
      </c>
      <c r="V223" s="7">
        <f>INDEX('Player Data'!$N:$N,AL223)</f>
        <v/>
      </c>
      <c r="W223" s="5">
        <f>X223*U223</f>
        <v/>
      </c>
      <c r="X223" s="5">
        <f>INDEX('Player Data'!$O:$O,AL223)/INDEX('Player Data'!$E:$E,AL223)*M223*L223*AM223</f>
        <v/>
      </c>
      <c r="Y223" s="5">
        <f>Z223*V223</f>
        <v/>
      </c>
      <c r="Z223" s="5">
        <f>INDEX('Player Data'!$P:$P,AL223)/INDEX('Player Data'!$E:$E,AL223)*M223*L223*AM223</f>
        <v/>
      </c>
      <c r="AB223" s="3">
        <f>(N223-Pool!$D$2)/Pool!$E$2</f>
        <v/>
      </c>
      <c r="AC223" s="3">
        <f>(O223-Pool!$D$3)/Pool!$E$3</f>
        <v/>
      </c>
      <c r="AD223" s="3">
        <f>(P223-Pool!$D$4)/Pool!$E$4</f>
        <v/>
      </c>
      <c r="AE223" s="3">
        <f>(Q223-Pool!$D$5)/Pool!$E$5</f>
        <v/>
      </c>
      <c r="AF223" s="3">
        <f>(R223-Pool!$D$6)/Pool!$E$6</f>
        <v/>
      </c>
      <c r="AG223" s="3">
        <f>(S223-Pool!$D$7)/Pool!$E$7</f>
        <v/>
      </c>
      <c r="AH223" s="3">
        <f>(AS223-Pool!$D$8)/Pool!$E$8</f>
        <v/>
      </c>
      <c r="AI223" s="3">
        <f>(AT223-Pool!$D$9)/Pool!$E$9</f>
        <v/>
      </c>
      <c r="AJ223" s="3">
        <f>-(T223-Pool!$D$10)/Pool!$E$10</f>
        <v/>
      </c>
      <c r="AL223">
        <f>MATCH(B223,'Player Data'!$A:$A,0)</f>
        <v/>
      </c>
      <c r="AM223" s="3">
        <f>1+IF(Settings!$F$10="ON",IFERROR(VLOOKUP(TRIM(F223),Settings!$D$12:$F$17,3,FALSE),0),0)</f>
        <v/>
      </c>
      <c r="AN223">
        <f>IFERROR(LEFT(C223,FIND(",",C223)-1),C223)</f>
        <v/>
      </c>
      <c r="AO223" s="6">
        <f>X223*(U223-Pool!$B$12)</f>
        <v/>
      </c>
      <c r="AP223" s="6">
        <f>Z223*(V223-Pool!$B$13)</f>
        <v/>
      </c>
      <c r="AQ223" s="3">
        <f>Settings!$B$2*(N223-Pool!$B$2)/Pool!$C$2+Settings!$B$3*(O223-Pool!$B$3)/Pool!$C$3+Settings!$B$4*(P223-Pool!$B$4)/Pool!$C$4+Settings!$B$5*(Q223-Pool!$B$5)/Pool!$C$5+Settings!$B$6*(R223-Pool!$B$6)/Pool!$C$6+Settings!$B$7*(S223-Pool!$B$7)/Pool!$C$7+Settings!$B$8*(AO223-Pool!$B$8)/Pool!$C$8+Settings!$B$9*(AP223-Pool!$B$9)/Pool!$C$9+Settings!$B$10*-(T223-Pool!$B$10)/Pool!$C$10</f>
        <v/>
      </c>
      <c r="AR223">
        <f>IF(RANK(AQ223,$AQ$2:$AQ$266)&lt;=Settings!$F$5,1,0)</f>
        <v/>
      </c>
      <c r="AS223" s="6">
        <f>X223*(U223-Pool!$D$12)</f>
        <v/>
      </c>
      <c r="AT223" s="6">
        <f>Z223*(V223-Pool!$D$13)</f>
        <v/>
      </c>
    </row>
    <row r="224">
      <c r="A224">
        <f>RANK(H224,$H$2:$H$266)</f>
        <v/>
      </c>
      <c r="B224" t="inlineStr">
        <is>
          <t>Tristan da Silva</t>
        </is>
      </c>
      <c r="C224">
        <f>INDEX('Player Data'!$C:$C,AL224)</f>
        <v/>
      </c>
      <c r="D224">
        <f>SUMPRODUCT(($AN$2:$AN$266=AN224)*($H$2:$H$266&gt;H224))+1</f>
        <v/>
      </c>
      <c r="E224">
        <f>INDEX('Player Data'!$B:$B,AL224)</f>
        <v/>
      </c>
      <c r="F224" s="2" t="n"/>
      <c r="G224" s="3">
        <f>Settings!$B$2*AB224+Settings!$B$3*AC224+Settings!$B$4*AD224+Settings!$B$5*AE224+Settings!$B$6*AF224+Settings!$B$7*AG224+Settings!$B$8*AH224+Settings!$B$9*AI224+Settings!$B$10*AJ224</f>
        <v/>
      </c>
      <c r="H224" s="3">
        <f>G224-LARGE($G$2:$G$266,Settings!$F$4)</f>
        <v/>
      </c>
      <c r="I224">
        <f>IF(INDEX('Player Data'!$R:$R,AL224)="","",INDEX('Player Data'!$R:$R,AL224))</f>
        <v/>
      </c>
      <c r="J224" s="4">
        <f>IF(I224="","",I224-A224)</f>
        <v/>
      </c>
      <c r="L224" s="5">
        <f>IF(Settings!$F$7="Yes",INDEX('Minutes &amp; Health'!$O:$O,AL224),Settings!$F$8)</f>
        <v/>
      </c>
      <c r="M224" s="6">
        <f>INDEX('Minutes &amp; Health'!$P:$P,AL224)</f>
        <v/>
      </c>
      <c r="N224" s="5">
        <f>INDEX('Player Data'!$F:$F,AL224)/INDEX('Player Data'!$E:$E,AL224)*M224*L224*AM224</f>
        <v/>
      </c>
      <c r="O224" s="5">
        <f>INDEX('Player Data'!$G:$G,AL224)/INDEX('Player Data'!$E:$E,AL224)*M224*L224*AM224</f>
        <v/>
      </c>
      <c r="P224" s="5">
        <f>INDEX('Player Data'!$H:$H,AL224)/INDEX('Player Data'!$E:$E,AL224)*M224*L224*AM224</f>
        <v/>
      </c>
      <c r="Q224" s="5">
        <f>INDEX('Player Data'!$I:$I,AL224)/INDEX('Player Data'!$E:$E,AL224)*M224*L224*AM224</f>
        <v/>
      </c>
      <c r="R224" s="5">
        <f>INDEX('Player Data'!$J:$J,AL224)/INDEX('Player Data'!$E:$E,AL224)*M224*L224*AM224</f>
        <v/>
      </c>
      <c r="S224" s="5">
        <f>INDEX('Player Data'!$K:$K,AL224)/INDEX('Player Data'!$E:$E,AL224)*M224*L224*AM224</f>
        <v/>
      </c>
      <c r="T224" s="5">
        <f>INDEX('Player Data'!$L:$L,AL224)/INDEX('Player Data'!$E:$E,AL224)*M224*L224*AM224</f>
        <v/>
      </c>
      <c r="U224" s="7">
        <f>INDEX('Player Data'!$M:$M,AL224)</f>
        <v/>
      </c>
      <c r="V224" s="7">
        <f>INDEX('Player Data'!$N:$N,AL224)</f>
        <v/>
      </c>
      <c r="W224" s="5">
        <f>X224*U224</f>
        <v/>
      </c>
      <c r="X224" s="5">
        <f>INDEX('Player Data'!$O:$O,AL224)/INDEX('Player Data'!$E:$E,AL224)*M224*L224*AM224</f>
        <v/>
      </c>
      <c r="Y224" s="5">
        <f>Z224*V224</f>
        <v/>
      </c>
      <c r="Z224" s="5">
        <f>INDEX('Player Data'!$P:$P,AL224)/INDEX('Player Data'!$E:$E,AL224)*M224*L224*AM224</f>
        <v/>
      </c>
      <c r="AB224" s="3">
        <f>(N224-Pool!$D$2)/Pool!$E$2</f>
        <v/>
      </c>
      <c r="AC224" s="3">
        <f>(O224-Pool!$D$3)/Pool!$E$3</f>
        <v/>
      </c>
      <c r="AD224" s="3">
        <f>(P224-Pool!$D$4)/Pool!$E$4</f>
        <v/>
      </c>
      <c r="AE224" s="3">
        <f>(Q224-Pool!$D$5)/Pool!$E$5</f>
        <v/>
      </c>
      <c r="AF224" s="3">
        <f>(R224-Pool!$D$6)/Pool!$E$6</f>
        <v/>
      </c>
      <c r="AG224" s="3">
        <f>(S224-Pool!$D$7)/Pool!$E$7</f>
        <v/>
      </c>
      <c r="AH224" s="3">
        <f>(AS224-Pool!$D$8)/Pool!$E$8</f>
        <v/>
      </c>
      <c r="AI224" s="3">
        <f>(AT224-Pool!$D$9)/Pool!$E$9</f>
        <v/>
      </c>
      <c r="AJ224" s="3">
        <f>-(T224-Pool!$D$10)/Pool!$E$10</f>
        <v/>
      </c>
      <c r="AL224">
        <f>MATCH(B224,'Player Data'!$A:$A,0)</f>
        <v/>
      </c>
      <c r="AM224" s="3">
        <f>1+IF(Settings!$F$10="ON",IFERROR(VLOOKUP(TRIM(F224),Settings!$D$12:$F$17,3,FALSE),0),0)</f>
        <v/>
      </c>
      <c r="AN224">
        <f>IFERROR(LEFT(C224,FIND(",",C224)-1),C224)</f>
        <v/>
      </c>
      <c r="AO224" s="6">
        <f>X224*(U224-Pool!$B$12)</f>
        <v/>
      </c>
      <c r="AP224" s="6">
        <f>Z224*(V224-Pool!$B$13)</f>
        <v/>
      </c>
      <c r="AQ224" s="3">
        <f>Settings!$B$2*(N224-Pool!$B$2)/Pool!$C$2+Settings!$B$3*(O224-Pool!$B$3)/Pool!$C$3+Settings!$B$4*(P224-Pool!$B$4)/Pool!$C$4+Settings!$B$5*(Q224-Pool!$B$5)/Pool!$C$5+Settings!$B$6*(R224-Pool!$B$6)/Pool!$C$6+Settings!$B$7*(S224-Pool!$B$7)/Pool!$C$7+Settings!$B$8*(AO224-Pool!$B$8)/Pool!$C$8+Settings!$B$9*(AP224-Pool!$B$9)/Pool!$C$9+Settings!$B$10*-(T224-Pool!$B$10)/Pool!$C$10</f>
        <v/>
      </c>
      <c r="AR224">
        <f>IF(RANK(AQ224,$AQ$2:$AQ$266)&lt;=Settings!$F$5,1,0)</f>
        <v/>
      </c>
      <c r="AS224" s="6">
        <f>X224*(U224-Pool!$D$12)</f>
        <v/>
      </c>
      <c r="AT224" s="6">
        <f>Z224*(V224-Pool!$D$13)</f>
        <v/>
      </c>
    </row>
    <row r="225">
      <c r="A225">
        <f>RANK(H225,$H$2:$H$266)</f>
        <v/>
      </c>
      <c r="B225" t="inlineStr">
        <is>
          <t>Jose Alvarado</t>
        </is>
      </c>
      <c r="C225">
        <f>INDEX('Player Data'!$C:$C,AL225)</f>
        <v/>
      </c>
      <c r="D225">
        <f>SUMPRODUCT(($AN$2:$AN$266=AN225)*($H$2:$H$266&gt;H225))+1</f>
        <v/>
      </c>
      <c r="E225">
        <f>INDEX('Player Data'!$B:$B,AL225)</f>
        <v/>
      </c>
      <c r="F225" s="2" t="n"/>
      <c r="G225" s="3">
        <f>Settings!$B$2*AB225+Settings!$B$3*AC225+Settings!$B$4*AD225+Settings!$B$5*AE225+Settings!$B$6*AF225+Settings!$B$7*AG225+Settings!$B$8*AH225+Settings!$B$9*AI225+Settings!$B$10*AJ225</f>
        <v/>
      </c>
      <c r="H225" s="3">
        <f>G225-LARGE($G$2:$G$266,Settings!$F$4)</f>
        <v/>
      </c>
      <c r="I225">
        <f>IF(INDEX('Player Data'!$R:$R,AL225)="","",INDEX('Player Data'!$R:$R,AL225))</f>
        <v/>
      </c>
      <c r="J225" s="4">
        <f>IF(I225="","",I225-A225)</f>
        <v/>
      </c>
      <c r="L225" s="5">
        <f>IF(Settings!$F$7="Yes",INDEX('Minutes &amp; Health'!$O:$O,AL225),Settings!$F$8)</f>
        <v/>
      </c>
      <c r="M225" s="6">
        <f>INDEX('Minutes &amp; Health'!$P:$P,AL225)</f>
        <v/>
      </c>
      <c r="N225" s="5">
        <f>INDEX('Player Data'!$F:$F,AL225)/INDEX('Player Data'!$E:$E,AL225)*M225*L225*AM225</f>
        <v/>
      </c>
      <c r="O225" s="5">
        <f>INDEX('Player Data'!$G:$G,AL225)/INDEX('Player Data'!$E:$E,AL225)*M225*L225*AM225</f>
        <v/>
      </c>
      <c r="P225" s="5">
        <f>INDEX('Player Data'!$H:$H,AL225)/INDEX('Player Data'!$E:$E,AL225)*M225*L225*AM225</f>
        <v/>
      </c>
      <c r="Q225" s="5">
        <f>INDEX('Player Data'!$I:$I,AL225)/INDEX('Player Data'!$E:$E,AL225)*M225*L225*AM225</f>
        <v/>
      </c>
      <c r="R225" s="5">
        <f>INDEX('Player Data'!$J:$J,AL225)/INDEX('Player Data'!$E:$E,AL225)*M225*L225*AM225</f>
        <v/>
      </c>
      <c r="S225" s="5">
        <f>INDEX('Player Data'!$K:$K,AL225)/INDEX('Player Data'!$E:$E,AL225)*M225*L225*AM225</f>
        <v/>
      </c>
      <c r="T225" s="5">
        <f>INDEX('Player Data'!$L:$L,AL225)/INDEX('Player Data'!$E:$E,AL225)*M225*L225*AM225</f>
        <v/>
      </c>
      <c r="U225" s="7">
        <f>INDEX('Player Data'!$M:$M,AL225)</f>
        <v/>
      </c>
      <c r="V225" s="7">
        <f>INDEX('Player Data'!$N:$N,AL225)</f>
        <v/>
      </c>
      <c r="W225" s="5">
        <f>X225*U225</f>
        <v/>
      </c>
      <c r="X225" s="5">
        <f>INDEX('Player Data'!$O:$O,AL225)/INDEX('Player Data'!$E:$E,AL225)*M225*L225*AM225</f>
        <v/>
      </c>
      <c r="Y225" s="5">
        <f>Z225*V225</f>
        <v/>
      </c>
      <c r="Z225" s="5">
        <f>INDEX('Player Data'!$P:$P,AL225)/INDEX('Player Data'!$E:$E,AL225)*M225*L225*AM225</f>
        <v/>
      </c>
      <c r="AB225" s="3">
        <f>(N225-Pool!$D$2)/Pool!$E$2</f>
        <v/>
      </c>
      <c r="AC225" s="3">
        <f>(O225-Pool!$D$3)/Pool!$E$3</f>
        <v/>
      </c>
      <c r="AD225" s="3">
        <f>(P225-Pool!$D$4)/Pool!$E$4</f>
        <v/>
      </c>
      <c r="AE225" s="3">
        <f>(Q225-Pool!$D$5)/Pool!$E$5</f>
        <v/>
      </c>
      <c r="AF225" s="3">
        <f>(R225-Pool!$D$6)/Pool!$E$6</f>
        <v/>
      </c>
      <c r="AG225" s="3">
        <f>(S225-Pool!$D$7)/Pool!$E$7</f>
        <v/>
      </c>
      <c r="AH225" s="3">
        <f>(AS225-Pool!$D$8)/Pool!$E$8</f>
        <v/>
      </c>
      <c r="AI225" s="3">
        <f>(AT225-Pool!$D$9)/Pool!$E$9</f>
        <v/>
      </c>
      <c r="AJ225" s="3">
        <f>-(T225-Pool!$D$10)/Pool!$E$10</f>
        <v/>
      </c>
      <c r="AL225">
        <f>MATCH(B225,'Player Data'!$A:$A,0)</f>
        <v/>
      </c>
      <c r="AM225" s="3">
        <f>1+IF(Settings!$F$10="ON",IFERROR(VLOOKUP(TRIM(F225),Settings!$D$12:$F$17,3,FALSE),0),0)</f>
        <v/>
      </c>
      <c r="AN225">
        <f>IFERROR(LEFT(C225,FIND(",",C225)-1),C225)</f>
        <v/>
      </c>
      <c r="AO225" s="6">
        <f>X225*(U225-Pool!$B$12)</f>
        <v/>
      </c>
      <c r="AP225" s="6">
        <f>Z225*(V225-Pool!$B$13)</f>
        <v/>
      </c>
      <c r="AQ225" s="3">
        <f>Settings!$B$2*(N225-Pool!$B$2)/Pool!$C$2+Settings!$B$3*(O225-Pool!$B$3)/Pool!$C$3+Settings!$B$4*(P225-Pool!$B$4)/Pool!$C$4+Settings!$B$5*(Q225-Pool!$B$5)/Pool!$C$5+Settings!$B$6*(R225-Pool!$B$6)/Pool!$C$6+Settings!$B$7*(S225-Pool!$B$7)/Pool!$C$7+Settings!$B$8*(AO225-Pool!$B$8)/Pool!$C$8+Settings!$B$9*(AP225-Pool!$B$9)/Pool!$C$9+Settings!$B$10*-(T225-Pool!$B$10)/Pool!$C$10</f>
        <v/>
      </c>
      <c r="AR225">
        <f>IF(RANK(AQ225,$AQ$2:$AQ$266)&lt;=Settings!$F$5,1,0)</f>
        <v/>
      </c>
      <c r="AS225" s="6">
        <f>X225*(U225-Pool!$D$12)</f>
        <v/>
      </c>
      <c r="AT225" s="6">
        <f>Z225*(V225-Pool!$D$13)</f>
        <v/>
      </c>
    </row>
    <row r="226">
      <c r="A226">
        <f>RANK(H226,$H$2:$H$266)</f>
        <v/>
      </c>
      <c r="B226" t="inlineStr">
        <is>
          <t>Jared McCain</t>
        </is>
      </c>
      <c r="C226">
        <f>INDEX('Player Data'!$C:$C,AL226)</f>
        <v/>
      </c>
      <c r="D226">
        <f>SUMPRODUCT(($AN$2:$AN$266=AN226)*($H$2:$H$266&gt;H226))+1</f>
        <v/>
      </c>
      <c r="E226">
        <f>INDEX('Player Data'!$B:$B,AL226)</f>
        <v/>
      </c>
      <c r="F226" s="2" t="n"/>
      <c r="G226" s="3">
        <f>Settings!$B$2*AB226+Settings!$B$3*AC226+Settings!$B$4*AD226+Settings!$B$5*AE226+Settings!$B$6*AF226+Settings!$B$7*AG226+Settings!$B$8*AH226+Settings!$B$9*AI226+Settings!$B$10*AJ226</f>
        <v/>
      </c>
      <c r="H226" s="3">
        <f>G226-LARGE($G$2:$G$266,Settings!$F$4)</f>
        <v/>
      </c>
      <c r="I226">
        <f>IF(INDEX('Player Data'!$R:$R,AL226)="","",INDEX('Player Data'!$R:$R,AL226))</f>
        <v/>
      </c>
      <c r="J226" s="4">
        <f>IF(I226="","",I226-A226)</f>
        <v/>
      </c>
      <c r="L226" s="5">
        <f>IF(Settings!$F$7="Yes",INDEX('Minutes &amp; Health'!$O:$O,AL226),Settings!$F$8)</f>
        <v/>
      </c>
      <c r="M226" s="6">
        <f>INDEX('Minutes &amp; Health'!$P:$P,AL226)</f>
        <v/>
      </c>
      <c r="N226" s="5">
        <f>INDEX('Player Data'!$F:$F,AL226)/INDEX('Player Data'!$E:$E,AL226)*M226*L226*AM226</f>
        <v/>
      </c>
      <c r="O226" s="5">
        <f>INDEX('Player Data'!$G:$G,AL226)/INDEX('Player Data'!$E:$E,AL226)*M226*L226*AM226</f>
        <v/>
      </c>
      <c r="P226" s="5">
        <f>INDEX('Player Data'!$H:$H,AL226)/INDEX('Player Data'!$E:$E,AL226)*M226*L226*AM226</f>
        <v/>
      </c>
      <c r="Q226" s="5">
        <f>INDEX('Player Data'!$I:$I,AL226)/INDEX('Player Data'!$E:$E,AL226)*M226*L226*AM226</f>
        <v/>
      </c>
      <c r="R226" s="5">
        <f>INDEX('Player Data'!$J:$J,AL226)/INDEX('Player Data'!$E:$E,AL226)*M226*L226*AM226</f>
        <v/>
      </c>
      <c r="S226" s="5">
        <f>INDEX('Player Data'!$K:$K,AL226)/INDEX('Player Data'!$E:$E,AL226)*M226*L226*AM226</f>
        <v/>
      </c>
      <c r="T226" s="5">
        <f>INDEX('Player Data'!$L:$L,AL226)/INDEX('Player Data'!$E:$E,AL226)*M226*L226*AM226</f>
        <v/>
      </c>
      <c r="U226" s="7">
        <f>INDEX('Player Data'!$M:$M,AL226)</f>
        <v/>
      </c>
      <c r="V226" s="7">
        <f>INDEX('Player Data'!$N:$N,AL226)</f>
        <v/>
      </c>
      <c r="W226" s="5">
        <f>X226*U226</f>
        <v/>
      </c>
      <c r="X226" s="5">
        <f>INDEX('Player Data'!$O:$O,AL226)/INDEX('Player Data'!$E:$E,AL226)*M226*L226*AM226</f>
        <v/>
      </c>
      <c r="Y226" s="5">
        <f>Z226*V226</f>
        <v/>
      </c>
      <c r="Z226" s="5">
        <f>INDEX('Player Data'!$P:$P,AL226)/INDEX('Player Data'!$E:$E,AL226)*M226*L226*AM226</f>
        <v/>
      </c>
      <c r="AB226" s="3">
        <f>(N226-Pool!$D$2)/Pool!$E$2</f>
        <v/>
      </c>
      <c r="AC226" s="3">
        <f>(O226-Pool!$D$3)/Pool!$E$3</f>
        <v/>
      </c>
      <c r="AD226" s="3">
        <f>(P226-Pool!$D$4)/Pool!$E$4</f>
        <v/>
      </c>
      <c r="AE226" s="3">
        <f>(Q226-Pool!$D$5)/Pool!$E$5</f>
        <v/>
      </c>
      <c r="AF226" s="3">
        <f>(R226-Pool!$D$6)/Pool!$E$6</f>
        <v/>
      </c>
      <c r="AG226" s="3">
        <f>(S226-Pool!$D$7)/Pool!$E$7</f>
        <v/>
      </c>
      <c r="AH226" s="3">
        <f>(AS226-Pool!$D$8)/Pool!$E$8</f>
        <v/>
      </c>
      <c r="AI226" s="3">
        <f>(AT226-Pool!$D$9)/Pool!$E$9</f>
        <v/>
      </c>
      <c r="AJ226" s="3">
        <f>-(T226-Pool!$D$10)/Pool!$E$10</f>
        <v/>
      </c>
      <c r="AL226">
        <f>MATCH(B226,'Player Data'!$A:$A,0)</f>
        <v/>
      </c>
      <c r="AM226" s="3">
        <f>1+IF(Settings!$F$10="ON",IFERROR(VLOOKUP(TRIM(F226),Settings!$D$12:$F$17,3,FALSE),0),0)</f>
        <v/>
      </c>
      <c r="AN226">
        <f>IFERROR(LEFT(C226,FIND(",",C226)-1),C226)</f>
        <v/>
      </c>
      <c r="AO226" s="6">
        <f>X226*(U226-Pool!$B$12)</f>
        <v/>
      </c>
      <c r="AP226" s="6">
        <f>Z226*(V226-Pool!$B$13)</f>
        <v/>
      </c>
      <c r="AQ226" s="3">
        <f>Settings!$B$2*(N226-Pool!$B$2)/Pool!$C$2+Settings!$B$3*(O226-Pool!$B$3)/Pool!$C$3+Settings!$B$4*(P226-Pool!$B$4)/Pool!$C$4+Settings!$B$5*(Q226-Pool!$B$5)/Pool!$C$5+Settings!$B$6*(R226-Pool!$B$6)/Pool!$C$6+Settings!$B$7*(S226-Pool!$B$7)/Pool!$C$7+Settings!$B$8*(AO226-Pool!$B$8)/Pool!$C$8+Settings!$B$9*(AP226-Pool!$B$9)/Pool!$C$9+Settings!$B$10*-(T226-Pool!$B$10)/Pool!$C$10</f>
        <v/>
      </c>
      <c r="AR226">
        <f>IF(RANK(AQ226,$AQ$2:$AQ$266)&lt;=Settings!$F$5,1,0)</f>
        <v/>
      </c>
      <c r="AS226" s="6">
        <f>X226*(U226-Pool!$D$12)</f>
        <v/>
      </c>
      <c r="AT226" s="6">
        <f>Z226*(V226-Pool!$D$13)</f>
        <v/>
      </c>
    </row>
    <row r="227">
      <c r="A227">
        <f>RANK(H227,$H$2:$H$266)</f>
        <v/>
      </c>
      <c r="B227" t="inlineStr">
        <is>
          <t>Scoot Henderson</t>
        </is>
      </c>
      <c r="C227">
        <f>INDEX('Player Data'!$C:$C,AL227)</f>
        <v/>
      </c>
      <c r="D227">
        <f>SUMPRODUCT(($AN$2:$AN$266=AN227)*($H$2:$H$266&gt;H227))+1</f>
        <v/>
      </c>
      <c r="E227">
        <f>INDEX('Player Data'!$B:$B,AL227)</f>
        <v/>
      </c>
      <c r="F227" s="2" t="n"/>
      <c r="G227" s="3">
        <f>Settings!$B$2*AB227+Settings!$B$3*AC227+Settings!$B$4*AD227+Settings!$B$5*AE227+Settings!$B$6*AF227+Settings!$B$7*AG227+Settings!$B$8*AH227+Settings!$B$9*AI227+Settings!$B$10*AJ227</f>
        <v/>
      </c>
      <c r="H227" s="3">
        <f>G227-LARGE($G$2:$G$266,Settings!$F$4)</f>
        <v/>
      </c>
      <c r="I227">
        <f>IF(INDEX('Player Data'!$R:$R,AL227)="","",INDEX('Player Data'!$R:$R,AL227))</f>
        <v/>
      </c>
      <c r="J227" s="4">
        <f>IF(I227="","",I227-A227)</f>
        <v/>
      </c>
      <c r="L227" s="5">
        <f>IF(Settings!$F$7="Yes",INDEX('Minutes &amp; Health'!$O:$O,AL227),Settings!$F$8)</f>
        <v/>
      </c>
      <c r="M227" s="6">
        <f>INDEX('Minutes &amp; Health'!$P:$P,AL227)</f>
        <v/>
      </c>
      <c r="N227" s="5">
        <f>INDEX('Player Data'!$F:$F,AL227)/INDEX('Player Data'!$E:$E,AL227)*M227*L227*AM227</f>
        <v/>
      </c>
      <c r="O227" s="5">
        <f>INDEX('Player Data'!$G:$G,AL227)/INDEX('Player Data'!$E:$E,AL227)*M227*L227*AM227</f>
        <v/>
      </c>
      <c r="P227" s="5">
        <f>INDEX('Player Data'!$H:$H,AL227)/INDEX('Player Data'!$E:$E,AL227)*M227*L227*AM227</f>
        <v/>
      </c>
      <c r="Q227" s="5">
        <f>INDEX('Player Data'!$I:$I,AL227)/INDEX('Player Data'!$E:$E,AL227)*M227*L227*AM227</f>
        <v/>
      </c>
      <c r="R227" s="5">
        <f>INDEX('Player Data'!$J:$J,AL227)/INDEX('Player Data'!$E:$E,AL227)*M227*L227*AM227</f>
        <v/>
      </c>
      <c r="S227" s="5">
        <f>INDEX('Player Data'!$K:$K,AL227)/INDEX('Player Data'!$E:$E,AL227)*M227*L227*AM227</f>
        <v/>
      </c>
      <c r="T227" s="5">
        <f>INDEX('Player Data'!$L:$L,AL227)/INDEX('Player Data'!$E:$E,AL227)*M227*L227*AM227</f>
        <v/>
      </c>
      <c r="U227" s="7">
        <f>INDEX('Player Data'!$M:$M,AL227)</f>
        <v/>
      </c>
      <c r="V227" s="7">
        <f>INDEX('Player Data'!$N:$N,AL227)</f>
        <v/>
      </c>
      <c r="W227" s="5">
        <f>X227*U227</f>
        <v/>
      </c>
      <c r="X227" s="5">
        <f>INDEX('Player Data'!$O:$O,AL227)/INDEX('Player Data'!$E:$E,AL227)*M227*L227*AM227</f>
        <v/>
      </c>
      <c r="Y227" s="5">
        <f>Z227*V227</f>
        <v/>
      </c>
      <c r="Z227" s="5">
        <f>INDEX('Player Data'!$P:$P,AL227)/INDEX('Player Data'!$E:$E,AL227)*M227*L227*AM227</f>
        <v/>
      </c>
      <c r="AB227" s="3">
        <f>(N227-Pool!$D$2)/Pool!$E$2</f>
        <v/>
      </c>
      <c r="AC227" s="3">
        <f>(O227-Pool!$D$3)/Pool!$E$3</f>
        <v/>
      </c>
      <c r="AD227" s="3">
        <f>(P227-Pool!$D$4)/Pool!$E$4</f>
        <v/>
      </c>
      <c r="AE227" s="3">
        <f>(Q227-Pool!$D$5)/Pool!$E$5</f>
        <v/>
      </c>
      <c r="AF227" s="3">
        <f>(R227-Pool!$D$6)/Pool!$E$6</f>
        <v/>
      </c>
      <c r="AG227" s="3">
        <f>(S227-Pool!$D$7)/Pool!$E$7</f>
        <v/>
      </c>
      <c r="AH227" s="3">
        <f>(AS227-Pool!$D$8)/Pool!$E$8</f>
        <v/>
      </c>
      <c r="AI227" s="3">
        <f>(AT227-Pool!$D$9)/Pool!$E$9</f>
        <v/>
      </c>
      <c r="AJ227" s="3">
        <f>-(T227-Pool!$D$10)/Pool!$E$10</f>
        <v/>
      </c>
      <c r="AL227">
        <f>MATCH(B227,'Player Data'!$A:$A,0)</f>
        <v/>
      </c>
      <c r="AM227" s="3">
        <f>1+IF(Settings!$F$10="ON",IFERROR(VLOOKUP(TRIM(F227),Settings!$D$12:$F$17,3,FALSE),0),0)</f>
        <v/>
      </c>
      <c r="AN227">
        <f>IFERROR(LEFT(C227,FIND(",",C227)-1),C227)</f>
        <v/>
      </c>
      <c r="AO227" s="6">
        <f>X227*(U227-Pool!$B$12)</f>
        <v/>
      </c>
      <c r="AP227" s="6">
        <f>Z227*(V227-Pool!$B$13)</f>
        <v/>
      </c>
      <c r="AQ227" s="3">
        <f>Settings!$B$2*(N227-Pool!$B$2)/Pool!$C$2+Settings!$B$3*(O227-Pool!$B$3)/Pool!$C$3+Settings!$B$4*(P227-Pool!$B$4)/Pool!$C$4+Settings!$B$5*(Q227-Pool!$B$5)/Pool!$C$5+Settings!$B$6*(R227-Pool!$B$6)/Pool!$C$6+Settings!$B$7*(S227-Pool!$B$7)/Pool!$C$7+Settings!$B$8*(AO227-Pool!$B$8)/Pool!$C$8+Settings!$B$9*(AP227-Pool!$B$9)/Pool!$C$9+Settings!$B$10*-(T227-Pool!$B$10)/Pool!$C$10</f>
        <v/>
      </c>
      <c r="AR227">
        <f>IF(RANK(AQ227,$AQ$2:$AQ$266)&lt;=Settings!$F$5,1,0)</f>
        <v/>
      </c>
      <c r="AS227" s="6">
        <f>X227*(U227-Pool!$D$12)</f>
        <v/>
      </c>
      <c r="AT227" s="6">
        <f>Z227*(V227-Pool!$D$13)</f>
        <v/>
      </c>
    </row>
    <row r="228">
      <c r="A228">
        <f>RANK(H228,$H$2:$H$266)</f>
        <v/>
      </c>
      <c r="B228" t="inlineStr">
        <is>
          <t>Gui Santos</t>
        </is>
      </c>
      <c r="C228">
        <f>INDEX('Player Data'!$C:$C,AL228)</f>
        <v/>
      </c>
      <c r="D228">
        <f>SUMPRODUCT(($AN$2:$AN$266=AN228)*($H$2:$H$266&gt;H228))+1</f>
        <v/>
      </c>
      <c r="E228">
        <f>INDEX('Player Data'!$B:$B,AL228)</f>
        <v/>
      </c>
      <c r="F228" s="2" t="n"/>
      <c r="G228" s="3">
        <f>Settings!$B$2*AB228+Settings!$B$3*AC228+Settings!$B$4*AD228+Settings!$B$5*AE228+Settings!$B$6*AF228+Settings!$B$7*AG228+Settings!$B$8*AH228+Settings!$B$9*AI228+Settings!$B$10*AJ228</f>
        <v/>
      </c>
      <c r="H228" s="3">
        <f>G228-LARGE($G$2:$G$266,Settings!$F$4)</f>
        <v/>
      </c>
      <c r="I228">
        <f>IF(INDEX('Player Data'!$R:$R,AL228)="","",INDEX('Player Data'!$R:$R,AL228))</f>
        <v/>
      </c>
      <c r="J228" s="4">
        <f>IF(I228="","",I228-A228)</f>
        <v/>
      </c>
      <c r="L228" s="5">
        <f>IF(Settings!$F$7="Yes",INDEX('Minutes &amp; Health'!$O:$O,AL228),Settings!$F$8)</f>
        <v/>
      </c>
      <c r="M228" s="6">
        <f>INDEX('Minutes &amp; Health'!$P:$P,AL228)</f>
        <v/>
      </c>
      <c r="N228" s="5">
        <f>INDEX('Player Data'!$F:$F,AL228)/INDEX('Player Data'!$E:$E,AL228)*M228*L228*AM228</f>
        <v/>
      </c>
      <c r="O228" s="5">
        <f>INDEX('Player Data'!$G:$G,AL228)/INDEX('Player Data'!$E:$E,AL228)*M228*L228*AM228</f>
        <v/>
      </c>
      <c r="P228" s="5">
        <f>INDEX('Player Data'!$H:$H,AL228)/INDEX('Player Data'!$E:$E,AL228)*M228*L228*AM228</f>
        <v/>
      </c>
      <c r="Q228" s="5">
        <f>INDEX('Player Data'!$I:$I,AL228)/INDEX('Player Data'!$E:$E,AL228)*M228*L228*AM228</f>
        <v/>
      </c>
      <c r="R228" s="5">
        <f>INDEX('Player Data'!$J:$J,AL228)/INDEX('Player Data'!$E:$E,AL228)*M228*L228*AM228</f>
        <v/>
      </c>
      <c r="S228" s="5">
        <f>INDEX('Player Data'!$K:$K,AL228)/INDEX('Player Data'!$E:$E,AL228)*M228*L228*AM228</f>
        <v/>
      </c>
      <c r="T228" s="5">
        <f>INDEX('Player Data'!$L:$L,AL228)/INDEX('Player Data'!$E:$E,AL228)*M228*L228*AM228</f>
        <v/>
      </c>
      <c r="U228" s="7">
        <f>INDEX('Player Data'!$M:$M,AL228)</f>
        <v/>
      </c>
      <c r="V228" s="7">
        <f>INDEX('Player Data'!$N:$N,AL228)</f>
        <v/>
      </c>
      <c r="W228" s="5">
        <f>X228*U228</f>
        <v/>
      </c>
      <c r="X228" s="5">
        <f>INDEX('Player Data'!$O:$O,AL228)/INDEX('Player Data'!$E:$E,AL228)*M228*L228*AM228</f>
        <v/>
      </c>
      <c r="Y228" s="5">
        <f>Z228*V228</f>
        <v/>
      </c>
      <c r="Z228" s="5">
        <f>INDEX('Player Data'!$P:$P,AL228)/INDEX('Player Data'!$E:$E,AL228)*M228*L228*AM228</f>
        <v/>
      </c>
      <c r="AB228" s="3">
        <f>(N228-Pool!$D$2)/Pool!$E$2</f>
        <v/>
      </c>
      <c r="AC228" s="3">
        <f>(O228-Pool!$D$3)/Pool!$E$3</f>
        <v/>
      </c>
      <c r="AD228" s="3">
        <f>(P228-Pool!$D$4)/Pool!$E$4</f>
        <v/>
      </c>
      <c r="AE228" s="3">
        <f>(Q228-Pool!$D$5)/Pool!$E$5</f>
        <v/>
      </c>
      <c r="AF228" s="3">
        <f>(R228-Pool!$D$6)/Pool!$E$6</f>
        <v/>
      </c>
      <c r="AG228" s="3">
        <f>(S228-Pool!$D$7)/Pool!$E$7</f>
        <v/>
      </c>
      <c r="AH228" s="3">
        <f>(AS228-Pool!$D$8)/Pool!$E$8</f>
        <v/>
      </c>
      <c r="AI228" s="3">
        <f>(AT228-Pool!$D$9)/Pool!$E$9</f>
        <v/>
      </c>
      <c r="AJ228" s="3">
        <f>-(T228-Pool!$D$10)/Pool!$E$10</f>
        <v/>
      </c>
      <c r="AL228">
        <f>MATCH(B228,'Player Data'!$A:$A,0)</f>
        <v/>
      </c>
      <c r="AM228" s="3">
        <f>1+IF(Settings!$F$10="ON",IFERROR(VLOOKUP(TRIM(F228),Settings!$D$12:$F$17,3,FALSE),0),0)</f>
        <v/>
      </c>
      <c r="AN228">
        <f>IFERROR(LEFT(C228,FIND(",",C228)-1),C228)</f>
        <v/>
      </c>
      <c r="AO228" s="6">
        <f>X228*(U228-Pool!$B$12)</f>
        <v/>
      </c>
      <c r="AP228" s="6">
        <f>Z228*(V228-Pool!$B$13)</f>
        <v/>
      </c>
      <c r="AQ228" s="3">
        <f>Settings!$B$2*(N228-Pool!$B$2)/Pool!$C$2+Settings!$B$3*(O228-Pool!$B$3)/Pool!$C$3+Settings!$B$4*(P228-Pool!$B$4)/Pool!$C$4+Settings!$B$5*(Q228-Pool!$B$5)/Pool!$C$5+Settings!$B$6*(R228-Pool!$B$6)/Pool!$C$6+Settings!$B$7*(S228-Pool!$B$7)/Pool!$C$7+Settings!$B$8*(AO228-Pool!$B$8)/Pool!$C$8+Settings!$B$9*(AP228-Pool!$B$9)/Pool!$C$9+Settings!$B$10*-(T228-Pool!$B$10)/Pool!$C$10</f>
        <v/>
      </c>
      <c r="AR228">
        <f>IF(RANK(AQ228,$AQ$2:$AQ$266)&lt;=Settings!$F$5,1,0)</f>
        <v/>
      </c>
      <c r="AS228" s="6">
        <f>X228*(U228-Pool!$D$12)</f>
        <v/>
      </c>
      <c r="AT228" s="6">
        <f>Z228*(V228-Pool!$D$13)</f>
        <v/>
      </c>
    </row>
    <row r="229">
      <c r="A229">
        <f>RANK(H229,$H$2:$H$266)</f>
        <v/>
      </c>
      <c r="B229" t="inlineStr">
        <is>
          <t>Ryan Dunn</t>
        </is>
      </c>
      <c r="C229">
        <f>INDEX('Player Data'!$C:$C,AL229)</f>
        <v/>
      </c>
      <c r="D229">
        <f>SUMPRODUCT(($AN$2:$AN$266=AN229)*($H$2:$H$266&gt;H229))+1</f>
        <v/>
      </c>
      <c r="E229">
        <f>INDEX('Player Data'!$B:$B,AL229)</f>
        <v/>
      </c>
      <c r="F229" s="2" t="n"/>
      <c r="G229" s="3">
        <f>Settings!$B$2*AB229+Settings!$B$3*AC229+Settings!$B$4*AD229+Settings!$B$5*AE229+Settings!$B$6*AF229+Settings!$B$7*AG229+Settings!$B$8*AH229+Settings!$B$9*AI229+Settings!$B$10*AJ229</f>
        <v/>
      </c>
      <c r="H229" s="3">
        <f>G229-LARGE($G$2:$G$266,Settings!$F$4)</f>
        <v/>
      </c>
      <c r="I229">
        <f>IF(INDEX('Player Data'!$R:$R,AL229)="","",INDEX('Player Data'!$R:$R,AL229))</f>
        <v/>
      </c>
      <c r="J229" s="4">
        <f>IF(I229="","",I229-A229)</f>
        <v/>
      </c>
      <c r="L229" s="5">
        <f>IF(Settings!$F$7="Yes",INDEX('Minutes &amp; Health'!$O:$O,AL229),Settings!$F$8)</f>
        <v/>
      </c>
      <c r="M229" s="6">
        <f>INDEX('Minutes &amp; Health'!$P:$P,AL229)</f>
        <v/>
      </c>
      <c r="N229" s="5">
        <f>INDEX('Player Data'!$F:$F,AL229)/INDEX('Player Data'!$E:$E,AL229)*M229*L229*AM229</f>
        <v/>
      </c>
      <c r="O229" s="5">
        <f>INDEX('Player Data'!$G:$G,AL229)/INDEX('Player Data'!$E:$E,AL229)*M229*L229*AM229</f>
        <v/>
      </c>
      <c r="P229" s="5">
        <f>INDEX('Player Data'!$H:$H,AL229)/INDEX('Player Data'!$E:$E,AL229)*M229*L229*AM229</f>
        <v/>
      </c>
      <c r="Q229" s="5">
        <f>INDEX('Player Data'!$I:$I,AL229)/INDEX('Player Data'!$E:$E,AL229)*M229*L229*AM229</f>
        <v/>
      </c>
      <c r="R229" s="5">
        <f>INDEX('Player Data'!$J:$J,AL229)/INDEX('Player Data'!$E:$E,AL229)*M229*L229*AM229</f>
        <v/>
      </c>
      <c r="S229" s="5">
        <f>INDEX('Player Data'!$K:$K,AL229)/INDEX('Player Data'!$E:$E,AL229)*M229*L229*AM229</f>
        <v/>
      </c>
      <c r="T229" s="5">
        <f>INDEX('Player Data'!$L:$L,AL229)/INDEX('Player Data'!$E:$E,AL229)*M229*L229*AM229</f>
        <v/>
      </c>
      <c r="U229" s="7">
        <f>INDEX('Player Data'!$M:$M,AL229)</f>
        <v/>
      </c>
      <c r="V229" s="7">
        <f>INDEX('Player Data'!$N:$N,AL229)</f>
        <v/>
      </c>
      <c r="W229" s="5">
        <f>X229*U229</f>
        <v/>
      </c>
      <c r="X229" s="5">
        <f>INDEX('Player Data'!$O:$O,AL229)/INDEX('Player Data'!$E:$E,AL229)*M229*L229*AM229</f>
        <v/>
      </c>
      <c r="Y229" s="5">
        <f>Z229*V229</f>
        <v/>
      </c>
      <c r="Z229" s="5">
        <f>INDEX('Player Data'!$P:$P,AL229)/INDEX('Player Data'!$E:$E,AL229)*M229*L229*AM229</f>
        <v/>
      </c>
      <c r="AB229" s="3">
        <f>(N229-Pool!$D$2)/Pool!$E$2</f>
        <v/>
      </c>
      <c r="AC229" s="3">
        <f>(O229-Pool!$D$3)/Pool!$E$3</f>
        <v/>
      </c>
      <c r="AD229" s="3">
        <f>(P229-Pool!$D$4)/Pool!$E$4</f>
        <v/>
      </c>
      <c r="AE229" s="3">
        <f>(Q229-Pool!$D$5)/Pool!$E$5</f>
        <v/>
      </c>
      <c r="AF229" s="3">
        <f>(R229-Pool!$D$6)/Pool!$E$6</f>
        <v/>
      </c>
      <c r="AG229" s="3">
        <f>(S229-Pool!$D$7)/Pool!$E$7</f>
        <v/>
      </c>
      <c r="AH229" s="3">
        <f>(AS229-Pool!$D$8)/Pool!$E$8</f>
        <v/>
      </c>
      <c r="AI229" s="3">
        <f>(AT229-Pool!$D$9)/Pool!$E$9</f>
        <v/>
      </c>
      <c r="AJ229" s="3">
        <f>-(T229-Pool!$D$10)/Pool!$E$10</f>
        <v/>
      </c>
      <c r="AL229">
        <f>MATCH(B229,'Player Data'!$A:$A,0)</f>
        <v/>
      </c>
      <c r="AM229" s="3">
        <f>1+IF(Settings!$F$10="ON",IFERROR(VLOOKUP(TRIM(F229),Settings!$D$12:$F$17,3,FALSE),0),0)</f>
        <v/>
      </c>
      <c r="AN229">
        <f>IFERROR(LEFT(C229,FIND(",",C229)-1),C229)</f>
        <v/>
      </c>
      <c r="AO229" s="6">
        <f>X229*(U229-Pool!$B$12)</f>
        <v/>
      </c>
      <c r="AP229" s="6">
        <f>Z229*(V229-Pool!$B$13)</f>
        <v/>
      </c>
      <c r="AQ229" s="3">
        <f>Settings!$B$2*(N229-Pool!$B$2)/Pool!$C$2+Settings!$B$3*(O229-Pool!$B$3)/Pool!$C$3+Settings!$B$4*(P229-Pool!$B$4)/Pool!$C$4+Settings!$B$5*(Q229-Pool!$B$5)/Pool!$C$5+Settings!$B$6*(R229-Pool!$B$6)/Pool!$C$6+Settings!$B$7*(S229-Pool!$B$7)/Pool!$C$7+Settings!$B$8*(AO229-Pool!$B$8)/Pool!$C$8+Settings!$B$9*(AP229-Pool!$B$9)/Pool!$C$9+Settings!$B$10*-(T229-Pool!$B$10)/Pool!$C$10</f>
        <v/>
      </c>
      <c r="AR229">
        <f>IF(RANK(AQ229,$AQ$2:$AQ$266)&lt;=Settings!$F$5,1,0)</f>
        <v/>
      </c>
      <c r="AS229" s="6">
        <f>X229*(U229-Pool!$D$12)</f>
        <v/>
      </c>
      <c r="AT229" s="6">
        <f>Z229*(V229-Pool!$D$13)</f>
        <v/>
      </c>
    </row>
    <row r="230">
      <c r="A230">
        <f>RANK(H230,$H$2:$H$266)</f>
        <v/>
      </c>
      <c r="B230" t="inlineStr">
        <is>
          <t>Ronald Holland II</t>
        </is>
      </c>
      <c r="C230">
        <f>INDEX('Player Data'!$C:$C,AL230)</f>
        <v/>
      </c>
      <c r="D230">
        <f>SUMPRODUCT(($AN$2:$AN$266=AN230)*($H$2:$H$266&gt;H230))+1</f>
        <v/>
      </c>
      <c r="E230">
        <f>INDEX('Player Data'!$B:$B,AL230)</f>
        <v/>
      </c>
      <c r="F230" s="2" t="n"/>
      <c r="G230" s="3">
        <f>Settings!$B$2*AB230+Settings!$B$3*AC230+Settings!$B$4*AD230+Settings!$B$5*AE230+Settings!$B$6*AF230+Settings!$B$7*AG230+Settings!$B$8*AH230+Settings!$B$9*AI230+Settings!$B$10*AJ230</f>
        <v/>
      </c>
      <c r="H230" s="3">
        <f>G230-LARGE($G$2:$G$266,Settings!$F$4)</f>
        <v/>
      </c>
      <c r="I230">
        <f>IF(INDEX('Player Data'!$R:$R,AL230)="","",INDEX('Player Data'!$R:$R,AL230))</f>
        <v/>
      </c>
      <c r="J230" s="4">
        <f>IF(I230="","",I230-A230)</f>
        <v/>
      </c>
      <c r="L230" s="5">
        <f>IF(Settings!$F$7="Yes",INDEX('Minutes &amp; Health'!$O:$O,AL230),Settings!$F$8)</f>
        <v/>
      </c>
      <c r="M230" s="6">
        <f>INDEX('Minutes &amp; Health'!$P:$P,AL230)</f>
        <v/>
      </c>
      <c r="N230" s="5">
        <f>INDEX('Player Data'!$F:$F,AL230)/INDEX('Player Data'!$E:$E,AL230)*M230*L230*AM230</f>
        <v/>
      </c>
      <c r="O230" s="5">
        <f>INDEX('Player Data'!$G:$G,AL230)/INDEX('Player Data'!$E:$E,AL230)*M230*L230*AM230</f>
        <v/>
      </c>
      <c r="P230" s="5">
        <f>INDEX('Player Data'!$H:$H,AL230)/INDEX('Player Data'!$E:$E,AL230)*M230*L230*AM230</f>
        <v/>
      </c>
      <c r="Q230" s="5">
        <f>INDEX('Player Data'!$I:$I,AL230)/INDEX('Player Data'!$E:$E,AL230)*M230*L230*AM230</f>
        <v/>
      </c>
      <c r="R230" s="5">
        <f>INDEX('Player Data'!$J:$J,AL230)/INDEX('Player Data'!$E:$E,AL230)*M230*L230*AM230</f>
        <v/>
      </c>
      <c r="S230" s="5">
        <f>INDEX('Player Data'!$K:$K,AL230)/INDEX('Player Data'!$E:$E,AL230)*M230*L230*AM230</f>
        <v/>
      </c>
      <c r="T230" s="5">
        <f>INDEX('Player Data'!$L:$L,AL230)/INDEX('Player Data'!$E:$E,AL230)*M230*L230*AM230</f>
        <v/>
      </c>
      <c r="U230" s="7">
        <f>INDEX('Player Data'!$M:$M,AL230)</f>
        <v/>
      </c>
      <c r="V230" s="7">
        <f>INDEX('Player Data'!$N:$N,AL230)</f>
        <v/>
      </c>
      <c r="W230" s="5">
        <f>X230*U230</f>
        <v/>
      </c>
      <c r="X230" s="5">
        <f>INDEX('Player Data'!$O:$O,AL230)/INDEX('Player Data'!$E:$E,AL230)*M230*L230*AM230</f>
        <v/>
      </c>
      <c r="Y230" s="5">
        <f>Z230*V230</f>
        <v/>
      </c>
      <c r="Z230" s="5">
        <f>INDEX('Player Data'!$P:$P,AL230)/INDEX('Player Data'!$E:$E,AL230)*M230*L230*AM230</f>
        <v/>
      </c>
      <c r="AB230" s="3">
        <f>(N230-Pool!$D$2)/Pool!$E$2</f>
        <v/>
      </c>
      <c r="AC230" s="3">
        <f>(O230-Pool!$D$3)/Pool!$E$3</f>
        <v/>
      </c>
      <c r="AD230" s="3">
        <f>(P230-Pool!$D$4)/Pool!$E$4</f>
        <v/>
      </c>
      <c r="AE230" s="3">
        <f>(Q230-Pool!$D$5)/Pool!$E$5</f>
        <v/>
      </c>
      <c r="AF230" s="3">
        <f>(R230-Pool!$D$6)/Pool!$E$6</f>
        <v/>
      </c>
      <c r="AG230" s="3">
        <f>(S230-Pool!$D$7)/Pool!$E$7</f>
        <v/>
      </c>
      <c r="AH230" s="3">
        <f>(AS230-Pool!$D$8)/Pool!$E$8</f>
        <v/>
      </c>
      <c r="AI230" s="3">
        <f>(AT230-Pool!$D$9)/Pool!$E$9</f>
        <v/>
      </c>
      <c r="AJ230" s="3">
        <f>-(T230-Pool!$D$10)/Pool!$E$10</f>
        <v/>
      </c>
      <c r="AL230">
        <f>MATCH(B230,'Player Data'!$A:$A,0)</f>
        <v/>
      </c>
      <c r="AM230" s="3">
        <f>1+IF(Settings!$F$10="ON",IFERROR(VLOOKUP(TRIM(F230),Settings!$D$12:$F$17,3,FALSE),0),0)</f>
        <v/>
      </c>
      <c r="AN230">
        <f>IFERROR(LEFT(C230,FIND(",",C230)-1),C230)</f>
        <v/>
      </c>
      <c r="AO230" s="6">
        <f>X230*(U230-Pool!$B$12)</f>
        <v/>
      </c>
      <c r="AP230" s="6">
        <f>Z230*(V230-Pool!$B$13)</f>
        <v/>
      </c>
      <c r="AQ230" s="3">
        <f>Settings!$B$2*(N230-Pool!$B$2)/Pool!$C$2+Settings!$B$3*(O230-Pool!$B$3)/Pool!$C$3+Settings!$B$4*(P230-Pool!$B$4)/Pool!$C$4+Settings!$B$5*(Q230-Pool!$B$5)/Pool!$C$5+Settings!$B$6*(R230-Pool!$B$6)/Pool!$C$6+Settings!$B$7*(S230-Pool!$B$7)/Pool!$C$7+Settings!$B$8*(AO230-Pool!$B$8)/Pool!$C$8+Settings!$B$9*(AP230-Pool!$B$9)/Pool!$C$9+Settings!$B$10*-(T230-Pool!$B$10)/Pool!$C$10</f>
        <v/>
      </c>
      <c r="AR230">
        <f>IF(RANK(AQ230,$AQ$2:$AQ$266)&lt;=Settings!$F$5,1,0)</f>
        <v/>
      </c>
      <c r="AS230" s="6">
        <f>X230*(U230-Pool!$D$12)</f>
        <v/>
      </c>
      <c r="AT230" s="6">
        <f>Z230*(V230-Pool!$D$13)</f>
        <v/>
      </c>
    </row>
    <row r="231">
      <c r="A231">
        <f>RANK(H231,$H$2:$H$266)</f>
        <v/>
      </c>
      <c r="B231" t="inlineStr">
        <is>
          <t>Aaron Wiggins</t>
        </is>
      </c>
      <c r="C231">
        <f>INDEX('Player Data'!$C:$C,AL231)</f>
        <v/>
      </c>
      <c r="D231">
        <f>SUMPRODUCT(($AN$2:$AN$266=AN231)*($H$2:$H$266&gt;H231))+1</f>
        <v/>
      </c>
      <c r="E231">
        <f>INDEX('Player Data'!$B:$B,AL231)</f>
        <v/>
      </c>
      <c r="F231" s="2" t="n"/>
      <c r="G231" s="3">
        <f>Settings!$B$2*AB231+Settings!$B$3*AC231+Settings!$B$4*AD231+Settings!$B$5*AE231+Settings!$B$6*AF231+Settings!$B$7*AG231+Settings!$B$8*AH231+Settings!$B$9*AI231+Settings!$B$10*AJ231</f>
        <v/>
      </c>
      <c r="H231" s="3">
        <f>G231-LARGE($G$2:$G$266,Settings!$F$4)</f>
        <v/>
      </c>
      <c r="I231">
        <f>IF(INDEX('Player Data'!$R:$R,AL231)="","",INDEX('Player Data'!$R:$R,AL231))</f>
        <v/>
      </c>
      <c r="J231" s="4">
        <f>IF(I231="","",I231-A231)</f>
        <v/>
      </c>
      <c r="L231" s="5">
        <f>IF(Settings!$F$7="Yes",INDEX('Minutes &amp; Health'!$O:$O,AL231),Settings!$F$8)</f>
        <v/>
      </c>
      <c r="M231" s="6">
        <f>INDEX('Minutes &amp; Health'!$P:$P,AL231)</f>
        <v/>
      </c>
      <c r="N231" s="5">
        <f>INDEX('Player Data'!$F:$F,AL231)/INDEX('Player Data'!$E:$E,AL231)*M231*L231*AM231</f>
        <v/>
      </c>
      <c r="O231" s="5">
        <f>INDEX('Player Data'!$G:$G,AL231)/INDEX('Player Data'!$E:$E,AL231)*M231*L231*AM231</f>
        <v/>
      </c>
      <c r="P231" s="5">
        <f>INDEX('Player Data'!$H:$H,AL231)/INDEX('Player Data'!$E:$E,AL231)*M231*L231*AM231</f>
        <v/>
      </c>
      <c r="Q231" s="5">
        <f>INDEX('Player Data'!$I:$I,AL231)/INDEX('Player Data'!$E:$E,AL231)*M231*L231*AM231</f>
        <v/>
      </c>
      <c r="R231" s="5">
        <f>INDEX('Player Data'!$J:$J,AL231)/INDEX('Player Data'!$E:$E,AL231)*M231*L231*AM231</f>
        <v/>
      </c>
      <c r="S231" s="5">
        <f>INDEX('Player Data'!$K:$K,AL231)/INDEX('Player Data'!$E:$E,AL231)*M231*L231*AM231</f>
        <v/>
      </c>
      <c r="T231" s="5">
        <f>INDEX('Player Data'!$L:$L,AL231)/INDEX('Player Data'!$E:$E,AL231)*M231*L231*AM231</f>
        <v/>
      </c>
      <c r="U231" s="7">
        <f>INDEX('Player Data'!$M:$M,AL231)</f>
        <v/>
      </c>
      <c r="V231" s="7">
        <f>INDEX('Player Data'!$N:$N,AL231)</f>
        <v/>
      </c>
      <c r="W231" s="5">
        <f>X231*U231</f>
        <v/>
      </c>
      <c r="X231" s="5">
        <f>INDEX('Player Data'!$O:$O,AL231)/INDEX('Player Data'!$E:$E,AL231)*M231*L231*AM231</f>
        <v/>
      </c>
      <c r="Y231" s="5">
        <f>Z231*V231</f>
        <v/>
      </c>
      <c r="Z231" s="5">
        <f>INDEX('Player Data'!$P:$P,AL231)/INDEX('Player Data'!$E:$E,AL231)*M231*L231*AM231</f>
        <v/>
      </c>
      <c r="AB231" s="3">
        <f>(N231-Pool!$D$2)/Pool!$E$2</f>
        <v/>
      </c>
      <c r="AC231" s="3">
        <f>(O231-Pool!$D$3)/Pool!$E$3</f>
        <v/>
      </c>
      <c r="AD231" s="3">
        <f>(P231-Pool!$D$4)/Pool!$E$4</f>
        <v/>
      </c>
      <c r="AE231" s="3">
        <f>(Q231-Pool!$D$5)/Pool!$E$5</f>
        <v/>
      </c>
      <c r="AF231" s="3">
        <f>(R231-Pool!$D$6)/Pool!$E$6</f>
        <v/>
      </c>
      <c r="AG231" s="3">
        <f>(S231-Pool!$D$7)/Pool!$E$7</f>
        <v/>
      </c>
      <c r="AH231" s="3">
        <f>(AS231-Pool!$D$8)/Pool!$E$8</f>
        <v/>
      </c>
      <c r="AI231" s="3">
        <f>(AT231-Pool!$D$9)/Pool!$E$9</f>
        <v/>
      </c>
      <c r="AJ231" s="3">
        <f>-(T231-Pool!$D$10)/Pool!$E$10</f>
        <v/>
      </c>
      <c r="AL231">
        <f>MATCH(B231,'Player Data'!$A:$A,0)</f>
        <v/>
      </c>
      <c r="AM231" s="3">
        <f>1+IF(Settings!$F$10="ON",IFERROR(VLOOKUP(TRIM(F231),Settings!$D$12:$F$17,3,FALSE),0),0)</f>
        <v/>
      </c>
      <c r="AN231">
        <f>IFERROR(LEFT(C231,FIND(",",C231)-1),C231)</f>
        <v/>
      </c>
      <c r="AO231" s="6">
        <f>X231*(U231-Pool!$B$12)</f>
        <v/>
      </c>
      <c r="AP231" s="6">
        <f>Z231*(V231-Pool!$B$13)</f>
        <v/>
      </c>
      <c r="AQ231" s="3">
        <f>Settings!$B$2*(N231-Pool!$B$2)/Pool!$C$2+Settings!$B$3*(O231-Pool!$B$3)/Pool!$C$3+Settings!$B$4*(P231-Pool!$B$4)/Pool!$C$4+Settings!$B$5*(Q231-Pool!$B$5)/Pool!$C$5+Settings!$B$6*(R231-Pool!$B$6)/Pool!$C$6+Settings!$B$7*(S231-Pool!$B$7)/Pool!$C$7+Settings!$B$8*(AO231-Pool!$B$8)/Pool!$C$8+Settings!$B$9*(AP231-Pool!$B$9)/Pool!$C$9+Settings!$B$10*-(T231-Pool!$B$10)/Pool!$C$10</f>
        <v/>
      </c>
      <c r="AR231">
        <f>IF(RANK(AQ231,$AQ$2:$AQ$266)&lt;=Settings!$F$5,1,0)</f>
        <v/>
      </c>
      <c r="AS231" s="6">
        <f>X231*(U231-Pool!$D$12)</f>
        <v/>
      </c>
      <c r="AT231" s="6">
        <f>Z231*(V231-Pool!$D$13)</f>
        <v/>
      </c>
    </row>
    <row r="232">
      <c r="A232">
        <f>RANK(H232,$H$2:$H$266)</f>
        <v/>
      </c>
      <c r="B232" t="inlineStr">
        <is>
          <t>Isaiah Collier</t>
        </is>
      </c>
      <c r="C232">
        <f>INDEX('Player Data'!$C:$C,AL232)</f>
        <v/>
      </c>
      <c r="D232">
        <f>SUMPRODUCT(($AN$2:$AN$266=AN232)*($H$2:$H$266&gt;H232))+1</f>
        <v/>
      </c>
      <c r="E232">
        <f>INDEX('Player Data'!$B:$B,AL232)</f>
        <v/>
      </c>
      <c r="F232" s="2" t="n"/>
      <c r="G232" s="3">
        <f>Settings!$B$2*AB232+Settings!$B$3*AC232+Settings!$B$4*AD232+Settings!$B$5*AE232+Settings!$B$6*AF232+Settings!$B$7*AG232+Settings!$B$8*AH232+Settings!$B$9*AI232+Settings!$B$10*AJ232</f>
        <v/>
      </c>
      <c r="H232" s="3">
        <f>G232-LARGE($G$2:$G$266,Settings!$F$4)</f>
        <v/>
      </c>
      <c r="I232">
        <f>IF(INDEX('Player Data'!$R:$R,AL232)="","",INDEX('Player Data'!$R:$R,AL232))</f>
        <v/>
      </c>
      <c r="J232" s="4">
        <f>IF(I232="","",I232-A232)</f>
        <v/>
      </c>
      <c r="L232" s="5">
        <f>IF(Settings!$F$7="Yes",INDEX('Minutes &amp; Health'!$O:$O,AL232),Settings!$F$8)</f>
        <v/>
      </c>
      <c r="M232" s="6">
        <f>INDEX('Minutes &amp; Health'!$P:$P,AL232)</f>
        <v/>
      </c>
      <c r="N232" s="5">
        <f>INDEX('Player Data'!$F:$F,AL232)/INDEX('Player Data'!$E:$E,AL232)*M232*L232*AM232</f>
        <v/>
      </c>
      <c r="O232" s="5">
        <f>INDEX('Player Data'!$G:$G,AL232)/INDEX('Player Data'!$E:$E,AL232)*M232*L232*AM232</f>
        <v/>
      </c>
      <c r="P232" s="5">
        <f>INDEX('Player Data'!$H:$H,AL232)/INDEX('Player Data'!$E:$E,AL232)*M232*L232*AM232</f>
        <v/>
      </c>
      <c r="Q232" s="5">
        <f>INDEX('Player Data'!$I:$I,AL232)/INDEX('Player Data'!$E:$E,AL232)*M232*L232*AM232</f>
        <v/>
      </c>
      <c r="R232" s="5">
        <f>INDEX('Player Data'!$J:$J,AL232)/INDEX('Player Data'!$E:$E,AL232)*M232*L232*AM232</f>
        <v/>
      </c>
      <c r="S232" s="5">
        <f>INDEX('Player Data'!$K:$K,AL232)/INDEX('Player Data'!$E:$E,AL232)*M232*L232*AM232</f>
        <v/>
      </c>
      <c r="T232" s="5">
        <f>INDEX('Player Data'!$L:$L,AL232)/INDEX('Player Data'!$E:$E,AL232)*M232*L232*AM232</f>
        <v/>
      </c>
      <c r="U232" s="7">
        <f>INDEX('Player Data'!$M:$M,AL232)</f>
        <v/>
      </c>
      <c r="V232" s="7">
        <f>INDEX('Player Data'!$N:$N,AL232)</f>
        <v/>
      </c>
      <c r="W232" s="5">
        <f>X232*U232</f>
        <v/>
      </c>
      <c r="X232" s="5">
        <f>INDEX('Player Data'!$O:$O,AL232)/INDEX('Player Data'!$E:$E,AL232)*M232*L232*AM232</f>
        <v/>
      </c>
      <c r="Y232" s="5">
        <f>Z232*V232</f>
        <v/>
      </c>
      <c r="Z232" s="5">
        <f>INDEX('Player Data'!$P:$P,AL232)/INDEX('Player Data'!$E:$E,AL232)*M232*L232*AM232</f>
        <v/>
      </c>
      <c r="AB232" s="3">
        <f>(N232-Pool!$D$2)/Pool!$E$2</f>
        <v/>
      </c>
      <c r="AC232" s="3">
        <f>(O232-Pool!$D$3)/Pool!$E$3</f>
        <v/>
      </c>
      <c r="AD232" s="3">
        <f>(P232-Pool!$D$4)/Pool!$E$4</f>
        <v/>
      </c>
      <c r="AE232" s="3">
        <f>(Q232-Pool!$D$5)/Pool!$E$5</f>
        <v/>
      </c>
      <c r="AF232" s="3">
        <f>(R232-Pool!$D$6)/Pool!$E$6</f>
        <v/>
      </c>
      <c r="AG232" s="3">
        <f>(S232-Pool!$D$7)/Pool!$E$7</f>
        <v/>
      </c>
      <c r="AH232" s="3">
        <f>(AS232-Pool!$D$8)/Pool!$E$8</f>
        <v/>
      </c>
      <c r="AI232" s="3">
        <f>(AT232-Pool!$D$9)/Pool!$E$9</f>
        <v/>
      </c>
      <c r="AJ232" s="3">
        <f>-(T232-Pool!$D$10)/Pool!$E$10</f>
        <v/>
      </c>
      <c r="AL232">
        <f>MATCH(B232,'Player Data'!$A:$A,0)</f>
        <v/>
      </c>
      <c r="AM232" s="3">
        <f>1+IF(Settings!$F$10="ON",IFERROR(VLOOKUP(TRIM(F232),Settings!$D$12:$F$17,3,FALSE),0),0)</f>
        <v/>
      </c>
      <c r="AN232">
        <f>IFERROR(LEFT(C232,FIND(",",C232)-1),C232)</f>
        <v/>
      </c>
      <c r="AO232" s="6">
        <f>X232*(U232-Pool!$B$12)</f>
        <v/>
      </c>
      <c r="AP232" s="6">
        <f>Z232*(V232-Pool!$B$13)</f>
        <v/>
      </c>
      <c r="AQ232" s="3">
        <f>Settings!$B$2*(N232-Pool!$B$2)/Pool!$C$2+Settings!$B$3*(O232-Pool!$B$3)/Pool!$C$3+Settings!$B$4*(P232-Pool!$B$4)/Pool!$C$4+Settings!$B$5*(Q232-Pool!$B$5)/Pool!$C$5+Settings!$B$6*(R232-Pool!$B$6)/Pool!$C$6+Settings!$B$7*(S232-Pool!$B$7)/Pool!$C$7+Settings!$B$8*(AO232-Pool!$B$8)/Pool!$C$8+Settings!$B$9*(AP232-Pool!$B$9)/Pool!$C$9+Settings!$B$10*-(T232-Pool!$B$10)/Pool!$C$10</f>
        <v/>
      </c>
      <c r="AR232">
        <f>IF(RANK(AQ232,$AQ$2:$AQ$266)&lt;=Settings!$F$5,1,0)</f>
        <v/>
      </c>
      <c r="AS232" s="6">
        <f>X232*(U232-Pool!$D$12)</f>
        <v/>
      </c>
      <c r="AT232" s="6">
        <f>Z232*(V232-Pool!$D$13)</f>
        <v/>
      </c>
    </row>
    <row r="233">
      <c r="A233">
        <f>RANK(H233,$H$2:$H$266)</f>
        <v/>
      </c>
      <c r="B233" t="inlineStr">
        <is>
          <t>Dennis Schroder</t>
        </is>
      </c>
      <c r="C233">
        <f>INDEX('Player Data'!$C:$C,AL233)</f>
        <v/>
      </c>
      <c r="D233">
        <f>SUMPRODUCT(($AN$2:$AN$266=AN233)*($H$2:$H$266&gt;H233))+1</f>
        <v/>
      </c>
      <c r="E233">
        <f>INDEX('Player Data'!$B:$B,AL233)</f>
        <v/>
      </c>
      <c r="F233" s="2" t="n"/>
      <c r="G233" s="3">
        <f>Settings!$B$2*AB233+Settings!$B$3*AC233+Settings!$B$4*AD233+Settings!$B$5*AE233+Settings!$B$6*AF233+Settings!$B$7*AG233+Settings!$B$8*AH233+Settings!$B$9*AI233+Settings!$B$10*AJ233</f>
        <v/>
      </c>
      <c r="H233" s="3">
        <f>G233-LARGE($G$2:$G$266,Settings!$F$4)</f>
        <v/>
      </c>
      <c r="I233">
        <f>IF(INDEX('Player Data'!$R:$R,AL233)="","",INDEX('Player Data'!$R:$R,AL233))</f>
        <v/>
      </c>
      <c r="J233" s="4">
        <f>IF(I233="","",I233-A233)</f>
        <v/>
      </c>
      <c r="L233" s="5">
        <f>IF(Settings!$F$7="Yes",INDEX('Minutes &amp; Health'!$O:$O,AL233),Settings!$F$8)</f>
        <v/>
      </c>
      <c r="M233" s="6">
        <f>INDEX('Minutes &amp; Health'!$P:$P,AL233)</f>
        <v/>
      </c>
      <c r="N233" s="5">
        <f>INDEX('Player Data'!$F:$F,AL233)/INDEX('Player Data'!$E:$E,AL233)*M233*L233*AM233</f>
        <v/>
      </c>
      <c r="O233" s="5">
        <f>INDEX('Player Data'!$G:$G,AL233)/INDEX('Player Data'!$E:$E,AL233)*M233*L233*AM233</f>
        <v/>
      </c>
      <c r="P233" s="5">
        <f>INDEX('Player Data'!$H:$H,AL233)/INDEX('Player Data'!$E:$E,AL233)*M233*L233*AM233</f>
        <v/>
      </c>
      <c r="Q233" s="5">
        <f>INDEX('Player Data'!$I:$I,AL233)/INDEX('Player Data'!$E:$E,AL233)*M233*L233*AM233</f>
        <v/>
      </c>
      <c r="R233" s="5">
        <f>INDEX('Player Data'!$J:$J,AL233)/INDEX('Player Data'!$E:$E,AL233)*M233*L233*AM233</f>
        <v/>
      </c>
      <c r="S233" s="5">
        <f>INDEX('Player Data'!$K:$K,AL233)/INDEX('Player Data'!$E:$E,AL233)*M233*L233*AM233</f>
        <v/>
      </c>
      <c r="T233" s="5">
        <f>INDEX('Player Data'!$L:$L,AL233)/INDEX('Player Data'!$E:$E,AL233)*M233*L233*AM233</f>
        <v/>
      </c>
      <c r="U233" s="7">
        <f>INDEX('Player Data'!$M:$M,AL233)</f>
        <v/>
      </c>
      <c r="V233" s="7">
        <f>INDEX('Player Data'!$N:$N,AL233)</f>
        <v/>
      </c>
      <c r="W233" s="5">
        <f>X233*U233</f>
        <v/>
      </c>
      <c r="X233" s="5">
        <f>INDEX('Player Data'!$O:$O,AL233)/INDEX('Player Data'!$E:$E,AL233)*M233*L233*AM233</f>
        <v/>
      </c>
      <c r="Y233" s="5">
        <f>Z233*V233</f>
        <v/>
      </c>
      <c r="Z233" s="5">
        <f>INDEX('Player Data'!$P:$P,AL233)/INDEX('Player Data'!$E:$E,AL233)*M233*L233*AM233</f>
        <v/>
      </c>
      <c r="AB233" s="3">
        <f>(N233-Pool!$D$2)/Pool!$E$2</f>
        <v/>
      </c>
      <c r="AC233" s="3">
        <f>(O233-Pool!$D$3)/Pool!$E$3</f>
        <v/>
      </c>
      <c r="AD233" s="3">
        <f>(P233-Pool!$D$4)/Pool!$E$4</f>
        <v/>
      </c>
      <c r="AE233" s="3">
        <f>(Q233-Pool!$D$5)/Pool!$E$5</f>
        <v/>
      </c>
      <c r="AF233" s="3">
        <f>(R233-Pool!$D$6)/Pool!$E$6</f>
        <v/>
      </c>
      <c r="AG233" s="3">
        <f>(S233-Pool!$D$7)/Pool!$E$7</f>
        <v/>
      </c>
      <c r="AH233" s="3">
        <f>(AS233-Pool!$D$8)/Pool!$E$8</f>
        <v/>
      </c>
      <c r="AI233" s="3">
        <f>(AT233-Pool!$D$9)/Pool!$E$9</f>
        <v/>
      </c>
      <c r="AJ233" s="3">
        <f>-(T233-Pool!$D$10)/Pool!$E$10</f>
        <v/>
      </c>
      <c r="AL233">
        <f>MATCH(B233,'Player Data'!$A:$A,0)</f>
        <v/>
      </c>
      <c r="AM233" s="3">
        <f>1+IF(Settings!$F$10="ON",IFERROR(VLOOKUP(TRIM(F233),Settings!$D$12:$F$17,3,FALSE),0),0)</f>
        <v/>
      </c>
      <c r="AN233">
        <f>IFERROR(LEFT(C233,FIND(",",C233)-1),C233)</f>
        <v/>
      </c>
      <c r="AO233" s="6">
        <f>X233*(U233-Pool!$B$12)</f>
        <v/>
      </c>
      <c r="AP233" s="6">
        <f>Z233*(V233-Pool!$B$13)</f>
        <v/>
      </c>
      <c r="AQ233" s="3">
        <f>Settings!$B$2*(N233-Pool!$B$2)/Pool!$C$2+Settings!$B$3*(O233-Pool!$B$3)/Pool!$C$3+Settings!$B$4*(P233-Pool!$B$4)/Pool!$C$4+Settings!$B$5*(Q233-Pool!$B$5)/Pool!$C$5+Settings!$B$6*(R233-Pool!$B$6)/Pool!$C$6+Settings!$B$7*(S233-Pool!$B$7)/Pool!$C$7+Settings!$B$8*(AO233-Pool!$B$8)/Pool!$C$8+Settings!$B$9*(AP233-Pool!$B$9)/Pool!$C$9+Settings!$B$10*-(T233-Pool!$B$10)/Pool!$C$10</f>
        <v/>
      </c>
      <c r="AR233">
        <f>IF(RANK(AQ233,$AQ$2:$AQ$266)&lt;=Settings!$F$5,1,0)</f>
        <v/>
      </c>
      <c r="AS233" s="6">
        <f>X233*(U233-Pool!$D$12)</f>
        <v/>
      </c>
      <c r="AT233" s="6">
        <f>Z233*(V233-Pool!$D$13)</f>
        <v/>
      </c>
    </row>
    <row r="234">
      <c r="A234">
        <f>RANK(H234,$H$2:$H$266)</f>
        <v/>
      </c>
      <c r="B234" t="inlineStr">
        <is>
          <t>Marvin Bagley III</t>
        </is>
      </c>
      <c r="C234">
        <f>INDEX('Player Data'!$C:$C,AL234)</f>
        <v/>
      </c>
      <c r="D234">
        <f>SUMPRODUCT(($AN$2:$AN$266=AN234)*($H$2:$H$266&gt;H234))+1</f>
        <v/>
      </c>
      <c r="E234">
        <f>INDEX('Player Data'!$B:$B,AL234)</f>
        <v/>
      </c>
      <c r="F234" s="2" t="n"/>
      <c r="G234" s="3">
        <f>Settings!$B$2*AB234+Settings!$B$3*AC234+Settings!$B$4*AD234+Settings!$B$5*AE234+Settings!$B$6*AF234+Settings!$B$7*AG234+Settings!$B$8*AH234+Settings!$B$9*AI234+Settings!$B$10*AJ234</f>
        <v/>
      </c>
      <c r="H234" s="3">
        <f>G234-LARGE($G$2:$G$266,Settings!$F$4)</f>
        <v/>
      </c>
      <c r="I234">
        <f>IF(INDEX('Player Data'!$R:$R,AL234)="","",INDEX('Player Data'!$R:$R,AL234))</f>
        <v/>
      </c>
      <c r="J234" s="4">
        <f>IF(I234="","",I234-A234)</f>
        <v/>
      </c>
      <c r="L234" s="5">
        <f>IF(Settings!$F$7="Yes",INDEX('Minutes &amp; Health'!$O:$O,AL234),Settings!$F$8)</f>
        <v/>
      </c>
      <c r="M234" s="6">
        <f>INDEX('Minutes &amp; Health'!$P:$P,AL234)</f>
        <v/>
      </c>
      <c r="N234" s="5">
        <f>INDEX('Player Data'!$F:$F,AL234)/INDEX('Player Data'!$E:$E,AL234)*M234*L234*AM234</f>
        <v/>
      </c>
      <c r="O234" s="5">
        <f>INDEX('Player Data'!$G:$G,AL234)/INDEX('Player Data'!$E:$E,AL234)*M234*L234*AM234</f>
        <v/>
      </c>
      <c r="P234" s="5">
        <f>INDEX('Player Data'!$H:$H,AL234)/INDEX('Player Data'!$E:$E,AL234)*M234*L234*AM234</f>
        <v/>
      </c>
      <c r="Q234" s="5">
        <f>INDEX('Player Data'!$I:$I,AL234)/INDEX('Player Data'!$E:$E,AL234)*M234*L234*AM234</f>
        <v/>
      </c>
      <c r="R234" s="5">
        <f>INDEX('Player Data'!$J:$J,AL234)/INDEX('Player Data'!$E:$E,AL234)*M234*L234*AM234</f>
        <v/>
      </c>
      <c r="S234" s="5">
        <f>INDEX('Player Data'!$K:$K,AL234)/INDEX('Player Data'!$E:$E,AL234)*M234*L234*AM234</f>
        <v/>
      </c>
      <c r="T234" s="5">
        <f>INDEX('Player Data'!$L:$L,AL234)/INDEX('Player Data'!$E:$E,AL234)*M234*L234*AM234</f>
        <v/>
      </c>
      <c r="U234" s="7">
        <f>INDEX('Player Data'!$M:$M,AL234)</f>
        <v/>
      </c>
      <c r="V234" s="7">
        <f>INDEX('Player Data'!$N:$N,AL234)</f>
        <v/>
      </c>
      <c r="W234" s="5">
        <f>X234*U234</f>
        <v/>
      </c>
      <c r="X234" s="5">
        <f>INDEX('Player Data'!$O:$O,AL234)/INDEX('Player Data'!$E:$E,AL234)*M234*L234*AM234</f>
        <v/>
      </c>
      <c r="Y234" s="5">
        <f>Z234*V234</f>
        <v/>
      </c>
      <c r="Z234" s="5">
        <f>INDEX('Player Data'!$P:$P,AL234)/INDEX('Player Data'!$E:$E,AL234)*M234*L234*AM234</f>
        <v/>
      </c>
      <c r="AB234" s="3">
        <f>(N234-Pool!$D$2)/Pool!$E$2</f>
        <v/>
      </c>
      <c r="AC234" s="3">
        <f>(O234-Pool!$D$3)/Pool!$E$3</f>
        <v/>
      </c>
      <c r="AD234" s="3">
        <f>(P234-Pool!$D$4)/Pool!$E$4</f>
        <v/>
      </c>
      <c r="AE234" s="3">
        <f>(Q234-Pool!$D$5)/Pool!$E$5</f>
        <v/>
      </c>
      <c r="AF234" s="3">
        <f>(R234-Pool!$D$6)/Pool!$E$6</f>
        <v/>
      </c>
      <c r="AG234" s="3">
        <f>(S234-Pool!$D$7)/Pool!$E$7</f>
        <v/>
      </c>
      <c r="AH234" s="3">
        <f>(AS234-Pool!$D$8)/Pool!$E$8</f>
        <v/>
      </c>
      <c r="AI234" s="3">
        <f>(AT234-Pool!$D$9)/Pool!$E$9</f>
        <v/>
      </c>
      <c r="AJ234" s="3">
        <f>-(T234-Pool!$D$10)/Pool!$E$10</f>
        <v/>
      </c>
      <c r="AL234">
        <f>MATCH(B234,'Player Data'!$A:$A,0)</f>
        <v/>
      </c>
      <c r="AM234" s="3">
        <f>1+IF(Settings!$F$10="ON",IFERROR(VLOOKUP(TRIM(F234),Settings!$D$12:$F$17,3,FALSE),0),0)</f>
        <v/>
      </c>
      <c r="AN234">
        <f>IFERROR(LEFT(C234,FIND(",",C234)-1),C234)</f>
        <v/>
      </c>
      <c r="AO234" s="6">
        <f>X234*(U234-Pool!$B$12)</f>
        <v/>
      </c>
      <c r="AP234" s="6">
        <f>Z234*(V234-Pool!$B$13)</f>
        <v/>
      </c>
      <c r="AQ234" s="3">
        <f>Settings!$B$2*(N234-Pool!$B$2)/Pool!$C$2+Settings!$B$3*(O234-Pool!$B$3)/Pool!$C$3+Settings!$B$4*(P234-Pool!$B$4)/Pool!$C$4+Settings!$B$5*(Q234-Pool!$B$5)/Pool!$C$5+Settings!$B$6*(R234-Pool!$B$6)/Pool!$C$6+Settings!$B$7*(S234-Pool!$B$7)/Pool!$C$7+Settings!$B$8*(AO234-Pool!$B$8)/Pool!$C$8+Settings!$B$9*(AP234-Pool!$B$9)/Pool!$C$9+Settings!$B$10*-(T234-Pool!$B$10)/Pool!$C$10</f>
        <v/>
      </c>
      <c r="AR234">
        <f>IF(RANK(AQ234,$AQ$2:$AQ$266)&lt;=Settings!$F$5,1,0)</f>
        <v/>
      </c>
      <c r="AS234" s="6">
        <f>X234*(U234-Pool!$D$12)</f>
        <v/>
      </c>
      <c r="AT234" s="6">
        <f>Z234*(V234-Pool!$D$13)</f>
        <v/>
      </c>
    </row>
    <row r="235">
      <c r="A235">
        <f>RANK(H235,$H$2:$H$266)</f>
        <v/>
      </c>
      <c r="B235" t="inlineStr">
        <is>
          <t>Adem Bona</t>
        </is>
      </c>
      <c r="C235">
        <f>INDEX('Player Data'!$C:$C,AL235)</f>
        <v/>
      </c>
      <c r="D235">
        <f>SUMPRODUCT(($AN$2:$AN$266=AN235)*($H$2:$H$266&gt;H235))+1</f>
        <v/>
      </c>
      <c r="E235">
        <f>INDEX('Player Data'!$B:$B,AL235)</f>
        <v/>
      </c>
      <c r="F235" s="2" t="n"/>
      <c r="G235" s="3">
        <f>Settings!$B$2*AB235+Settings!$B$3*AC235+Settings!$B$4*AD235+Settings!$B$5*AE235+Settings!$B$6*AF235+Settings!$B$7*AG235+Settings!$B$8*AH235+Settings!$B$9*AI235+Settings!$B$10*AJ235</f>
        <v/>
      </c>
      <c r="H235" s="3">
        <f>G235-LARGE($G$2:$G$266,Settings!$F$4)</f>
        <v/>
      </c>
      <c r="I235">
        <f>IF(INDEX('Player Data'!$R:$R,AL235)="","",INDEX('Player Data'!$R:$R,AL235))</f>
        <v/>
      </c>
      <c r="J235" s="4">
        <f>IF(I235="","",I235-A235)</f>
        <v/>
      </c>
      <c r="L235" s="5">
        <f>IF(Settings!$F$7="Yes",INDEX('Minutes &amp; Health'!$O:$O,AL235),Settings!$F$8)</f>
        <v/>
      </c>
      <c r="M235" s="6">
        <f>INDEX('Minutes &amp; Health'!$P:$P,AL235)</f>
        <v/>
      </c>
      <c r="N235" s="5">
        <f>INDEX('Player Data'!$F:$F,AL235)/INDEX('Player Data'!$E:$E,AL235)*M235*L235*AM235</f>
        <v/>
      </c>
      <c r="O235" s="5">
        <f>INDEX('Player Data'!$G:$G,AL235)/INDEX('Player Data'!$E:$E,AL235)*M235*L235*AM235</f>
        <v/>
      </c>
      <c r="P235" s="5">
        <f>INDEX('Player Data'!$H:$H,AL235)/INDEX('Player Data'!$E:$E,AL235)*M235*L235*AM235</f>
        <v/>
      </c>
      <c r="Q235" s="5">
        <f>INDEX('Player Data'!$I:$I,AL235)/INDEX('Player Data'!$E:$E,AL235)*M235*L235*AM235</f>
        <v/>
      </c>
      <c r="R235" s="5">
        <f>INDEX('Player Data'!$J:$J,AL235)/INDEX('Player Data'!$E:$E,AL235)*M235*L235*AM235</f>
        <v/>
      </c>
      <c r="S235" s="5">
        <f>INDEX('Player Data'!$K:$K,AL235)/INDEX('Player Data'!$E:$E,AL235)*M235*L235*AM235</f>
        <v/>
      </c>
      <c r="T235" s="5">
        <f>INDEX('Player Data'!$L:$L,AL235)/INDEX('Player Data'!$E:$E,AL235)*M235*L235*AM235</f>
        <v/>
      </c>
      <c r="U235" s="7">
        <f>INDEX('Player Data'!$M:$M,AL235)</f>
        <v/>
      </c>
      <c r="V235" s="7">
        <f>INDEX('Player Data'!$N:$N,AL235)</f>
        <v/>
      </c>
      <c r="W235" s="5">
        <f>X235*U235</f>
        <v/>
      </c>
      <c r="X235" s="5">
        <f>INDEX('Player Data'!$O:$O,AL235)/INDEX('Player Data'!$E:$E,AL235)*M235*L235*AM235</f>
        <v/>
      </c>
      <c r="Y235" s="5">
        <f>Z235*V235</f>
        <v/>
      </c>
      <c r="Z235" s="5">
        <f>INDEX('Player Data'!$P:$P,AL235)/INDEX('Player Data'!$E:$E,AL235)*M235*L235*AM235</f>
        <v/>
      </c>
      <c r="AB235" s="3">
        <f>(N235-Pool!$D$2)/Pool!$E$2</f>
        <v/>
      </c>
      <c r="AC235" s="3">
        <f>(O235-Pool!$D$3)/Pool!$E$3</f>
        <v/>
      </c>
      <c r="AD235" s="3">
        <f>(P235-Pool!$D$4)/Pool!$E$4</f>
        <v/>
      </c>
      <c r="AE235" s="3">
        <f>(Q235-Pool!$D$5)/Pool!$E$5</f>
        <v/>
      </c>
      <c r="AF235" s="3">
        <f>(R235-Pool!$D$6)/Pool!$E$6</f>
        <v/>
      </c>
      <c r="AG235" s="3">
        <f>(S235-Pool!$D$7)/Pool!$E$7</f>
        <v/>
      </c>
      <c r="AH235" s="3">
        <f>(AS235-Pool!$D$8)/Pool!$E$8</f>
        <v/>
      </c>
      <c r="AI235" s="3">
        <f>(AT235-Pool!$D$9)/Pool!$E$9</f>
        <v/>
      </c>
      <c r="AJ235" s="3">
        <f>-(T235-Pool!$D$10)/Pool!$E$10</f>
        <v/>
      </c>
      <c r="AL235">
        <f>MATCH(B235,'Player Data'!$A:$A,0)</f>
        <v/>
      </c>
      <c r="AM235" s="3">
        <f>1+IF(Settings!$F$10="ON",IFERROR(VLOOKUP(TRIM(F235),Settings!$D$12:$F$17,3,FALSE),0),0)</f>
        <v/>
      </c>
      <c r="AN235">
        <f>IFERROR(LEFT(C235,FIND(",",C235)-1),C235)</f>
        <v/>
      </c>
      <c r="AO235" s="6">
        <f>X235*(U235-Pool!$B$12)</f>
        <v/>
      </c>
      <c r="AP235" s="6">
        <f>Z235*(V235-Pool!$B$13)</f>
        <v/>
      </c>
      <c r="AQ235" s="3">
        <f>Settings!$B$2*(N235-Pool!$B$2)/Pool!$C$2+Settings!$B$3*(O235-Pool!$B$3)/Pool!$C$3+Settings!$B$4*(P235-Pool!$B$4)/Pool!$C$4+Settings!$B$5*(Q235-Pool!$B$5)/Pool!$C$5+Settings!$B$6*(R235-Pool!$B$6)/Pool!$C$6+Settings!$B$7*(S235-Pool!$B$7)/Pool!$C$7+Settings!$B$8*(AO235-Pool!$B$8)/Pool!$C$8+Settings!$B$9*(AP235-Pool!$B$9)/Pool!$C$9+Settings!$B$10*-(T235-Pool!$B$10)/Pool!$C$10</f>
        <v/>
      </c>
      <c r="AR235">
        <f>IF(RANK(AQ235,$AQ$2:$AQ$266)&lt;=Settings!$F$5,1,0)</f>
        <v/>
      </c>
      <c r="AS235" s="6">
        <f>X235*(U235-Pool!$D$12)</f>
        <v/>
      </c>
      <c r="AT235" s="6">
        <f>Z235*(V235-Pool!$D$13)</f>
        <v/>
      </c>
    </row>
    <row r="236">
      <c r="A236">
        <f>RANK(H236,$H$2:$H$266)</f>
        <v/>
      </c>
      <c r="B236" t="inlineStr">
        <is>
          <t>Khaman Maluach</t>
        </is>
      </c>
      <c r="C236">
        <f>INDEX('Player Data'!$C:$C,AL236)</f>
        <v/>
      </c>
      <c r="D236">
        <f>SUMPRODUCT(($AN$2:$AN$266=AN236)*($H$2:$H$266&gt;H236))+1</f>
        <v/>
      </c>
      <c r="E236">
        <f>INDEX('Player Data'!$B:$B,AL236)</f>
        <v/>
      </c>
      <c r="F236" s="2" t="n"/>
      <c r="G236" s="3">
        <f>Settings!$B$2*AB236+Settings!$B$3*AC236+Settings!$B$4*AD236+Settings!$B$5*AE236+Settings!$B$6*AF236+Settings!$B$7*AG236+Settings!$B$8*AH236+Settings!$B$9*AI236+Settings!$B$10*AJ236</f>
        <v/>
      </c>
      <c r="H236" s="3">
        <f>G236-LARGE($G$2:$G$266,Settings!$F$4)</f>
        <v/>
      </c>
      <c r="I236">
        <f>IF(INDEX('Player Data'!$R:$R,AL236)="","",INDEX('Player Data'!$R:$R,AL236))</f>
        <v/>
      </c>
      <c r="J236" s="4">
        <f>IF(I236="","",I236-A236)</f>
        <v/>
      </c>
      <c r="L236" s="5">
        <f>IF(Settings!$F$7="Yes",INDEX('Minutes &amp; Health'!$O:$O,AL236),Settings!$F$8)</f>
        <v/>
      </c>
      <c r="M236" s="6">
        <f>INDEX('Minutes &amp; Health'!$P:$P,AL236)</f>
        <v/>
      </c>
      <c r="N236" s="5">
        <f>INDEX('Player Data'!$F:$F,AL236)/INDEX('Player Data'!$E:$E,AL236)*M236*L236*AM236</f>
        <v/>
      </c>
      <c r="O236" s="5">
        <f>INDEX('Player Data'!$G:$G,AL236)/INDEX('Player Data'!$E:$E,AL236)*M236*L236*AM236</f>
        <v/>
      </c>
      <c r="P236" s="5">
        <f>INDEX('Player Data'!$H:$H,AL236)/INDEX('Player Data'!$E:$E,AL236)*M236*L236*AM236</f>
        <v/>
      </c>
      <c r="Q236" s="5">
        <f>INDEX('Player Data'!$I:$I,AL236)/INDEX('Player Data'!$E:$E,AL236)*M236*L236*AM236</f>
        <v/>
      </c>
      <c r="R236" s="5">
        <f>INDEX('Player Data'!$J:$J,AL236)/INDEX('Player Data'!$E:$E,AL236)*M236*L236*AM236</f>
        <v/>
      </c>
      <c r="S236" s="5">
        <f>INDEX('Player Data'!$K:$K,AL236)/INDEX('Player Data'!$E:$E,AL236)*M236*L236*AM236</f>
        <v/>
      </c>
      <c r="T236" s="5">
        <f>INDEX('Player Data'!$L:$L,AL236)/INDEX('Player Data'!$E:$E,AL236)*M236*L236*AM236</f>
        <v/>
      </c>
      <c r="U236" s="7">
        <f>INDEX('Player Data'!$M:$M,AL236)</f>
        <v/>
      </c>
      <c r="V236" s="7">
        <f>INDEX('Player Data'!$N:$N,AL236)</f>
        <v/>
      </c>
      <c r="W236" s="5">
        <f>X236*U236</f>
        <v/>
      </c>
      <c r="X236" s="5">
        <f>INDEX('Player Data'!$O:$O,AL236)/INDEX('Player Data'!$E:$E,AL236)*M236*L236*AM236</f>
        <v/>
      </c>
      <c r="Y236" s="5">
        <f>Z236*V236</f>
        <v/>
      </c>
      <c r="Z236" s="5">
        <f>INDEX('Player Data'!$P:$P,AL236)/INDEX('Player Data'!$E:$E,AL236)*M236*L236*AM236</f>
        <v/>
      </c>
      <c r="AB236" s="3">
        <f>(N236-Pool!$D$2)/Pool!$E$2</f>
        <v/>
      </c>
      <c r="AC236" s="3">
        <f>(O236-Pool!$D$3)/Pool!$E$3</f>
        <v/>
      </c>
      <c r="AD236" s="3">
        <f>(P236-Pool!$D$4)/Pool!$E$4</f>
        <v/>
      </c>
      <c r="AE236" s="3">
        <f>(Q236-Pool!$D$5)/Pool!$E$5</f>
        <v/>
      </c>
      <c r="AF236" s="3">
        <f>(R236-Pool!$D$6)/Pool!$E$6</f>
        <v/>
      </c>
      <c r="AG236" s="3">
        <f>(S236-Pool!$D$7)/Pool!$E$7</f>
        <v/>
      </c>
      <c r="AH236" s="3">
        <f>(AS236-Pool!$D$8)/Pool!$E$8</f>
        <v/>
      </c>
      <c r="AI236" s="3">
        <f>(AT236-Pool!$D$9)/Pool!$E$9</f>
        <v/>
      </c>
      <c r="AJ236" s="3">
        <f>-(T236-Pool!$D$10)/Pool!$E$10</f>
        <v/>
      </c>
      <c r="AL236">
        <f>MATCH(B236,'Player Data'!$A:$A,0)</f>
        <v/>
      </c>
      <c r="AM236" s="3">
        <f>1+IF(Settings!$F$10="ON",IFERROR(VLOOKUP(TRIM(F236),Settings!$D$12:$F$17,3,FALSE),0),0)</f>
        <v/>
      </c>
      <c r="AN236">
        <f>IFERROR(LEFT(C236,FIND(",",C236)-1),C236)</f>
        <v/>
      </c>
      <c r="AO236" s="6">
        <f>X236*(U236-Pool!$B$12)</f>
        <v/>
      </c>
      <c r="AP236" s="6">
        <f>Z236*(V236-Pool!$B$13)</f>
        <v/>
      </c>
      <c r="AQ236" s="3">
        <f>Settings!$B$2*(N236-Pool!$B$2)/Pool!$C$2+Settings!$B$3*(O236-Pool!$B$3)/Pool!$C$3+Settings!$B$4*(P236-Pool!$B$4)/Pool!$C$4+Settings!$B$5*(Q236-Pool!$B$5)/Pool!$C$5+Settings!$B$6*(R236-Pool!$B$6)/Pool!$C$6+Settings!$B$7*(S236-Pool!$B$7)/Pool!$C$7+Settings!$B$8*(AO236-Pool!$B$8)/Pool!$C$8+Settings!$B$9*(AP236-Pool!$B$9)/Pool!$C$9+Settings!$B$10*-(T236-Pool!$B$10)/Pool!$C$10</f>
        <v/>
      </c>
      <c r="AR236">
        <f>IF(RANK(AQ236,$AQ$2:$AQ$266)&lt;=Settings!$F$5,1,0)</f>
        <v/>
      </c>
      <c r="AS236" s="6">
        <f>X236*(U236-Pool!$D$12)</f>
        <v/>
      </c>
      <c r="AT236" s="6">
        <f>Z236*(V236-Pool!$D$13)</f>
        <v/>
      </c>
    </row>
    <row r="237">
      <c r="A237">
        <f>RANK(H237,$H$2:$H$266)</f>
        <v/>
      </c>
      <c r="B237" t="inlineStr">
        <is>
          <t>Bub Carrington</t>
        </is>
      </c>
      <c r="C237">
        <f>INDEX('Player Data'!$C:$C,AL237)</f>
        <v/>
      </c>
      <c r="D237">
        <f>SUMPRODUCT(($AN$2:$AN$266=AN237)*($H$2:$H$266&gt;H237))+1</f>
        <v/>
      </c>
      <c r="E237">
        <f>INDEX('Player Data'!$B:$B,AL237)</f>
        <v/>
      </c>
      <c r="F237" s="2" t="n"/>
      <c r="G237" s="3">
        <f>Settings!$B$2*AB237+Settings!$B$3*AC237+Settings!$B$4*AD237+Settings!$B$5*AE237+Settings!$B$6*AF237+Settings!$B$7*AG237+Settings!$B$8*AH237+Settings!$B$9*AI237+Settings!$B$10*AJ237</f>
        <v/>
      </c>
      <c r="H237" s="3">
        <f>G237-LARGE($G$2:$G$266,Settings!$F$4)</f>
        <v/>
      </c>
      <c r="I237">
        <f>IF(INDEX('Player Data'!$R:$R,AL237)="","",INDEX('Player Data'!$R:$R,AL237))</f>
        <v/>
      </c>
      <c r="J237" s="4">
        <f>IF(I237="","",I237-A237)</f>
        <v/>
      </c>
      <c r="L237" s="5">
        <f>IF(Settings!$F$7="Yes",INDEX('Minutes &amp; Health'!$O:$O,AL237),Settings!$F$8)</f>
        <v/>
      </c>
      <c r="M237" s="6">
        <f>INDEX('Minutes &amp; Health'!$P:$P,AL237)</f>
        <v/>
      </c>
      <c r="N237" s="5">
        <f>INDEX('Player Data'!$F:$F,AL237)/INDEX('Player Data'!$E:$E,AL237)*M237*L237*AM237</f>
        <v/>
      </c>
      <c r="O237" s="5">
        <f>INDEX('Player Data'!$G:$G,AL237)/INDEX('Player Data'!$E:$E,AL237)*M237*L237*AM237</f>
        <v/>
      </c>
      <c r="P237" s="5">
        <f>INDEX('Player Data'!$H:$H,AL237)/INDEX('Player Data'!$E:$E,AL237)*M237*L237*AM237</f>
        <v/>
      </c>
      <c r="Q237" s="5">
        <f>INDEX('Player Data'!$I:$I,AL237)/INDEX('Player Data'!$E:$E,AL237)*M237*L237*AM237</f>
        <v/>
      </c>
      <c r="R237" s="5">
        <f>INDEX('Player Data'!$J:$J,AL237)/INDEX('Player Data'!$E:$E,AL237)*M237*L237*AM237</f>
        <v/>
      </c>
      <c r="S237" s="5">
        <f>INDEX('Player Data'!$K:$K,AL237)/INDEX('Player Data'!$E:$E,AL237)*M237*L237*AM237</f>
        <v/>
      </c>
      <c r="T237" s="5">
        <f>INDEX('Player Data'!$L:$L,AL237)/INDEX('Player Data'!$E:$E,AL237)*M237*L237*AM237</f>
        <v/>
      </c>
      <c r="U237" s="7">
        <f>INDEX('Player Data'!$M:$M,AL237)</f>
        <v/>
      </c>
      <c r="V237" s="7">
        <f>INDEX('Player Data'!$N:$N,AL237)</f>
        <v/>
      </c>
      <c r="W237" s="5">
        <f>X237*U237</f>
        <v/>
      </c>
      <c r="X237" s="5">
        <f>INDEX('Player Data'!$O:$O,AL237)/INDEX('Player Data'!$E:$E,AL237)*M237*L237*AM237</f>
        <v/>
      </c>
      <c r="Y237" s="5">
        <f>Z237*V237</f>
        <v/>
      </c>
      <c r="Z237" s="5">
        <f>INDEX('Player Data'!$P:$P,AL237)/INDEX('Player Data'!$E:$E,AL237)*M237*L237*AM237</f>
        <v/>
      </c>
      <c r="AB237" s="3">
        <f>(N237-Pool!$D$2)/Pool!$E$2</f>
        <v/>
      </c>
      <c r="AC237" s="3">
        <f>(O237-Pool!$D$3)/Pool!$E$3</f>
        <v/>
      </c>
      <c r="AD237" s="3">
        <f>(P237-Pool!$D$4)/Pool!$E$4</f>
        <v/>
      </c>
      <c r="AE237" s="3">
        <f>(Q237-Pool!$D$5)/Pool!$E$5</f>
        <v/>
      </c>
      <c r="AF237" s="3">
        <f>(R237-Pool!$D$6)/Pool!$E$6</f>
        <v/>
      </c>
      <c r="AG237" s="3">
        <f>(S237-Pool!$D$7)/Pool!$E$7</f>
        <v/>
      </c>
      <c r="AH237" s="3">
        <f>(AS237-Pool!$D$8)/Pool!$E$8</f>
        <v/>
      </c>
      <c r="AI237" s="3">
        <f>(AT237-Pool!$D$9)/Pool!$E$9</f>
        <v/>
      </c>
      <c r="AJ237" s="3">
        <f>-(T237-Pool!$D$10)/Pool!$E$10</f>
        <v/>
      </c>
      <c r="AL237">
        <f>MATCH(B237,'Player Data'!$A:$A,0)</f>
        <v/>
      </c>
      <c r="AM237" s="3">
        <f>1+IF(Settings!$F$10="ON",IFERROR(VLOOKUP(TRIM(F237),Settings!$D$12:$F$17,3,FALSE),0),0)</f>
        <v/>
      </c>
      <c r="AN237">
        <f>IFERROR(LEFT(C237,FIND(",",C237)-1),C237)</f>
        <v/>
      </c>
      <c r="AO237" s="6">
        <f>X237*(U237-Pool!$B$12)</f>
        <v/>
      </c>
      <c r="AP237" s="6">
        <f>Z237*(V237-Pool!$B$13)</f>
        <v/>
      </c>
      <c r="AQ237" s="3">
        <f>Settings!$B$2*(N237-Pool!$B$2)/Pool!$C$2+Settings!$B$3*(O237-Pool!$B$3)/Pool!$C$3+Settings!$B$4*(P237-Pool!$B$4)/Pool!$C$4+Settings!$B$5*(Q237-Pool!$B$5)/Pool!$C$5+Settings!$B$6*(R237-Pool!$B$6)/Pool!$C$6+Settings!$B$7*(S237-Pool!$B$7)/Pool!$C$7+Settings!$B$8*(AO237-Pool!$B$8)/Pool!$C$8+Settings!$B$9*(AP237-Pool!$B$9)/Pool!$C$9+Settings!$B$10*-(T237-Pool!$B$10)/Pool!$C$10</f>
        <v/>
      </c>
      <c r="AR237">
        <f>IF(RANK(AQ237,$AQ$2:$AQ$266)&lt;=Settings!$F$5,1,0)</f>
        <v/>
      </c>
      <c r="AS237" s="6">
        <f>X237*(U237-Pool!$D$12)</f>
        <v/>
      </c>
      <c r="AT237" s="6">
        <f>Z237*(V237-Pool!$D$13)</f>
        <v/>
      </c>
    </row>
    <row r="238">
      <c r="A238">
        <f>RANK(H238,$H$2:$H$266)</f>
        <v/>
      </c>
      <c r="B238" t="inlineStr">
        <is>
          <t>Kyle Kuzma</t>
        </is>
      </c>
      <c r="C238">
        <f>INDEX('Player Data'!$C:$C,AL238)</f>
        <v/>
      </c>
      <c r="D238">
        <f>SUMPRODUCT(($AN$2:$AN$266=AN238)*($H$2:$H$266&gt;H238))+1</f>
        <v/>
      </c>
      <c r="E238">
        <f>INDEX('Player Data'!$B:$B,AL238)</f>
        <v/>
      </c>
      <c r="F238" s="2" t="n"/>
      <c r="G238" s="3">
        <f>Settings!$B$2*AB238+Settings!$B$3*AC238+Settings!$B$4*AD238+Settings!$B$5*AE238+Settings!$B$6*AF238+Settings!$B$7*AG238+Settings!$B$8*AH238+Settings!$B$9*AI238+Settings!$B$10*AJ238</f>
        <v/>
      </c>
      <c r="H238" s="3">
        <f>G238-LARGE($G$2:$G$266,Settings!$F$4)</f>
        <v/>
      </c>
      <c r="I238">
        <f>IF(INDEX('Player Data'!$R:$R,AL238)="","",INDEX('Player Data'!$R:$R,AL238))</f>
        <v/>
      </c>
      <c r="J238" s="4">
        <f>IF(I238="","",I238-A238)</f>
        <v/>
      </c>
      <c r="L238" s="5">
        <f>IF(Settings!$F$7="Yes",INDEX('Minutes &amp; Health'!$O:$O,AL238),Settings!$F$8)</f>
        <v/>
      </c>
      <c r="M238" s="6">
        <f>INDEX('Minutes &amp; Health'!$P:$P,AL238)</f>
        <v/>
      </c>
      <c r="N238" s="5">
        <f>INDEX('Player Data'!$F:$F,AL238)/INDEX('Player Data'!$E:$E,AL238)*M238*L238*AM238</f>
        <v/>
      </c>
      <c r="O238" s="5">
        <f>INDEX('Player Data'!$G:$G,AL238)/INDEX('Player Data'!$E:$E,AL238)*M238*L238*AM238</f>
        <v/>
      </c>
      <c r="P238" s="5">
        <f>INDEX('Player Data'!$H:$H,AL238)/INDEX('Player Data'!$E:$E,AL238)*M238*L238*AM238</f>
        <v/>
      </c>
      <c r="Q238" s="5">
        <f>INDEX('Player Data'!$I:$I,AL238)/INDEX('Player Data'!$E:$E,AL238)*M238*L238*AM238</f>
        <v/>
      </c>
      <c r="R238" s="5">
        <f>INDEX('Player Data'!$J:$J,AL238)/INDEX('Player Data'!$E:$E,AL238)*M238*L238*AM238</f>
        <v/>
      </c>
      <c r="S238" s="5">
        <f>INDEX('Player Data'!$K:$K,AL238)/INDEX('Player Data'!$E:$E,AL238)*M238*L238*AM238</f>
        <v/>
      </c>
      <c r="T238" s="5">
        <f>INDEX('Player Data'!$L:$L,AL238)/INDEX('Player Data'!$E:$E,AL238)*M238*L238*AM238</f>
        <v/>
      </c>
      <c r="U238" s="7">
        <f>INDEX('Player Data'!$M:$M,AL238)</f>
        <v/>
      </c>
      <c r="V238" s="7">
        <f>INDEX('Player Data'!$N:$N,AL238)</f>
        <v/>
      </c>
      <c r="W238" s="5">
        <f>X238*U238</f>
        <v/>
      </c>
      <c r="X238" s="5">
        <f>INDEX('Player Data'!$O:$O,AL238)/INDEX('Player Data'!$E:$E,AL238)*M238*L238*AM238</f>
        <v/>
      </c>
      <c r="Y238" s="5">
        <f>Z238*V238</f>
        <v/>
      </c>
      <c r="Z238" s="5">
        <f>INDEX('Player Data'!$P:$P,AL238)/INDEX('Player Data'!$E:$E,AL238)*M238*L238*AM238</f>
        <v/>
      </c>
      <c r="AB238" s="3">
        <f>(N238-Pool!$D$2)/Pool!$E$2</f>
        <v/>
      </c>
      <c r="AC238" s="3">
        <f>(O238-Pool!$D$3)/Pool!$E$3</f>
        <v/>
      </c>
      <c r="AD238" s="3">
        <f>(P238-Pool!$D$4)/Pool!$E$4</f>
        <v/>
      </c>
      <c r="AE238" s="3">
        <f>(Q238-Pool!$D$5)/Pool!$E$5</f>
        <v/>
      </c>
      <c r="AF238" s="3">
        <f>(R238-Pool!$D$6)/Pool!$E$6</f>
        <v/>
      </c>
      <c r="AG238" s="3">
        <f>(S238-Pool!$D$7)/Pool!$E$7</f>
        <v/>
      </c>
      <c r="AH238" s="3">
        <f>(AS238-Pool!$D$8)/Pool!$E$8</f>
        <v/>
      </c>
      <c r="AI238" s="3">
        <f>(AT238-Pool!$D$9)/Pool!$E$9</f>
        <v/>
      </c>
      <c r="AJ238" s="3">
        <f>-(T238-Pool!$D$10)/Pool!$E$10</f>
        <v/>
      </c>
      <c r="AL238">
        <f>MATCH(B238,'Player Data'!$A:$A,0)</f>
        <v/>
      </c>
      <c r="AM238" s="3">
        <f>1+IF(Settings!$F$10="ON",IFERROR(VLOOKUP(TRIM(F238),Settings!$D$12:$F$17,3,FALSE),0),0)</f>
        <v/>
      </c>
      <c r="AN238">
        <f>IFERROR(LEFT(C238,FIND(",",C238)-1),C238)</f>
        <v/>
      </c>
      <c r="AO238" s="6">
        <f>X238*(U238-Pool!$B$12)</f>
        <v/>
      </c>
      <c r="AP238" s="6">
        <f>Z238*(V238-Pool!$B$13)</f>
        <v/>
      </c>
      <c r="AQ238" s="3">
        <f>Settings!$B$2*(N238-Pool!$B$2)/Pool!$C$2+Settings!$B$3*(O238-Pool!$B$3)/Pool!$C$3+Settings!$B$4*(P238-Pool!$B$4)/Pool!$C$4+Settings!$B$5*(Q238-Pool!$B$5)/Pool!$C$5+Settings!$B$6*(R238-Pool!$B$6)/Pool!$C$6+Settings!$B$7*(S238-Pool!$B$7)/Pool!$C$7+Settings!$B$8*(AO238-Pool!$B$8)/Pool!$C$8+Settings!$B$9*(AP238-Pool!$B$9)/Pool!$C$9+Settings!$B$10*-(T238-Pool!$B$10)/Pool!$C$10</f>
        <v/>
      </c>
      <c r="AR238">
        <f>IF(RANK(AQ238,$AQ$2:$AQ$266)&lt;=Settings!$F$5,1,0)</f>
        <v/>
      </c>
      <c r="AS238" s="6">
        <f>X238*(U238-Pool!$D$12)</f>
        <v/>
      </c>
      <c r="AT238" s="6">
        <f>Z238*(V238-Pool!$D$13)</f>
        <v/>
      </c>
    </row>
    <row r="239">
      <c r="A239">
        <f>RANK(H239,$H$2:$H$266)</f>
        <v/>
      </c>
      <c r="B239" t="inlineStr">
        <is>
          <t>Grant Williams</t>
        </is>
      </c>
      <c r="C239">
        <f>INDEX('Player Data'!$C:$C,AL239)</f>
        <v/>
      </c>
      <c r="D239">
        <f>SUMPRODUCT(($AN$2:$AN$266=AN239)*($H$2:$H$266&gt;H239))+1</f>
        <v/>
      </c>
      <c r="E239">
        <f>INDEX('Player Data'!$B:$B,AL239)</f>
        <v/>
      </c>
      <c r="F239" s="2" t="n"/>
      <c r="G239" s="3">
        <f>Settings!$B$2*AB239+Settings!$B$3*AC239+Settings!$B$4*AD239+Settings!$B$5*AE239+Settings!$B$6*AF239+Settings!$B$7*AG239+Settings!$B$8*AH239+Settings!$B$9*AI239+Settings!$B$10*AJ239</f>
        <v/>
      </c>
      <c r="H239" s="3">
        <f>G239-LARGE($G$2:$G$266,Settings!$F$4)</f>
        <v/>
      </c>
      <c r="I239">
        <f>IF(INDEX('Player Data'!$R:$R,AL239)="","",INDEX('Player Data'!$R:$R,AL239))</f>
        <v/>
      </c>
      <c r="J239" s="4">
        <f>IF(I239="","",I239-A239)</f>
        <v/>
      </c>
      <c r="L239" s="5">
        <f>IF(Settings!$F$7="Yes",INDEX('Minutes &amp; Health'!$O:$O,AL239),Settings!$F$8)</f>
        <v/>
      </c>
      <c r="M239" s="6">
        <f>INDEX('Minutes &amp; Health'!$P:$P,AL239)</f>
        <v/>
      </c>
      <c r="N239" s="5">
        <f>INDEX('Player Data'!$F:$F,AL239)/INDEX('Player Data'!$E:$E,AL239)*M239*L239*AM239</f>
        <v/>
      </c>
      <c r="O239" s="5">
        <f>INDEX('Player Data'!$G:$G,AL239)/INDEX('Player Data'!$E:$E,AL239)*M239*L239*AM239</f>
        <v/>
      </c>
      <c r="P239" s="5">
        <f>INDEX('Player Data'!$H:$H,AL239)/INDEX('Player Data'!$E:$E,AL239)*M239*L239*AM239</f>
        <v/>
      </c>
      <c r="Q239" s="5">
        <f>INDEX('Player Data'!$I:$I,AL239)/INDEX('Player Data'!$E:$E,AL239)*M239*L239*AM239</f>
        <v/>
      </c>
      <c r="R239" s="5">
        <f>INDEX('Player Data'!$J:$J,AL239)/INDEX('Player Data'!$E:$E,AL239)*M239*L239*AM239</f>
        <v/>
      </c>
      <c r="S239" s="5">
        <f>INDEX('Player Data'!$K:$K,AL239)/INDEX('Player Data'!$E:$E,AL239)*M239*L239*AM239</f>
        <v/>
      </c>
      <c r="T239" s="5">
        <f>INDEX('Player Data'!$L:$L,AL239)/INDEX('Player Data'!$E:$E,AL239)*M239*L239*AM239</f>
        <v/>
      </c>
      <c r="U239" s="7">
        <f>INDEX('Player Data'!$M:$M,AL239)</f>
        <v/>
      </c>
      <c r="V239" s="7">
        <f>INDEX('Player Data'!$N:$N,AL239)</f>
        <v/>
      </c>
      <c r="W239" s="5">
        <f>X239*U239</f>
        <v/>
      </c>
      <c r="X239" s="5">
        <f>INDEX('Player Data'!$O:$O,AL239)/INDEX('Player Data'!$E:$E,AL239)*M239*L239*AM239</f>
        <v/>
      </c>
      <c r="Y239" s="5">
        <f>Z239*V239</f>
        <v/>
      </c>
      <c r="Z239" s="5">
        <f>INDEX('Player Data'!$P:$P,AL239)/INDEX('Player Data'!$E:$E,AL239)*M239*L239*AM239</f>
        <v/>
      </c>
      <c r="AB239" s="3">
        <f>(N239-Pool!$D$2)/Pool!$E$2</f>
        <v/>
      </c>
      <c r="AC239" s="3">
        <f>(O239-Pool!$D$3)/Pool!$E$3</f>
        <v/>
      </c>
      <c r="AD239" s="3">
        <f>(P239-Pool!$D$4)/Pool!$E$4</f>
        <v/>
      </c>
      <c r="AE239" s="3">
        <f>(Q239-Pool!$D$5)/Pool!$E$5</f>
        <v/>
      </c>
      <c r="AF239" s="3">
        <f>(R239-Pool!$D$6)/Pool!$E$6</f>
        <v/>
      </c>
      <c r="AG239" s="3">
        <f>(S239-Pool!$D$7)/Pool!$E$7</f>
        <v/>
      </c>
      <c r="AH239" s="3">
        <f>(AS239-Pool!$D$8)/Pool!$E$8</f>
        <v/>
      </c>
      <c r="AI239" s="3">
        <f>(AT239-Pool!$D$9)/Pool!$E$9</f>
        <v/>
      </c>
      <c r="AJ239" s="3">
        <f>-(T239-Pool!$D$10)/Pool!$E$10</f>
        <v/>
      </c>
      <c r="AL239">
        <f>MATCH(B239,'Player Data'!$A:$A,0)</f>
        <v/>
      </c>
      <c r="AM239" s="3">
        <f>1+IF(Settings!$F$10="ON",IFERROR(VLOOKUP(TRIM(F239),Settings!$D$12:$F$17,3,FALSE),0),0)</f>
        <v/>
      </c>
      <c r="AN239">
        <f>IFERROR(LEFT(C239,FIND(",",C239)-1),C239)</f>
        <v/>
      </c>
      <c r="AO239" s="6">
        <f>X239*(U239-Pool!$B$12)</f>
        <v/>
      </c>
      <c r="AP239" s="6">
        <f>Z239*(V239-Pool!$B$13)</f>
        <v/>
      </c>
      <c r="AQ239" s="3">
        <f>Settings!$B$2*(N239-Pool!$B$2)/Pool!$C$2+Settings!$B$3*(O239-Pool!$B$3)/Pool!$C$3+Settings!$B$4*(P239-Pool!$B$4)/Pool!$C$4+Settings!$B$5*(Q239-Pool!$B$5)/Pool!$C$5+Settings!$B$6*(R239-Pool!$B$6)/Pool!$C$6+Settings!$B$7*(S239-Pool!$B$7)/Pool!$C$7+Settings!$B$8*(AO239-Pool!$B$8)/Pool!$C$8+Settings!$B$9*(AP239-Pool!$B$9)/Pool!$C$9+Settings!$B$10*-(T239-Pool!$B$10)/Pool!$C$10</f>
        <v/>
      </c>
      <c r="AR239">
        <f>IF(RANK(AQ239,$AQ$2:$AQ$266)&lt;=Settings!$F$5,1,0)</f>
        <v/>
      </c>
      <c r="AS239" s="6">
        <f>X239*(U239-Pool!$D$12)</f>
        <v/>
      </c>
      <c r="AT239" s="6">
        <f>Z239*(V239-Pool!$D$13)</f>
        <v/>
      </c>
    </row>
    <row r="240">
      <c r="A240">
        <f>RANK(H240,$H$2:$H$266)</f>
        <v/>
      </c>
      <c r="B240" t="inlineStr">
        <is>
          <t>Mike Conley</t>
        </is>
      </c>
      <c r="C240">
        <f>INDEX('Player Data'!$C:$C,AL240)</f>
        <v/>
      </c>
      <c r="D240">
        <f>SUMPRODUCT(($AN$2:$AN$266=AN240)*($H$2:$H$266&gt;H240))+1</f>
        <v/>
      </c>
      <c r="E240">
        <f>INDEX('Player Data'!$B:$B,AL240)</f>
        <v/>
      </c>
      <c r="F240" s="2" t="n"/>
      <c r="G240" s="3">
        <f>Settings!$B$2*AB240+Settings!$B$3*AC240+Settings!$B$4*AD240+Settings!$B$5*AE240+Settings!$B$6*AF240+Settings!$B$7*AG240+Settings!$B$8*AH240+Settings!$B$9*AI240+Settings!$B$10*AJ240</f>
        <v/>
      </c>
      <c r="H240" s="3">
        <f>G240-LARGE($G$2:$G$266,Settings!$F$4)</f>
        <v/>
      </c>
      <c r="I240">
        <f>IF(INDEX('Player Data'!$R:$R,AL240)="","",INDEX('Player Data'!$R:$R,AL240))</f>
        <v/>
      </c>
      <c r="J240" s="4">
        <f>IF(I240="","",I240-A240)</f>
        <v/>
      </c>
      <c r="L240" s="5">
        <f>IF(Settings!$F$7="Yes",INDEX('Minutes &amp; Health'!$O:$O,AL240),Settings!$F$8)</f>
        <v/>
      </c>
      <c r="M240" s="6">
        <f>INDEX('Minutes &amp; Health'!$P:$P,AL240)</f>
        <v/>
      </c>
      <c r="N240" s="5">
        <f>INDEX('Player Data'!$F:$F,AL240)/INDEX('Player Data'!$E:$E,AL240)*M240*L240*AM240</f>
        <v/>
      </c>
      <c r="O240" s="5">
        <f>INDEX('Player Data'!$G:$G,AL240)/INDEX('Player Data'!$E:$E,AL240)*M240*L240*AM240</f>
        <v/>
      </c>
      <c r="P240" s="5">
        <f>INDEX('Player Data'!$H:$H,AL240)/INDEX('Player Data'!$E:$E,AL240)*M240*L240*AM240</f>
        <v/>
      </c>
      <c r="Q240" s="5">
        <f>INDEX('Player Data'!$I:$I,AL240)/INDEX('Player Data'!$E:$E,AL240)*M240*L240*AM240</f>
        <v/>
      </c>
      <c r="R240" s="5">
        <f>INDEX('Player Data'!$J:$J,AL240)/INDEX('Player Data'!$E:$E,AL240)*M240*L240*AM240</f>
        <v/>
      </c>
      <c r="S240" s="5">
        <f>INDEX('Player Data'!$K:$K,AL240)/INDEX('Player Data'!$E:$E,AL240)*M240*L240*AM240</f>
        <v/>
      </c>
      <c r="T240" s="5">
        <f>INDEX('Player Data'!$L:$L,AL240)/INDEX('Player Data'!$E:$E,AL240)*M240*L240*AM240</f>
        <v/>
      </c>
      <c r="U240" s="7">
        <f>INDEX('Player Data'!$M:$M,AL240)</f>
        <v/>
      </c>
      <c r="V240" s="7">
        <f>INDEX('Player Data'!$N:$N,AL240)</f>
        <v/>
      </c>
      <c r="W240" s="5">
        <f>X240*U240</f>
        <v/>
      </c>
      <c r="X240" s="5">
        <f>INDEX('Player Data'!$O:$O,AL240)/INDEX('Player Data'!$E:$E,AL240)*M240*L240*AM240</f>
        <v/>
      </c>
      <c r="Y240" s="5">
        <f>Z240*V240</f>
        <v/>
      </c>
      <c r="Z240" s="5">
        <f>INDEX('Player Data'!$P:$P,AL240)/INDEX('Player Data'!$E:$E,AL240)*M240*L240*AM240</f>
        <v/>
      </c>
      <c r="AB240" s="3">
        <f>(N240-Pool!$D$2)/Pool!$E$2</f>
        <v/>
      </c>
      <c r="AC240" s="3">
        <f>(O240-Pool!$D$3)/Pool!$E$3</f>
        <v/>
      </c>
      <c r="AD240" s="3">
        <f>(P240-Pool!$D$4)/Pool!$E$4</f>
        <v/>
      </c>
      <c r="AE240" s="3">
        <f>(Q240-Pool!$D$5)/Pool!$E$5</f>
        <v/>
      </c>
      <c r="AF240" s="3">
        <f>(R240-Pool!$D$6)/Pool!$E$6</f>
        <v/>
      </c>
      <c r="AG240" s="3">
        <f>(S240-Pool!$D$7)/Pool!$E$7</f>
        <v/>
      </c>
      <c r="AH240" s="3">
        <f>(AS240-Pool!$D$8)/Pool!$E$8</f>
        <v/>
      </c>
      <c r="AI240" s="3">
        <f>(AT240-Pool!$D$9)/Pool!$E$9</f>
        <v/>
      </c>
      <c r="AJ240" s="3">
        <f>-(T240-Pool!$D$10)/Pool!$E$10</f>
        <v/>
      </c>
      <c r="AL240">
        <f>MATCH(B240,'Player Data'!$A:$A,0)</f>
        <v/>
      </c>
      <c r="AM240" s="3">
        <f>1+IF(Settings!$F$10="ON",IFERROR(VLOOKUP(TRIM(F240),Settings!$D$12:$F$17,3,FALSE),0),0)</f>
        <v/>
      </c>
      <c r="AN240">
        <f>IFERROR(LEFT(C240,FIND(",",C240)-1),C240)</f>
        <v/>
      </c>
      <c r="AO240" s="6">
        <f>X240*(U240-Pool!$B$12)</f>
        <v/>
      </c>
      <c r="AP240" s="6">
        <f>Z240*(V240-Pool!$B$13)</f>
        <v/>
      </c>
      <c r="AQ240" s="3">
        <f>Settings!$B$2*(N240-Pool!$B$2)/Pool!$C$2+Settings!$B$3*(O240-Pool!$B$3)/Pool!$C$3+Settings!$B$4*(P240-Pool!$B$4)/Pool!$C$4+Settings!$B$5*(Q240-Pool!$B$5)/Pool!$C$5+Settings!$B$6*(R240-Pool!$B$6)/Pool!$C$6+Settings!$B$7*(S240-Pool!$B$7)/Pool!$C$7+Settings!$B$8*(AO240-Pool!$B$8)/Pool!$C$8+Settings!$B$9*(AP240-Pool!$B$9)/Pool!$C$9+Settings!$B$10*-(T240-Pool!$B$10)/Pool!$C$10</f>
        <v/>
      </c>
      <c r="AR240">
        <f>IF(RANK(AQ240,$AQ$2:$AQ$266)&lt;=Settings!$F$5,1,0)</f>
        <v/>
      </c>
      <c r="AS240" s="6">
        <f>X240*(U240-Pool!$D$12)</f>
        <v/>
      </c>
      <c r="AT240" s="6">
        <f>Z240*(V240-Pool!$D$13)</f>
        <v/>
      </c>
    </row>
    <row r="241">
      <c r="A241">
        <f>RANK(H241,$H$2:$H$266)</f>
        <v/>
      </c>
      <c r="B241" t="inlineStr">
        <is>
          <t>Kyle Anderson</t>
        </is>
      </c>
      <c r="C241">
        <f>INDEX('Player Data'!$C:$C,AL241)</f>
        <v/>
      </c>
      <c r="D241">
        <f>SUMPRODUCT(($AN$2:$AN$266=AN241)*($H$2:$H$266&gt;H241))+1</f>
        <v/>
      </c>
      <c r="E241">
        <f>INDEX('Player Data'!$B:$B,AL241)</f>
        <v/>
      </c>
      <c r="F241" s="2" t="n"/>
      <c r="G241" s="3">
        <f>Settings!$B$2*AB241+Settings!$B$3*AC241+Settings!$B$4*AD241+Settings!$B$5*AE241+Settings!$B$6*AF241+Settings!$B$7*AG241+Settings!$B$8*AH241+Settings!$B$9*AI241+Settings!$B$10*AJ241</f>
        <v/>
      </c>
      <c r="H241" s="3">
        <f>G241-LARGE($G$2:$G$266,Settings!$F$4)</f>
        <v/>
      </c>
      <c r="I241">
        <f>IF(INDEX('Player Data'!$R:$R,AL241)="","",INDEX('Player Data'!$R:$R,AL241))</f>
        <v/>
      </c>
      <c r="J241" s="4">
        <f>IF(I241="","",I241-A241)</f>
        <v/>
      </c>
      <c r="L241" s="5">
        <f>IF(Settings!$F$7="Yes",INDEX('Minutes &amp; Health'!$O:$O,AL241),Settings!$F$8)</f>
        <v/>
      </c>
      <c r="M241" s="6">
        <f>INDEX('Minutes &amp; Health'!$P:$P,AL241)</f>
        <v/>
      </c>
      <c r="N241" s="5">
        <f>INDEX('Player Data'!$F:$F,AL241)/INDEX('Player Data'!$E:$E,AL241)*M241*L241*AM241</f>
        <v/>
      </c>
      <c r="O241" s="5">
        <f>INDEX('Player Data'!$G:$G,AL241)/INDEX('Player Data'!$E:$E,AL241)*M241*L241*AM241</f>
        <v/>
      </c>
      <c r="P241" s="5">
        <f>INDEX('Player Data'!$H:$H,AL241)/INDEX('Player Data'!$E:$E,AL241)*M241*L241*AM241</f>
        <v/>
      </c>
      <c r="Q241" s="5">
        <f>INDEX('Player Data'!$I:$I,AL241)/INDEX('Player Data'!$E:$E,AL241)*M241*L241*AM241</f>
        <v/>
      </c>
      <c r="R241" s="5">
        <f>INDEX('Player Data'!$J:$J,AL241)/INDEX('Player Data'!$E:$E,AL241)*M241*L241*AM241</f>
        <v/>
      </c>
      <c r="S241" s="5">
        <f>INDEX('Player Data'!$K:$K,AL241)/INDEX('Player Data'!$E:$E,AL241)*M241*L241*AM241</f>
        <v/>
      </c>
      <c r="T241" s="5">
        <f>INDEX('Player Data'!$L:$L,AL241)/INDEX('Player Data'!$E:$E,AL241)*M241*L241*AM241</f>
        <v/>
      </c>
      <c r="U241" s="7">
        <f>INDEX('Player Data'!$M:$M,AL241)</f>
        <v/>
      </c>
      <c r="V241" s="7">
        <f>INDEX('Player Data'!$N:$N,AL241)</f>
        <v/>
      </c>
      <c r="W241" s="5">
        <f>X241*U241</f>
        <v/>
      </c>
      <c r="X241" s="5">
        <f>INDEX('Player Data'!$O:$O,AL241)/INDEX('Player Data'!$E:$E,AL241)*M241*L241*AM241</f>
        <v/>
      </c>
      <c r="Y241" s="5">
        <f>Z241*V241</f>
        <v/>
      </c>
      <c r="Z241" s="5">
        <f>INDEX('Player Data'!$P:$P,AL241)/INDEX('Player Data'!$E:$E,AL241)*M241*L241*AM241</f>
        <v/>
      </c>
      <c r="AB241" s="3">
        <f>(N241-Pool!$D$2)/Pool!$E$2</f>
        <v/>
      </c>
      <c r="AC241" s="3">
        <f>(O241-Pool!$D$3)/Pool!$E$3</f>
        <v/>
      </c>
      <c r="AD241" s="3">
        <f>(P241-Pool!$D$4)/Pool!$E$4</f>
        <v/>
      </c>
      <c r="AE241" s="3">
        <f>(Q241-Pool!$D$5)/Pool!$E$5</f>
        <v/>
      </c>
      <c r="AF241" s="3">
        <f>(R241-Pool!$D$6)/Pool!$E$6</f>
        <v/>
      </c>
      <c r="AG241" s="3">
        <f>(S241-Pool!$D$7)/Pool!$E$7</f>
        <v/>
      </c>
      <c r="AH241" s="3">
        <f>(AS241-Pool!$D$8)/Pool!$E$8</f>
        <v/>
      </c>
      <c r="AI241" s="3">
        <f>(AT241-Pool!$D$9)/Pool!$E$9</f>
        <v/>
      </c>
      <c r="AJ241" s="3">
        <f>-(T241-Pool!$D$10)/Pool!$E$10</f>
        <v/>
      </c>
      <c r="AL241">
        <f>MATCH(B241,'Player Data'!$A:$A,0)</f>
        <v/>
      </c>
      <c r="AM241" s="3">
        <f>1+IF(Settings!$F$10="ON",IFERROR(VLOOKUP(TRIM(F241),Settings!$D$12:$F$17,3,FALSE),0),0)</f>
        <v/>
      </c>
      <c r="AN241">
        <f>IFERROR(LEFT(C241,FIND(",",C241)-1),C241)</f>
        <v/>
      </c>
      <c r="AO241" s="6">
        <f>X241*(U241-Pool!$B$12)</f>
        <v/>
      </c>
      <c r="AP241" s="6">
        <f>Z241*(V241-Pool!$B$13)</f>
        <v/>
      </c>
      <c r="AQ241" s="3">
        <f>Settings!$B$2*(N241-Pool!$B$2)/Pool!$C$2+Settings!$B$3*(O241-Pool!$B$3)/Pool!$C$3+Settings!$B$4*(P241-Pool!$B$4)/Pool!$C$4+Settings!$B$5*(Q241-Pool!$B$5)/Pool!$C$5+Settings!$B$6*(R241-Pool!$B$6)/Pool!$C$6+Settings!$B$7*(S241-Pool!$B$7)/Pool!$C$7+Settings!$B$8*(AO241-Pool!$B$8)/Pool!$C$8+Settings!$B$9*(AP241-Pool!$B$9)/Pool!$C$9+Settings!$B$10*-(T241-Pool!$B$10)/Pool!$C$10</f>
        <v/>
      </c>
      <c r="AR241">
        <f>IF(RANK(AQ241,$AQ$2:$AQ$266)&lt;=Settings!$F$5,1,0)</f>
        <v/>
      </c>
      <c r="AS241" s="6">
        <f>X241*(U241-Pool!$D$12)</f>
        <v/>
      </c>
      <c r="AT241" s="6">
        <f>Z241*(V241-Pool!$D$13)</f>
        <v/>
      </c>
    </row>
    <row r="242">
      <c r="A242">
        <f>RANK(H242,$H$2:$H$266)</f>
        <v/>
      </c>
      <c r="B242" t="inlineStr">
        <is>
          <t>Mouhamed Gueye</t>
        </is>
      </c>
      <c r="C242">
        <f>INDEX('Player Data'!$C:$C,AL242)</f>
        <v/>
      </c>
      <c r="D242">
        <f>SUMPRODUCT(($AN$2:$AN$266=AN242)*($H$2:$H$266&gt;H242))+1</f>
        <v/>
      </c>
      <c r="E242">
        <f>INDEX('Player Data'!$B:$B,AL242)</f>
        <v/>
      </c>
      <c r="F242" s="2" t="n"/>
      <c r="G242" s="3">
        <f>Settings!$B$2*AB242+Settings!$B$3*AC242+Settings!$B$4*AD242+Settings!$B$5*AE242+Settings!$B$6*AF242+Settings!$B$7*AG242+Settings!$B$8*AH242+Settings!$B$9*AI242+Settings!$B$10*AJ242</f>
        <v/>
      </c>
      <c r="H242" s="3">
        <f>G242-LARGE($G$2:$G$266,Settings!$F$4)</f>
        <v/>
      </c>
      <c r="I242">
        <f>IF(INDEX('Player Data'!$R:$R,AL242)="","",INDEX('Player Data'!$R:$R,AL242))</f>
        <v/>
      </c>
      <c r="J242" s="4">
        <f>IF(I242="","",I242-A242)</f>
        <v/>
      </c>
      <c r="L242" s="5">
        <f>IF(Settings!$F$7="Yes",INDEX('Minutes &amp; Health'!$O:$O,AL242),Settings!$F$8)</f>
        <v/>
      </c>
      <c r="M242" s="6">
        <f>INDEX('Minutes &amp; Health'!$P:$P,AL242)</f>
        <v/>
      </c>
      <c r="N242" s="5">
        <f>INDEX('Player Data'!$F:$F,AL242)/INDEX('Player Data'!$E:$E,AL242)*M242*L242*AM242</f>
        <v/>
      </c>
      <c r="O242" s="5">
        <f>INDEX('Player Data'!$G:$G,AL242)/INDEX('Player Data'!$E:$E,AL242)*M242*L242*AM242</f>
        <v/>
      </c>
      <c r="P242" s="5">
        <f>INDEX('Player Data'!$H:$H,AL242)/INDEX('Player Data'!$E:$E,AL242)*M242*L242*AM242</f>
        <v/>
      </c>
      <c r="Q242" s="5">
        <f>INDEX('Player Data'!$I:$I,AL242)/INDEX('Player Data'!$E:$E,AL242)*M242*L242*AM242</f>
        <v/>
      </c>
      <c r="R242" s="5">
        <f>INDEX('Player Data'!$J:$J,AL242)/INDEX('Player Data'!$E:$E,AL242)*M242*L242*AM242</f>
        <v/>
      </c>
      <c r="S242" s="5">
        <f>INDEX('Player Data'!$K:$K,AL242)/INDEX('Player Data'!$E:$E,AL242)*M242*L242*AM242</f>
        <v/>
      </c>
      <c r="T242" s="5">
        <f>INDEX('Player Data'!$L:$L,AL242)/INDEX('Player Data'!$E:$E,AL242)*M242*L242*AM242</f>
        <v/>
      </c>
      <c r="U242" s="7">
        <f>INDEX('Player Data'!$M:$M,AL242)</f>
        <v/>
      </c>
      <c r="V242" s="7">
        <f>INDEX('Player Data'!$N:$N,AL242)</f>
        <v/>
      </c>
      <c r="W242" s="5">
        <f>X242*U242</f>
        <v/>
      </c>
      <c r="X242" s="5">
        <f>INDEX('Player Data'!$O:$O,AL242)/INDEX('Player Data'!$E:$E,AL242)*M242*L242*AM242</f>
        <v/>
      </c>
      <c r="Y242" s="5">
        <f>Z242*V242</f>
        <v/>
      </c>
      <c r="Z242" s="5">
        <f>INDEX('Player Data'!$P:$P,AL242)/INDEX('Player Data'!$E:$E,AL242)*M242*L242*AM242</f>
        <v/>
      </c>
      <c r="AB242" s="3">
        <f>(N242-Pool!$D$2)/Pool!$E$2</f>
        <v/>
      </c>
      <c r="AC242" s="3">
        <f>(O242-Pool!$D$3)/Pool!$E$3</f>
        <v/>
      </c>
      <c r="AD242" s="3">
        <f>(P242-Pool!$D$4)/Pool!$E$4</f>
        <v/>
      </c>
      <c r="AE242" s="3">
        <f>(Q242-Pool!$D$5)/Pool!$E$5</f>
        <v/>
      </c>
      <c r="AF242" s="3">
        <f>(R242-Pool!$D$6)/Pool!$E$6</f>
        <v/>
      </c>
      <c r="AG242" s="3">
        <f>(S242-Pool!$D$7)/Pool!$E$7</f>
        <v/>
      </c>
      <c r="AH242" s="3">
        <f>(AS242-Pool!$D$8)/Pool!$E$8</f>
        <v/>
      </c>
      <c r="AI242" s="3">
        <f>(AT242-Pool!$D$9)/Pool!$E$9</f>
        <v/>
      </c>
      <c r="AJ242" s="3">
        <f>-(T242-Pool!$D$10)/Pool!$E$10</f>
        <v/>
      </c>
      <c r="AL242">
        <f>MATCH(B242,'Player Data'!$A:$A,0)</f>
        <v/>
      </c>
      <c r="AM242" s="3">
        <f>1+IF(Settings!$F$10="ON",IFERROR(VLOOKUP(TRIM(F242),Settings!$D$12:$F$17,3,FALSE),0),0)</f>
        <v/>
      </c>
      <c r="AN242">
        <f>IFERROR(LEFT(C242,FIND(",",C242)-1),C242)</f>
        <v/>
      </c>
      <c r="AO242" s="6">
        <f>X242*(U242-Pool!$B$12)</f>
        <v/>
      </c>
      <c r="AP242" s="6">
        <f>Z242*(V242-Pool!$B$13)</f>
        <v/>
      </c>
      <c r="AQ242" s="3">
        <f>Settings!$B$2*(N242-Pool!$B$2)/Pool!$C$2+Settings!$B$3*(O242-Pool!$B$3)/Pool!$C$3+Settings!$B$4*(P242-Pool!$B$4)/Pool!$C$4+Settings!$B$5*(Q242-Pool!$B$5)/Pool!$C$5+Settings!$B$6*(R242-Pool!$B$6)/Pool!$C$6+Settings!$B$7*(S242-Pool!$B$7)/Pool!$C$7+Settings!$B$8*(AO242-Pool!$B$8)/Pool!$C$8+Settings!$B$9*(AP242-Pool!$B$9)/Pool!$C$9+Settings!$B$10*-(T242-Pool!$B$10)/Pool!$C$10</f>
        <v/>
      </c>
      <c r="AR242">
        <f>IF(RANK(AQ242,$AQ$2:$AQ$266)&lt;=Settings!$F$5,1,0)</f>
        <v/>
      </c>
      <c r="AS242" s="6">
        <f>X242*(U242-Pool!$D$12)</f>
        <v/>
      </c>
      <c r="AT242" s="6">
        <f>Z242*(V242-Pool!$D$13)</f>
        <v/>
      </c>
    </row>
    <row r="243">
      <c r="A243">
        <f>RANK(H243,$H$2:$H$266)</f>
        <v/>
      </c>
      <c r="B243" t="inlineStr">
        <is>
          <t>Noah Clowney</t>
        </is>
      </c>
      <c r="C243">
        <f>INDEX('Player Data'!$C:$C,AL243)</f>
        <v/>
      </c>
      <c r="D243">
        <f>SUMPRODUCT(($AN$2:$AN$266=AN243)*($H$2:$H$266&gt;H243))+1</f>
        <v/>
      </c>
      <c r="E243">
        <f>INDEX('Player Data'!$B:$B,AL243)</f>
        <v/>
      </c>
      <c r="F243" s="2" t="n"/>
      <c r="G243" s="3">
        <f>Settings!$B$2*AB243+Settings!$B$3*AC243+Settings!$B$4*AD243+Settings!$B$5*AE243+Settings!$B$6*AF243+Settings!$B$7*AG243+Settings!$B$8*AH243+Settings!$B$9*AI243+Settings!$B$10*AJ243</f>
        <v/>
      </c>
      <c r="H243" s="3">
        <f>G243-LARGE($G$2:$G$266,Settings!$F$4)</f>
        <v/>
      </c>
      <c r="I243">
        <f>IF(INDEX('Player Data'!$R:$R,AL243)="","",INDEX('Player Data'!$R:$R,AL243))</f>
        <v/>
      </c>
      <c r="J243" s="4">
        <f>IF(I243="","",I243-A243)</f>
        <v/>
      </c>
      <c r="L243" s="5">
        <f>IF(Settings!$F$7="Yes",INDEX('Minutes &amp; Health'!$O:$O,AL243),Settings!$F$8)</f>
        <v/>
      </c>
      <c r="M243" s="6">
        <f>INDEX('Minutes &amp; Health'!$P:$P,AL243)</f>
        <v/>
      </c>
      <c r="N243" s="5">
        <f>INDEX('Player Data'!$F:$F,AL243)/INDEX('Player Data'!$E:$E,AL243)*M243*L243*AM243</f>
        <v/>
      </c>
      <c r="O243" s="5">
        <f>INDEX('Player Data'!$G:$G,AL243)/INDEX('Player Data'!$E:$E,AL243)*M243*L243*AM243</f>
        <v/>
      </c>
      <c r="P243" s="5">
        <f>INDEX('Player Data'!$H:$H,AL243)/INDEX('Player Data'!$E:$E,AL243)*M243*L243*AM243</f>
        <v/>
      </c>
      <c r="Q243" s="5">
        <f>INDEX('Player Data'!$I:$I,AL243)/INDEX('Player Data'!$E:$E,AL243)*M243*L243*AM243</f>
        <v/>
      </c>
      <c r="R243" s="5">
        <f>INDEX('Player Data'!$J:$J,AL243)/INDEX('Player Data'!$E:$E,AL243)*M243*L243*AM243</f>
        <v/>
      </c>
      <c r="S243" s="5">
        <f>INDEX('Player Data'!$K:$K,AL243)/INDEX('Player Data'!$E:$E,AL243)*M243*L243*AM243</f>
        <v/>
      </c>
      <c r="T243" s="5">
        <f>INDEX('Player Data'!$L:$L,AL243)/INDEX('Player Data'!$E:$E,AL243)*M243*L243*AM243</f>
        <v/>
      </c>
      <c r="U243" s="7">
        <f>INDEX('Player Data'!$M:$M,AL243)</f>
        <v/>
      </c>
      <c r="V243" s="7">
        <f>INDEX('Player Data'!$N:$N,AL243)</f>
        <v/>
      </c>
      <c r="W243" s="5">
        <f>X243*U243</f>
        <v/>
      </c>
      <c r="X243" s="5">
        <f>INDEX('Player Data'!$O:$O,AL243)/INDEX('Player Data'!$E:$E,AL243)*M243*L243*AM243</f>
        <v/>
      </c>
      <c r="Y243" s="5">
        <f>Z243*V243</f>
        <v/>
      </c>
      <c r="Z243" s="5">
        <f>INDEX('Player Data'!$P:$P,AL243)/INDEX('Player Data'!$E:$E,AL243)*M243*L243*AM243</f>
        <v/>
      </c>
      <c r="AB243" s="3">
        <f>(N243-Pool!$D$2)/Pool!$E$2</f>
        <v/>
      </c>
      <c r="AC243" s="3">
        <f>(O243-Pool!$D$3)/Pool!$E$3</f>
        <v/>
      </c>
      <c r="AD243" s="3">
        <f>(P243-Pool!$D$4)/Pool!$E$4</f>
        <v/>
      </c>
      <c r="AE243" s="3">
        <f>(Q243-Pool!$D$5)/Pool!$E$5</f>
        <v/>
      </c>
      <c r="AF243" s="3">
        <f>(R243-Pool!$D$6)/Pool!$E$6</f>
        <v/>
      </c>
      <c r="AG243" s="3">
        <f>(S243-Pool!$D$7)/Pool!$E$7</f>
        <v/>
      </c>
      <c r="AH243" s="3">
        <f>(AS243-Pool!$D$8)/Pool!$E$8</f>
        <v/>
      </c>
      <c r="AI243" s="3">
        <f>(AT243-Pool!$D$9)/Pool!$E$9</f>
        <v/>
      </c>
      <c r="AJ243" s="3">
        <f>-(T243-Pool!$D$10)/Pool!$E$10</f>
        <v/>
      </c>
      <c r="AL243">
        <f>MATCH(B243,'Player Data'!$A:$A,0)</f>
        <v/>
      </c>
      <c r="AM243" s="3">
        <f>1+IF(Settings!$F$10="ON",IFERROR(VLOOKUP(TRIM(F243),Settings!$D$12:$F$17,3,FALSE),0),0)</f>
        <v/>
      </c>
      <c r="AN243">
        <f>IFERROR(LEFT(C243,FIND(",",C243)-1),C243)</f>
        <v/>
      </c>
      <c r="AO243" s="6">
        <f>X243*(U243-Pool!$B$12)</f>
        <v/>
      </c>
      <c r="AP243" s="6">
        <f>Z243*(V243-Pool!$B$13)</f>
        <v/>
      </c>
      <c r="AQ243" s="3">
        <f>Settings!$B$2*(N243-Pool!$B$2)/Pool!$C$2+Settings!$B$3*(O243-Pool!$B$3)/Pool!$C$3+Settings!$B$4*(P243-Pool!$B$4)/Pool!$C$4+Settings!$B$5*(Q243-Pool!$B$5)/Pool!$C$5+Settings!$B$6*(R243-Pool!$B$6)/Pool!$C$6+Settings!$B$7*(S243-Pool!$B$7)/Pool!$C$7+Settings!$B$8*(AO243-Pool!$B$8)/Pool!$C$8+Settings!$B$9*(AP243-Pool!$B$9)/Pool!$C$9+Settings!$B$10*-(T243-Pool!$B$10)/Pool!$C$10</f>
        <v/>
      </c>
      <c r="AR243">
        <f>IF(RANK(AQ243,$AQ$2:$AQ$266)&lt;=Settings!$F$5,1,0)</f>
        <v/>
      </c>
      <c r="AS243" s="6">
        <f>X243*(U243-Pool!$D$12)</f>
        <v/>
      </c>
      <c r="AT243" s="6">
        <f>Z243*(V243-Pool!$D$13)</f>
        <v/>
      </c>
    </row>
    <row r="244">
      <c r="A244">
        <f>RANK(H244,$H$2:$H$266)</f>
        <v/>
      </c>
      <c r="B244" t="inlineStr">
        <is>
          <t>Jaxson Hayes</t>
        </is>
      </c>
      <c r="C244">
        <f>INDEX('Player Data'!$C:$C,AL244)</f>
        <v/>
      </c>
      <c r="D244">
        <f>SUMPRODUCT(($AN$2:$AN$266=AN244)*($H$2:$H$266&gt;H244))+1</f>
        <v/>
      </c>
      <c r="E244">
        <f>INDEX('Player Data'!$B:$B,AL244)</f>
        <v/>
      </c>
      <c r="F244" s="2" t="n"/>
      <c r="G244" s="3">
        <f>Settings!$B$2*AB244+Settings!$B$3*AC244+Settings!$B$4*AD244+Settings!$B$5*AE244+Settings!$B$6*AF244+Settings!$B$7*AG244+Settings!$B$8*AH244+Settings!$B$9*AI244+Settings!$B$10*AJ244</f>
        <v/>
      </c>
      <c r="H244" s="3">
        <f>G244-LARGE($G$2:$G$266,Settings!$F$4)</f>
        <v/>
      </c>
      <c r="I244">
        <f>IF(INDEX('Player Data'!$R:$R,AL244)="","",INDEX('Player Data'!$R:$R,AL244))</f>
        <v/>
      </c>
      <c r="J244" s="4">
        <f>IF(I244="","",I244-A244)</f>
        <v/>
      </c>
      <c r="L244" s="5">
        <f>IF(Settings!$F$7="Yes",INDEX('Minutes &amp; Health'!$O:$O,AL244),Settings!$F$8)</f>
        <v/>
      </c>
      <c r="M244" s="6">
        <f>INDEX('Minutes &amp; Health'!$P:$P,AL244)</f>
        <v/>
      </c>
      <c r="N244" s="5">
        <f>INDEX('Player Data'!$F:$F,AL244)/INDEX('Player Data'!$E:$E,AL244)*M244*L244*AM244</f>
        <v/>
      </c>
      <c r="O244" s="5">
        <f>INDEX('Player Data'!$G:$G,AL244)/INDEX('Player Data'!$E:$E,AL244)*M244*L244*AM244</f>
        <v/>
      </c>
      <c r="P244" s="5">
        <f>INDEX('Player Data'!$H:$H,AL244)/INDEX('Player Data'!$E:$E,AL244)*M244*L244*AM244</f>
        <v/>
      </c>
      <c r="Q244" s="5">
        <f>INDEX('Player Data'!$I:$I,AL244)/INDEX('Player Data'!$E:$E,AL244)*M244*L244*AM244</f>
        <v/>
      </c>
      <c r="R244" s="5">
        <f>INDEX('Player Data'!$J:$J,AL244)/INDEX('Player Data'!$E:$E,AL244)*M244*L244*AM244</f>
        <v/>
      </c>
      <c r="S244" s="5">
        <f>INDEX('Player Data'!$K:$K,AL244)/INDEX('Player Data'!$E:$E,AL244)*M244*L244*AM244</f>
        <v/>
      </c>
      <c r="T244" s="5">
        <f>INDEX('Player Data'!$L:$L,AL244)/INDEX('Player Data'!$E:$E,AL244)*M244*L244*AM244</f>
        <v/>
      </c>
      <c r="U244" s="7">
        <f>INDEX('Player Data'!$M:$M,AL244)</f>
        <v/>
      </c>
      <c r="V244" s="7">
        <f>INDEX('Player Data'!$N:$N,AL244)</f>
        <v/>
      </c>
      <c r="W244" s="5">
        <f>X244*U244</f>
        <v/>
      </c>
      <c r="X244" s="5">
        <f>INDEX('Player Data'!$O:$O,AL244)/INDEX('Player Data'!$E:$E,AL244)*M244*L244*AM244</f>
        <v/>
      </c>
      <c r="Y244" s="5">
        <f>Z244*V244</f>
        <v/>
      </c>
      <c r="Z244" s="5">
        <f>INDEX('Player Data'!$P:$P,AL244)/INDEX('Player Data'!$E:$E,AL244)*M244*L244*AM244</f>
        <v/>
      </c>
      <c r="AB244" s="3">
        <f>(N244-Pool!$D$2)/Pool!$E$2</f>
        <v/>
      </c>
      <c r="AC244" s="3">
        <f>(O244-Pool!$D$3)/Pool!$E$3</f>
        <v/>
      </c>
      <c r="AD244" s="3">
        <f>(P244-Pool!$D$4)/Pool!$E$4</f>
        <v/>
      </c>
      <c r="AE244" s="3">
        <f>(Q244-Pool!$D$5)/Pool!$E$5</f>
        <v/>
      </c>
      <c r="AF244" s="3">
        <f>(R244-Pool!$D$6)/Pool!$E$6</f>
        <v/>
      </c>
      <c r="AG244" s="3">
        <f>(S244-Pool!$D$7)/Pool!$E$7</f>
        <v/>
      </c>
      <c r="AH244" s="3">
        <f>(AS244-Pool!$D$8)/Pool!$E$8</f>
        <v/>
      </c>
      <c r="AI244" s="3">
        <f>(AT244-Pool!$D$9)/Pool!$E$9</f>
        <v/>
      </c>
      <c r="AJ244" s="3">
        <f>-(T244-Pool!$D$10)/Pool!$E$10</f>
        <v/>
      </c>
      <c r="AL244">
        <f>MATCH(B244,'Player Data'!$A:$A,0)</f>
        <v/>
      </c>
      <c r="AM244" s="3">
        <f>1+IF(Settings!$F$10="ON",IFERROR(VLOOKUP(TRIM(F244),Settings!$D$12:$F$17,3,FALSE),0),0)</f>
        <v/>
      </c>
      <c r="AN244">
        <f>IFERROR(LEFT(C244,FIND(",",C244)-1),C244)</f>
        <v/>
      </c>
      <c r="AO244" s="6">
        <f>X244*(U244-Pool!$B$12)</f>
        <v/>
      </c>
      <c r="AP244" s="6">
        <f>Z244*(V244-Pool!$B$13)</f>
        <v/>
      </c>
      <c r="AQ244" s="3">
        <f>Settings!$B$2*(N244-Pool!$B$2)/Pool!$C$2+Settings!$B$3*(O244-Pool!$B$3)/Pool!$C$3+Settings!$B$4*(P244-Pool!$B$4)/Pool!$C$4+Settings!$B$5*(Q244-Pool!$B$5)/Pool!$C$5+Settings!$B$6*(R244-Pool!$B$6)/Pool!$C$6+Settings!$B$7*(S244-Pool!$B$7)/Pool!$C$7+Settings!$B$8*(AO244-Pool!$B$8)/Pool!$C$8+Settings!$B$9*(AP244-Pool!$B$9)/Pool!$C$9+Settings!$B$10*-(T244-Pool!$B$10)/Pool!$C$10</f>
        <v/>
      </c>
      <c r="AR244">
        <f>IF(RANK(AQ244,$AQ$2:$AQ$266)&lt;=Settings!$F$5,1,0)</f>
        <v/>
      </c>
      <c r="AS244" s="6">
        <f>X244*(U244-Pool!$D$12)</f>
        <v/>
      </c>
      <c r="AT244" s="6">
        <f>Z244*(V244-Pool!$D$13)</f>
        <v/>
      </c>
    </row>
    <row r="245">
      <c r="A245">
        <f>RANK(H245,$H$2:$H$266)</f>
        <v/>
      </c>
      <c r="B245" t="inlineStr">
        <is>
          <t>Khris Middleton</t>
        </is>
      </c>
      <c r="C245">
        <f>INDEX('Player Data'!$C:$C,AL245)</f>
        <v/>
      </c>
      <c r="D245">
        <f>SUMPRODUCT(($AN$2:$AN$266=AN245)*($H$2:$H$266&gt;H245))+1</f>
        <v/>
      </c>
      <c r="E245">
        <f>INDEX('Player Data'!$B:$B,AL245)</f>
        <v/>
      </c>
      <c r="F245" s="2" t="n"/>
      <c r="G245" s="3">
        <f>Settings!$B$2*AB245+Settings!$B$3*AC245+Settings!$B$4*AD245+Settings!$B$5*AE245+Settings!$B$6*AF245+Settings!$B$7*AG245+Settings!$B$8*AH245+Settings!$B$9*AI245+Settings!$B$10*AJ245</f>
        <v/>
      </c>
      <c r="H245" s="3">
        <f>G245-LARGE($G$2:$G$266,Settings!$F$4)</f>
        <v/>
      </c>
      <c r="I245">
        <f>IF(INDEX('Player Data'!$R:$R,AL245)="","",INDEX('Player Data'!$R:$R,AL245))</f>
        <v/>
      </c>
      <c r="J245" s="4">
        <f>IF(I245="","",I245-A245)</f>
        <v/>
      </c>
      <c r="L245" s="5">
        <f>IF(Settings!$F$7="Yes",INDEX('Minutes &amp; Health'!$O:$O,AL245),Settings!$F$8)</f>
        <v/>
      </c>
      <c r="M245" s="6">
        <f>INDEX('Minutes &amp; Health'!$P:$P,AL245)</f>
        <v/>
      </c>
      <c r="N245" s="5">
        <f>INDEX('Player Data'!$F:$F,AL245)/INDEX('Player Data'!$E:$E,AL245)*M245*L245*AM245</f>
        <v/>
      </c>
      <c r="O245" s="5">
        <f>INDEX('Player Data'!$G:$G,AL245)/INDEX('Player Data'!$E:$E,AL245)*M245*L245*AM245</f>
        <v/>
      </c>
      <c r="P245" s="5">
        <f>INDEX('Player Data'!$H:$H,AL245)/INDEX('Player Data'!$E:$E,AL245)*M245*L245*AM245</f>
        <v/>
      </c>
      <c r="Q245" s="5">
        <f>INDEX('Player Data'!$I:$I,AL245)/INDEX('Player Data'!$E:$E,AL245)*M245*L245*AM245</f>
        <v/>
      </c>
      <c r="R245" s="5">
        <f>INDEX('Player Data'!$J:$J,AL245)/INDEX('Player Data'!$E:$E,AL245)*M245*L245*AM245</f>
        <v/>
      </c>
      <c r="S245" s="5">
        <f>INDEX('Player Data'!$K:$K,AL245)/INDEX('Player Data'!$E:$E,AL245)*M245*L245*AM245</f>
        <v/>
      </c>
      <c r="T245" s="5">
        <f>INDEX('Player Data'!$L:$L,AL245)/INDEX('Player Data'!$E:$E,AL245)*M245*L245*AM245</f>
        <v/>
      </c>
      <c r="U245" s="7">
        <f>INDEX('Player Data'!$M:$M,AL245)</f>
        <v/>
      </c>
      <c r="V245" s="7">
        <f>INDEX('Player Data'!$N:$N,AL245)</f>
        <v/>
      </c>
      <c r="W245" s="5">
        <f>X245*U245</f>
        <v/>
      </c>
      <c r="X245" s="5">
        <f>INDEX('Player Data'!$O:$O,AL245)/INDEX('Player Data'!$E:$E,AL245)*M245*L245*AM245</f>
        <v/>
      </c>
      <c r="Y245" s="5">
        <f>Z245*V245</f>
        <v/>
      </c>
      <c r="Z245" s="5">
        <f>INDEX('Player Data'!$P:$P,AL245)/INDEX('Player Data'!$E:$E,AL245)*M245*L245*AM245</f>
        <v/>
      </c>
      <c r="AB245" s="3">
        <f>(N245-Pool!$D$2)/Pool!$E$2</f>
        <v/>
      </c>
      <c r="AC245" s="3">
        <f>(O245-Pool!$D$3)/Pool!$E$3</f>
        <v/>
      </c>
      <c r="AD245" s="3">
        <f>(P245-Pool!$D$4)/Pool!$E$4</f>
        <v/>
      </c>
      <c r="AE245" s="3">
        <f>(Q245-Pool!$D$5)/Pool!$E$5</f>
        <v/>
      </c>
      <c r="AF245" s="3">
        <f>(R245-Pool!$D$6)/Pool!$E$6</f>
        <v/>
      </c>
      <c r="AG245" s="3">
        <f>(S245-Pool!$D$7)/Pool!$E$7</f>
        <v/>
      </c>
      <c r="AH245" s="3">
        <f>(AS245-Pool!$D$8)/Pool!$E$8</f>
        <v/>
      </c>
      <c r="AI245" s="3">
        <f>(AT245-Pool!$D$9)/Pool!$E$9</f>
        <v/>
      </c>
      <c r="AJ245" s="3">
        <f>-(T245-Pool!$D$10)/Pool!$E$10</f>
        <v/>
      </c>
      <c r="AL245">
        <f>MATCH(B245,'Player Data'!$A:$A,0)</f>
        <v/>
      </c>
      <c r="AM245" s="3">
        <f>1+IF(Settings!$F$10="ON",IFERROR(VLOOKUP(TRIM(F245),Settings!$D$12:$F$17,3,FALSE),0),0)</f>
        <v/>
      </c>
      <c r="AN245">
        <f>IFERROR(LEFT(C245,FIND(",",C245)-1),C245)</f>
        <v/>
      </c>
      <c r="AO245" s="6">
        <f>X245*(U245-Pool!$B$12)</f>
        <v/>
      </c>
      <c r="AP245" s="6">
        <f>Z245*(V245-Pool!$B$13)</f>
        <v/>
      </c>
      <c r="AQ245" s="3">
        <f>Settings!$B$2*(N245-Pool!$B$2)/Pool!$C$2+Settings!$B$3*(O245-Pool!$B$3)/Pool!$C$3+Settings!$B$4*(P245-Pool!$B$4)/Pool!$C$4+Settings!$B$5*(Q245-Pool!$B$5)/Pool!$C$5+Settings!$B$6*(R245-Pool!$B$6)/Pool!$C$6+Settings!$B$7*(S245-Pool!$B$7)/Pool!$C$7+Settings!$B$8*(AO245-Pool!$B$8)/Pool!$C$8+Settings!$B$9*(AP245-Pool!$B$9)/Pool!$C$9+Settings!$B$10*-(T245-Pool!$B$10)/Pool!$C$10</f>
        <v/>
      </c>
      <c r="AR245">
        <f>IF(RANK(AQ245,$AQ$2:$AQ$266)&lt;=Settings!$F$5,1,0)</f>
        <v/>
      </c>
      <c r="AS245" s="6">
        <f>X245*(U245-Pool!$D$12)</f>
        <v/>
      </c>
      <c r="AT245" s="6">
        <f>Z245*(V245-Pool!$D$13)</f>
        <v/>
      </c>
    </row>
    <row r="246">
      <c r="A246">
        <f>RANK(H246,$H$2:$H$266)</f>
        <v/>
      </c>
      <c r="B246" t="inlineStr">
        <is>
          <t>Kevon Looney</t>
        </is>
      </c>
      <c r="C246">
        <f>INDEX('Player Data'!$C:$C,AL246)</f>
        <v/>
      </c>
      <c r="D246">
        <f>SUMPRODUCT(($AN$2:$AN$266=AN246)*($H$2:$H$266&gt;H246))+1</f>
        <v/>
      </c>
      <c r="E246">
        <f>INDEX('Player Data'!$B:$B,AL246)</f>
        <v/>
      </c>
      <c r="F246" s="2" t="n"/>
      <c r="G246" s="3">
        <f>Settings!$B$2*AB246+Settings!$B$3*AC246+Settings!$B$4*AD246+Settings!$B$5*AE246+Settings!$B$6*AF246+Settings!$B$7*AG246+Settings!$B$8*AH246+Settings!$B$9*AI246+Settings!$B$10*AJ246</f>
        <v/>
      </c>
      <c r="H246" s="3">
        <f>G246-LARGE($G$2:$G$266,Settings!$F$4)</f>
        <v/>
      </c>
      <c r="I246">
        <f>IF(INDEX('Player Data'!$R:$R,AL246)="","",INDEX('Player Data'!$R:$R,AL246))</f>
        <v/>
      </c>
      <c r="J246" s="4">
        <f>IF(I246="","",I246-A246)</f>
        <v/>
      </c>
      <c r="L246" s="5">
        <f>IF(Settings!$F$7="Yes",INDEX('Minutes &amp; Health'!$O:$O,AL246),Settings!$F$8)</f>
        <v/>
      </c>
      <c r="M246" s="6">
        <f>INDEX('Minutes &amp; Health'!$P:$P,AL246)</f>
        <v/>
      </c>
      <c r="N246" s="5">
        <f>INDEX('Player Data'!$F:$F,AL246)/INDEX('Player Data'!$E:$E,AL246)*M246*L246*AM246</f>
        <v/>
      </c>
      <c r="O246" s="5">
        <f>INDEX('Player Data'!$G:$G,AL246)/INDEX('Player Data'!$E:$E,AL246)*M246*L246*AM246</f>
        <v/>
      </c>
      <c r="P246" s="5">
        <f>INDEX('Player Data'!$H:$H,AL246)/INDEX('Player Data'!$E:$E,AL246)*M246*L246*AM246</f>
        <v/>
      </c>
      <c r="Q246" s="5">
        <f>INDEX('Player Data'!$I:$I,AL246)/INDEX('Player Data'!$E:$E,AL246)*M246*L246*AM246</f>
        <v/>
      </c>
      <c r="R246" s="5">
        <f>INDEX('Player Data'!$J:$J,AL246)/INDEX('Player Data'!$E:$E,AL246)*M246*L246*AM246</f>
        <v/>
      </c>
      <c r="S246" s="5">
        <f>INDEX('Player Data'!$K:$K,AL246)/INDEX('Player Data'!$E:$E,AL246)*M246*L246*AM246</f>
        <v/>
      </c>
      <c r="T246" s="5">
        <f>INDEX('Player Data'!$L:$L,AL246)/INDEX('Player Data'!$E:$E,AL246)*M246*L246*AM246</f>
        <v/>
      </c>
      <c r="U246" s="7">
        <f>INDEX('Player Data'!$M:$M,AL246)</f>
        <v/>
      </c>
      <c r="V246" s="7">
        <f>INDEX('Player Data'!$N:$N,AL246)</f>
        <v/>
      </c>
      <c r="W246" s="5">
        <f>X246*U246</f>
        <v/>
      </c>
      <c r="X246" s="5">
        <f>INDEX('Player Data'!$O:$O,AL246)/INDEX('Player Data'!$E:$E,AL246)*M246*L246*AM246</f>
        <v/>
      </c>
      <c r="Y246" s="5">
        <f>Z246*V246</f>
        <v/>
      </c>
      <c r="Z246" s="5">
        <f>INDEX('Player Data'!$P:$P,AL246)/INDEX('Player Data'!$E:$E,AL246)*M246*L246*AM246</f>
        <v/>
      </c>
      <c r="AB246" s="3">
        <f>(N246-Pool!$D$2)/Pool!$E$2</f>
        <v/>
      </c>
      <c r="AC246" s="3">
        <f>(O246-Pool!$D$3)/Pool!$E$3</f>
        <v/>
      </c>
      <c r="AD246" s="3">
        <f>(P246-Pool!$D$4)/Pool!$E$4</f>
        <v/>
      </c>
      <c r="AE246" s="3">
        <f>(Q246-Pool!$D$5)/Pool!$E$5</f>
        <v/>
      </c>
      <c r="AF246" s="3">
        <f>(R246-Pool!$D$6)/Pool!$E$6</f>
        <v/>
      </c>
      <c r="AG246" s="3">
        <f>(S246-Pool!$D$7)/Pool!$E$7</f>
        <v/>
      </c>
      <c r="AH246" s="3">
        <f>(AS246-Pool!$D$8)/Pool!$E$8</f>
        <v/>
      </c>
      <c r="AI246" s="3">
        <f>(AT246-Pool!$D$9)/Pool!$E$9</f>
        <v/>
      </c>
      <c r="AJ246" s="3">
        <f>-(T246-Pool!$D$10)/Pool!$E$10</f>
        <v/>
      </c>
      <c r="AL246">
        <f>MATCH(B246,'Player Data'!$A:$A,0)</f>
        <v/>
      </c>
      <c r="AM246" s="3">
        <f>1+IF(Settings!$F$10="ON",IFERROR(VLOOKUP(TRIM(F246),Settings!$D$12:$F$17,3,FALSE),0),0)</f>
        <v/>
      </c>
      <c r="AN246">
        <f>IFERROR(LEFT(C246,FIND(",",C246)-1),C246)</f>
        <v/>
      </c>
      <c r="AO246" s="6">
        <f>X246*(U246-Pool!$B$12)</f>
        <v/>
      </c>
      <c r="AP246" s="6">
        <f>Z246*(V246-Pool!$B$13)</f>
        <v/>
      </c>
      <c r="AQ246" s="3">
        <f>Settings!$B$2*(N246-Pool!$B$2)/Pool!$C$2+Settings!$B$3*(O246-Pool!$B$3)/Pool!$C$3+Settings!$B$4*(P246-Pool!$B$4)/Pool!$C$4+Settings!$B$5*(Q246-Pool!$B$5)/Pool!$C$5+Settings!$B$6*(R246-Pool!$B$6)/Pool!$C$6+Settings!$B$7*(S246-Pool!$B$7)/Pool!$C$7+Settings!$B$8*(AO246-Pool!$B$8)/Pool!$C$8+Settings!$B$9*(AP246-Pool!$B$9)/Pool!$C$9+Settings!$B$10*-(T246-Pool!$B$10)/Pool!$C$10</f>
        <v/>
      </c>
      <c r="AR246">
        <f>IF(RANK(AQ246,$AQ$2:$AQ$266)&lt;=Settings!$F$5,1,0)</f>
        <v/>
      </c>
      <c r="AS246" s="6">
        <f>X246*(U246-Pool!$D$12)</f>
        <v/>
      </c>
      <c r="AT246" s="6">
        <f>Z246*(V246-Pool!$D$13)</f>
        <v/>
      </c>
    </row>
    <row r="247">
      <c r="A247">
        <f>RANK(H247,$H$2:$H$266)</f>
        <v/>
      </c>
      <c r="B247" t="inlineStr">
        <is>
          <t>Jarred Vanderbilt</t>
        </is>
      </c>
      <c r="C247">
        <f>INDEX('Player Data'!$C:$C,AL247)</f>
        <v/>
      </c>
      <c r="D247">
        <f>SUMPRODUCT(($AN$2:$AN$266=AN247)*($H$2:$H$266&gt;H247))+1</f>
        <v/>
      </c>
      <c r="E247">
        <f>INDEX('Player Data'!$B:$B,AL247)</f>
        <v/>
      </c>
      <c r="F247" s="2" t="n"/>
      <c r="G247" s="3">
        <f>Settings!$B$2*AB247+Settings!$B$3*AC247+Settings!$B$4*AD247+Settings!$B$5*AE247+Settings!$B$6*AF247+Settings!$B$7*AG247+Settings!$B$8*AH247+Settings!$B$9*AI247+Settings!$B$10*AJ247</f>
        <v/>
      </c>
      <c r="H247" s="3">
        <f>G247-LARGE($G$2:$G$266,Settings!$F$4)</f>
        <v/>
      </c>
      <c r="I247">
        <f>IF(INDEX('Player Data'!$R:$R,AL247)="","",INDEX('Player Data'!$R:$R,AL247))</f>
        <v/>
      </c>
      <c r="J247" s="4">
        <f>IF(I247="","",I247-A247)</f>
        <v/>
      </c>
      <c r="L247" s="5">
        <f>IF(Settings!$F$7="Yes",INDEX('Minutes &amp; Health'!$O:$O,AL247),Settings!$F$8)</f>
        <v/>
      </c>
      <c r="M247" s="6">
        <f>INDEX('Minutes &amp; Health'!$P:$P,AL247)</f>
        <v/>
      </c>
      <c r="N247" s="5">
        <f>INDEX('Player Data'!$F:$F,AL247)/INDEX('Player Data'!$E:$E,AL247)*M247*L247*AM247</f>
        <v/>
      </c>
      <c r="O247" s="5">
        <f>INDEX('Player Data'!$G:$G,AL247)/INDEX('Player Data'!$E:$E,AL247)*M247*L247*AM247</f>
        <v/>
      </c>
      <c r="P247" s="5">
        <f>INDEX('Player Data'!$H:$H,AL247)/INDEX('Player Data'!$E:$E,AL247)*M247*L247*AM247</f>
        <v/>
      </c>
      <c r="Q247" s="5">
        <f>INDEX('Player Data'!$I:$I,AL247)/INDEX('Player Data'!$E:$E,AL247)*M247*L247*AM247</f>
        <v/>
      </c>
      <c r="R247" s="5">
        <f>INDEX('Player Data'!$J:$J,AL247)/INDEX('Player Data'!$E:$E,AL247)*M247*L247*AM247</f>
        <v/>
      </c>
      <c r="S247" s="5">
        <f>INDEX('Player Data'!$K:$K,AL247)/INDEX('Player Data'!$E:$E,AL247)*M247*L247*AM247</f>
        <v/>
      </c>
      <c r="T247" s="5">
        <f>INDEX('Player Data'!$L:$L,AL247)/INDEX('Player Data'!$E:$E,AL247)*M247*L247*AM247</f>
        <v/>
      </c>
      <c r="U247" s="7">
        <f>INDEX('Player Data'!$M:$M,AL247)</f>
        <v/>
      </c>
      <c r="V247" s="7">
        <f>INDEX('Player Data'!$N:$N,AL247)</f>
        <v/>
      </c>
      <c r="W247" s="5">
        <f>X247*U247</f>
        <v/>
      </c>
      <c r="X247" s="5">
        <f>INDEX('Player Data'!$O:$O,AL247)/INDEX('Player Data'!$E:$E,AL247)*M247*L247*AM247</f>
        <v/>
      </c>
      <c r="Y247" s="5">
        <f>Z247*V247</f>
        <v/>
      </c>
      <c r="Z247" s="5">
        <f>INDEX('Player Data'!$P:$P,AL247)/INDEX('Player Data'!$E:$E,AL247)*M247*L247*AM247</f>
        <v/>
      </c>
      <c r="AB247" s="3">
        <f>(N247-Pool!$D$2)/Pool!$E$2</f>
        <v/>
      </c>
      <c r="AC247" s="3">
        <f>(O247-Pool!$D$3)/Pool!$E$3</f>
        <v/>
      </c>
      <c r="AD247" s="3">
        <f>(P247-Pool!$D$4)/Pool!$E$4</f>
        <v/>
      </c>
      <c r="AE247" s="3">
        <f>(Q247-Pool!$D$5)/Pool!$E$5</f>
        <v/>
      </c>
      <c r="AF247" s="3">
        <f>(R247-Pool!$D$6)/Pool!$E$6</f>
        <v/>
      </c>
      <c r="AG247" s="3">
        <f>(S247-Pool!$D$7)/Pool!$E$7</f>
        <v/>
      </c>
      <c r="AH247" s="3">
        <f>(AS247-Pool!$D$8)/Pool!$E$8</f>
        <v/>
      </c>
      <c r="AI247" s="3">
        <f>(AT247-Pool!$D$9)/Pool!$E$9</f>
        <v/>
      </c>
      <c r="AJ247" s="3">
        <f>-(T247-Pool!$D$10)/Pool!$E$10</f>
        <v/>
      </c>
      <c r="AL247">
        <f>MATCH(B247,'Player Data'!$A:$A,0)</f>
        <v/>
      </c>
      <c r="AM247" s="3">
        <f>1+IF(Settings!$F$10="ON",IFERROR(VLOOKUP(TRIM(F247),Settings!$D$12:$F$17,3,FALSE),0),0)</f>
        <v/>
      </c>
      <c r="AN247">
        <f>IFERROR(LEFT(C247,FIND(",",C247)-1),C247)</f>
        <v/>
      </c>
      <c r="AO247" s="6">
        <f>X247*(U247-Pool!$B$12)</f>
        <v/>
      </c>
      <c r="AP247" s="6">
        <f>Z247*(V247-Pool!$B$13)</f>
        <v/>
      </c>
      <c r="AQ247" s="3">
        <f>Settings!$B$2*(N247-Pool!$B$2)/Pool!$C$2+Settings!$B$3*(O247-Pool!$B$3)/Pool!$C$3+Settings!$B$4*(P247-Pool!$B$4)/Pool!$C$4+Settings!$B$5*(Q247-Pool!$B$5)/Pool!$C$5+Settings!$B$6*(R247-Pool!$B$6)/Pool!$C$6+Settings!$B$7*(S247-Pool!$B$7)/Pool!$C$7+Settings!$B$8*(AO247-Pool!$B$8)/Pool!$C$8+Settings!$B$9*(AP247-Pool!$B$9)/Pool!$C$9+Settings!$B$10*-(T247-Pool!$B$10)/Pool!$C$10</f>
        <v/>
      </c>
      <c r="AR247">
        <f>IF(RANK(AQ247,$AQ$2:$AQ$266)&lt;=Settings!$F$5,1,0)</f>
        <v/>
      </c>
      <c r="AS247" s="6">
        <f>X247*(U247-Pool!$D$12)</f>
        <v/>
      </c>
      <c r="AT247" s="6">
        <f>Z247*(V247-Pool!$D$13)</f>
        <v/>
      </c>
    </row>
    <row r="248">
      <c r="A248">
        <f>RANK(H248,$H$2:$H$266)</f>
        <v/>
      </c>
      <c r="B248" t="inlineStr">
        <is>
          <t>Patrick Williams</t>
        </is>
      </c>
      <c r="C248">
        <f>INDEX('Player Data'!$C:$C,AL248)</f>
        <v/>
      </c>
      <c r="D248">
        <f>SUMPRODUCT(($AN$2:$AN$266=AN248)*($H$2:$H$266&gt;H248))+1</f>
        <v/>
      </c>
      <c r="E248">
        <f>INDEX('Player Data'!$B:$B,AL248)</f>
        <v/>
      </c>
      <c r="F248" s="2" t="n"/>
      <c r="G248" s="3">
        <f>Settings!$B$2*AB248+Settings!$B$3*AC248+Settings!$B$4*AD248+Settings!$B$5*AE248+Settings!$B$6*AF248+Settings!$B$7*AG248+Settings!$B$8*AH248+Settings!$B$9*AI248+Settings!$B$10*AJ248</f>
        <v/>
      </c>
      <c r="H248" s="3">
        <f>G248-LARGE($G$2:$G$266,Settings!$F$4)</f>
        <v/>
      </c>
      <c r="I248">
        <f>IF(INDEX('Player Data'!$R:$R,AL248)="","",INDEX('Player Data'!$R:$R,AL248))</f>
        <v/>
      </c>
      <c r="J248" s="4">
        <f>IF(I248="","",I248-A248)</f>
        <v/>
      </c>
      <c r="L248" s="5">
        <f>IF(Settings!$F$7="Yes",INDEX('Minutes &amp; Health'!$O:$O,AL248),Settings!$F$8)</f>
        <v/>
      </c>
      <c r="M248" s="6">
        <f>INDEX('Minutes &amp; Health'!$P:$P,AL248)</f>
        <v/>
      </c>
      <c r="N248" s="5">
        <f>INDEX('Player Data'!$F:$F,AL248)/INDEX('Player Data'!$E:$E,AL248)*M248*L248*AM248</f>
        <v/>
      </c>
      <c r="O248" s="5">
        <f>INDEX('Player Data'!$G:$G,AL248)/INDEX('Player Data'!$E:$E,AL248)*M248*L248*AM248</f>
        <v/>
      </c>
      <c r="P248" s="5">
        <f>INDEX('Player Data'!$H:$H,AL248)/INDEX('Player Data'!$E:$E,AL248)*M248*L248*AM248</f>
        <v/>
      </c>
      <c r="Q248" s="5">
        <f>INDEX('Player Data'!$I:$I,AL248)/INDEX('Player Data'!$E:$E,AL248)*M248*L248*AM248</f>
        <v/>
      </c>
      <c r="R248" s="5">
        <f>INDEX('Player Data'!$J:$J,AL248)/INDEX('Player Data'!$E:$E,AL248)*M248*L248*AM248</f>
        <v/>
      </c>
      <c r="S248" s="5">
        <f>INDEX('Player Data'!$K:$K,AL248)/INDEX('Player Data'!$E:$E,AL248)*M248*L248*AM248</f>
        <v/>
      </c>
      <c r="T248" s="5">
        <f>INDEX('Player Data'!$L:$L,AL248)/INDEX('Player Data'!$E:$E,AL248)*M248*L248*AM248</f>
        <v/>
      </c>
      <c r="U248" s="7">
        <f>INDEX('Player Data'!$M:$M,AL248)</f>
        <v/>
      </c>
      <c r="V248" s="7">
        <f>INDEX('Player Data'!$N:$N,AL248)</f>
        <v/>
      </c>
      <c r="W248" s="5">
        <f>X248*U248</f>
        <v/>
      </c>
      <c r="X248" s="5">
        <f>INDEX('Player Data'!$O:$O,AL248)/INDEX('Player Data'!$E:$E,AL248)*M248*L248*AM248</f>
        <v/>
      </c>
      <c r="Y248" s="5">
        <f>Z248*V248</f>
        <v/>
      </c>
      <c r="Z248" s="5">
        <f>INDEX('Player Data'!$P:$P,AL248)/INDEX('Player Data'!$E:$E,AL248)*M248*L248*AM248</f>
        <v/>
      </c>
      <c r="AB248" s="3">
        <f>(N248-Pool!$D$2)/Pool!$E$2</f>
        <v/>
      </c>
      <c r="AC248" s="3">
        <f>(O248-Pool!$D$3)/Pool!$E$3</f>
        <v/>
      </c>
      <c r="AD248" s="3">
        <f>(P248-Pool!$D$4)/Pool!$E$4</f>
        <v/>
      </c>
      <c r="AE248" s="3">
        <f>(Q248-Pool!$D$5)/Pool!$E$5</f>
        <v/>
      </c>
      <c r="AF248" s="3">
        <f>(R248-Pool!$D$6)/Pool!$E$6</f>
        <v/>
      </c>
      <c r="AG248" s="3">
        <f>(S248-Pool!$D$7)/Pool!$E$7</f>
        <v/>
      </c>
      <c r="AH248" s="3">
        <f>(AS248-Pool!$D$8)/Pool!$E$8</f>
        <v/>
      </c>
      <c r="AI248" s="3">
        <f>(AT248-Pool!$D$9)/Pool!$E$9</f>
        <v/>
      </c>
      <c r="AJ248" s="3">
        <f>-(T248-Pool!$D$10)/Pool!$E$10</f>
        <v/>
      </c>
      <c r="AL248">
        <f>MATCH(B248,'Player Data'!$A:$A,0)</f>
        <v/>
      </c>
      <c r="AM248" s="3">
        <f>1+IF(Settings!$F$10="ON",IFERROR(VLOOKUP(TRIM(F248),Settings!$D$12:$F$17,3,FALSE),0),0)</f>
        <v/>
      </c>
      <c r="AN248">
        <f>IFERROR(LEFT(C248,FIND(",",C248)-1),C248)</f>
        <v/>
      </c>
      <c r="AO248" s="6">
        <f>X248*(U248-Pool!$B$12)</f>
        <v/>
      </c>
      <c r="AP248" s="6">
        <f>Z248*(V248-Pool!$B$13)</f>
        <v/>
      </c>
      <c r="AQ248" s="3">
        <f>Settings!$B$2*(N248-Pool!$B$2)/Pool!$C$2+Settings!$B$3*(O248-Pool!$B$3)/Pool!$C$3+Settings!$B$4*(P248-Pool!$B$4)/Pool!$C$4+Settings!$B$5*(Q248-Pool!$B$5)/Pool!$C$5+Settings!$B$6*(R248-Pool!$B$6)/Pool!$C$6+Settings!$B$7*(S248-Pool!$B$7)/Pool!$C$7+Settings!$B$8*(AO248-Pool!$B$8)/Pool!$C$8+Settings!$B$9*(AP248-Pool!$B$9)/Pool!$C$9+Settings!$B$10*-(T248-Pool!$B$10)/Pool!$C$10</f>
        <v/>
      </c>
      <c r="AR248">
        <f>IF(RANK(AQ248,$AQ$2:$AQ$266)&lt;=Settings!$F$5,1,0)</f>
        <v/>
      </c>
      <c r="AS248" s="6">
        <f>X248*(U248-Pool!$D$12)</f>
        <v/>
      </c>
      <c r="AT248" s="6">
        <f>Z248*(V248-Pool!$D$13)</f>
        <v/>
      </c>
    </row>
    <row r="249">
      <c r="A249">
        <f>RANK(H249,$H$2:$H$266)</f>
        <v/>
      </c>
      <c r="B249" t="inlineStr">
        <is>
          <t>Jarace Walker</t>
        </is>
      </c>
      <c r="C249">
        <f>INDEX('Player Data'!$C:$C,AL249)</f>
        <v/>
      </c>
      <c r="D249">
        <f>SUMPRODUCT(($AN$2:$AN$266=AN249)*($H$2:$H$266&gt;H249))+1</f>
        <v/>
      </c>
      <c r="E249">
        <f>INDEX('Player Data'!$B:$B,AL249)</f>
        <v/>
      </c>
      <c r="F249" s="2" t="n"/>
      <c r="G249" s="3">
        <f>Settings!$B$2*AB249+Settings!$B$3*AC249+Settings!$B$4*AD249+Settings!$B$5*AE249+Settings!$B$6*AF249+Settings!$B$7*AG249+Settings!$B$8*AH249+Settings!$B$9*AI249+Settings!$B$10*AJ249</f>
        <v/>
      </c>
      <c r="H249" s="3">
        <f>G249-LARGE($G$2:$G$266,Settings!$F$4)</f>
        <v/>
      </c>
      <c r="I249">
        <f>IF(INDEX('Player Data'!$R:$R,AL249)="","",INDEX('Player Data'!$R:$R,AL249))</f>
        <v/>
      </c>
      <c r="J249" s="4">
        <f>IF(I249="","",I249-A249)</f>
        <v/>
      </c>
      <c r="L249" s="5">
        <f>IF(Settings!$F$7="Yes",INDEX('Minutes &amp; Health'!$O:$O,AL249),Settings!$F$8)</f>
        <v/>
      </c>
      <c r="M249" s="6">
        <f>INDEX('Minutes &amp; Health'!$P:$P,AL249)</f>
        <v/>
      </c>
      <c r="N249" s="5">
        <f>INDEX('Player Data'!$F:$F,AL249)/INDEX('Player Data'!$E:$E,AL249)*M249*L249*AM249</f>
        <v/>
      </c>
      <c r="O249" s="5">
        <f>INDEX('Player Data'!$G:$G,AL249)/INDEX('Player Data'!$E:$E,AL249)*M249*L249*AM249</f>
        <v/>
      </c>
      <c r="P249" s="5">
        <f>INDEX('Player Data'!$H:$H,AL249)/INDEX('Player Data'!$E:$E,AL249)*M249*L249*AM249</f>
        <v/>
      </c>
      <c r="Q249" s="5">
        <f>INDEX('Player Data'!$I:$I,AL249)/INDEX('Player Data'!$E:$E,AL249)*M249*L249*AM249</f>
        <v/>
      </c>
      <c r="R249" s="5">
        <f>INDEX('Player Data'!$J:$J,AL249)/INDEX('Player Data'!$E:$E,AL249)*M249*L249*AM249</f>
        <v/>
      </c>
      <c r="S249" s="5">
        <f>INDEX('Player Data'!$K:$K,AL249)/INDEX('Player Data'!$E:$E,AL249)*M249*L249*AM249</f>
        <v/>
      </c>
      <c r="T249" s="5">
        <f>INDEX('Player Data'!$L:$L,AL249)/INDEX('Player Data'!$E:$E,AL249)*M249*L249*AM249</f>
        <v/>
      </c>
      <c r="U249" s="7">
        <f>INDEX('Player Data'!$M:$M,AL249)</f>
        <v/>
      </c>
      <c r="V249" s="7">
        <f>INDEX('Player Data'!$N:$N,AL249)</f>
        <v/>
      </c>
      <c r="W249" s="5">
        <f>X249*U249</f>
        <v/>
      </c>
      <c r="X249" s="5">
        <f>INDEX('Player Data'!$O:$O,AL249)/INDEX('Player Data'!$E:$E,AL249)*M249*L249*AM249</f>
        <v/>
      </c>
      <c r="Y249" s="5">
        <f>Z249*V249</f>
        <v/>
      </c>
      <c r="Z249" s="5">
        <f>INDEX('Player Data'!$P:$P,AL249)/INDEX('Player Data'!$E:$E,AL249)*M249*L249*AM249</f>
        <v/>
      </c>
      <c r="AB249" s="3">
        <f>(N249-Pool!$D$2)/Pool!$E$2</f>
        <v/>
      </c>
      <c r="AC249" s="3">
        <f>(O249-Pool!$D$3)/Pool!$E$3</f>
        <v/>
      </c>
      <c r="AD249" s="3">
        <f>(P249-Pool!$D$4)/Pool!$E$4</f>
        <v/>
      </c>
      <c r="AE249" s="3">
        <f>(Q249-Pool!$D$5)/Pool!$E$5</f>
        <v/>
      </c>
      <c r="AF249" s="3">
        <f>(R249-Pool!$D$6)/Pool!$E$6</f>
        <v/>
      </c>
      <c r="AG249" s="3">
        <f>(S249-Pool!$D$7)/Pool!$E$7</f>
        <v/>
      </c>
      <c r="AH249" s="3">
        <f>(AS249-Pool!$D$8)/Pool!$E$8</f>
        <v/>
      </c>
      <c r="AI249" s="3">
        <f>(AT249-Pool!$D$9)/Pool!$E$9</f>
        <v/>
      </c>
      <c r="AJ249" s="3">
        <f>-(T249-Pool!$D$10)/Pool!$E$10</f>
        <v/>
      </c>
      <c r="AL249">
        <f>MATCH(B249,'Player Data'!$A:$A,0)</f>
        <v/>
      </c>
      <c r="AM249" s="3">
        <f>1+IF(Settings!$F$10="ON",IFERROR(VLOOKUP(TRIM(F249),Settings!$D$12:$F$17,3,FALSE),0),0)</f>
        <v/>
      </c>
      <c r="AN249">
        <f>IFERROR(LEFT(C249,FIND(",",C249)-1),C249)</f>
        <v/>
      </c>
      <c r="AO249" s="6">
        <f>X249*(U249-Pool!$B$12)</f>
        <v/>
      </c>
      <c r="AP249" s="6">
        <f>Z249*(V249-Pool!$B$13)</f>
        <v/>
      </c>
      <c r="AQ249" s="3">
        <f>Settings!$B$2*(N249-Pool!$B$2)/Pool!$C$2+Settings!$B$3*(O249-Pool!$B$3)/Pool!$C$3+Settings!$B$4*(P249-Pool!$B$4)/Pool!$C$4+Settings!$B$5*(Q249-Pool!$B$5)/Pool!$C$5+Settings!$B$6*(R249-Pool!$B$6)/Pool!$C$6+Settings!$B$7*(S249-Pool!$B$7)/Pool!$C$7+Settings!$B$8*(AO249-Pool!$B$8)/Pool!$C$8+Settings!$B$9*(AP249-Pool!$B$9)/Pool!$C$9+Settings!$B$10*-(T249-Pool!$B$10)/Pool!$C$10</f>
        <v/>
      </c>
      <c r="AR249">
        <f>IF(RANK(AQ249,$AQ$2:$AQ$266)&lt;=Settings!$F$5,1,0)</f>
        <v/>
      </c>
      <c r="AS249" s="6">
        <f>X249*(U249-Pool!$D$12)</f>
        <v/>
      </c>
      <c r="AT249" s="6">
        <f>Z249*(V249-Pool!$D$13)</f>
        <v/>
      </c>
    </row>
    <row r="250">
      <c r="A250">
        <f>RANK(H250,$H$2:$H$266)</f>
        <v/>
      </c>
      <c r="B250" t="inlineStr">
        <is>
          <t>Tristan Vukcevic</t>
        </is>
      </c>
      <c r="C250">
        <f>INDEX('Player Data'!$C:$C,AL250)</f>
        <v/>
      </c>
      <c r="D250">
        <f>SUMPRODUCT(($AN$2:$AN$266=AN250)*($H$2:$H$266&gt;H250))+1</f>
        <v/>
      </c>
      <c r="E250">
        <f>INDEX('Player Data'!$B:$B,AL250)</f>
        <v/>
      </c>
      <c r="F250" s="2" t="n"/>
      <c r="G250" s="3">
        <f>Settings!$B$2*AB250+Settings!$B$3*AC250+Settings!$B$4*AD250+Settings!$B$5*AE250+Settings!$B$6*AF250+Settings!$B$7*AG250+Settings!$B$8*AH250+Settings!$B$9*AI250+Settings!$B$10*AJ250</f>
        <v/>
      </c>
      <c r="H250" s="3">
        <f>G250-LARGE($G$2:$G$266,Settings!$F$4)</f>
        <v/>
      </c>
      <c r="I250">
        <f>IF(INDEX('Player Data'!$R:$R,AL250)="","",INDEX('Player Data'!$R:$R,AL250))</f>
        <v/>
      </c>
      <c r="J250" s="4">
        <f>IF(I250="","",I250-A250)</f>
        <v/>
      </c>
      <c r="L250" s="5">
        <f>IF(Settings!$F$7="Yes",INDEX('Minutes &amp; Health'!$O:$O,AL250),Settings!$F$8)</f>
        <v/>
      </c>
      <c r="M250" s="6">
        <f>INDEX('Minutes &amp; Health'!$P:$P,AL250)</f>
        <v/>
      </c>
      <c r="N250" s="5">
        <f>INDEX('Player Data'!$F:$F,AL250)/INDEX('Player Data'!$E:$E,AL250)*M250*L250*AM250</f>
        <v/>
      </c>
      <c r="O250" s="5">
        <f>INDEX('Player Data'!$G:$G,AL250)/INDEX('Player Data'!$E:$E,AL250)*M250*L250*AM250</f>
        <v/>
      </c>
      <c r="P250" s="5">
        <f>INDEX('Player Data'!$H:$H,AL250)/INDEX('Player Data'!$E:$E,AL250)*M250*L250*AM250</f>
        <v/>
      </c>
      <c r="Q250" s="5">
        <f>INDEX('Player Data'!$I:$I,AL250)/INDEX('Player Data'!$E:$E,AL250)*M250*L250*AM250</f>
        <v/>
      </c>
      <c r="R250" s="5">
        <f>INDEX('Player Data'!$J:$J,AL250)/INDEX('Player Data'!$E:$E,AL250)*M250*L250*AM250</f>
        <v/>
      </c>
      <c r="S250" s="5">
        <f>INDEX('Player Data'!$K:$K,AL250)/INDEX('Player Data'!$E:$E,AL250)*M250*L250*AM250</f>
        <v/>
      </c>
      <c r="T250" s="5">
        <f>INDEX('Player Data'!$L:$L,AL250)/INDEX('Player Data'!$E:$E,AL250)*M250*L250*AM250</f>
        <v/>
      </c>
      <c r="U250" s="7">
        <f>INDEX('Player Data'!$M:$M,AL250)</f>
        <v/>
      </c>
      <c r="V250" s="7">
        <f>INDEX('Player Data'!$N:$N,AL250)</f>
        <v/>
      </c>
      <c r="W250" s="5">
        <f>X250*U250</f>
        <v/>
      </c>
      <c r="X250" s="5">
        <f>INDEX('Player Data'!$O:$O,AL250)/INDEX('Player Data'!$E:$E,AL250)*M250*L250*AM250</f>
        <v/>
      </c>
      <c r="Y250" s="5">
        <f>Z250*V250</f>
        <v/>
      </c>
      <c r="Z250" s="5">
        <f>INDEX('Player Data'!$P:$P,AL250)/INDEX('Player Data'!$E:$E,AL250)*M250*L250*AM250</f>
        <v/>
      </c>
      <c r="AB250" s="3">
        <f>(N250-Pool!$D$2)/Pool!$E$2</f>
        <v/>
      </c>
      <c r="AC250" s="3">
        <f>(O250-Pool!$D$3)/Pool!$E$3</f>
        <v/>
      </c>
      <c r="AD250" s="3">
        <f>(P250-Pool!$D$4)/Pool!$E$4</f>
        <v/>
      </c>
      <c r="AE250" s="3">
        <f>(Q250-Pool!$D$5)/Pool!$E$5</f>
        <v/>
      </c>
      <c r="AF250" s="3">
        <f>(R250-Pool!$D$6)/Pool!$E$6</f>
        <v/>
      </c>
      <c r="AG250" s="3">
        <f>(S250-Pool!$D$7)/Pool!$E$7</f>
        <v/>
      </c>
      <c r="AH250" s="3">
        <f>(AS250-Pool!$D$8)/Pool!$E$8</f>
        <v/>
      </c>
      <c r="AI250" s="3">
        <f>(AT250-Pool!$D$9)/Pool!$E$9</f>
        <v/>
      </c>
      <c r="AJ250" s="3">
        <f>-(T250-Pool!$D$10)/Pool!$E$10</f>
        <v/>
      </c>
      <c r="AL250">
        <f>MATCH(B250,'Player Data'!$A:$A,0)</f>
        <v/>
      </c>
      <c r="AM250" s="3">
        <f>1+IF(Settings!$F$10="ON",IFERROR(VLOOKUP(TRIM(F250),Settings!$D$12:$F$17,3,FALSE),0),0)</f>
        <v/>
      </c>
      <c r="AN250">
        <f>IFERROR(LEFT(C250,FIND(",",C250)-1),C250)</f>
        <v/>
      </c>
      <c r="AO250" s="6">
        <f>X250*(U250-Pool!$B$12)</f>
        <v/>
      </c>
      <c r="AP250" s="6">
        <f>Z250*(V250-Pool!$B$13)</f>
        <v/>
      </c>
      <c r="AQ250" s="3">
        <f>Settings!$B$2*(N250-Pool!$B$2)/Pool!$C$2+Settings!$B$3*(O250-Pool!$B$3)/Pool!$C$3+Settings!$B$4*(P250-Pool!$B$4)/Pool!$C$4+Settings!$B$5*(Q250-Pool!$B$5)/Pool!$C$5+Settings!$B$6*(R250-Pool!$B$6)/Pool!$C$6+Settings!$B$7*(S250-Pool!$B$7)/Pool!$C$7+Settings!$B$8*(AO250-Pool!$B$8)/Pool!$C$8+Settings!$B$9*(AP250-Pool!$B$9)/Pool!$C$9+Settings!$B$10*-(T250-Pool!$B$10)/Pool!$C$10</f>
        <v/>
      </c>
      <c r="AR250">
        <f>IF(RANK(AQ250,$AQ$2:$AQ$266)&lt;=Settings!$F$5,1,0)</f>
        <v/>
      </c>
      <c r="AS250" s="6">
        <f>X250*(U250-Pool!$D$12)</f>
        <v/>
      </c>
      <c r="AT250" s="6">
        <f>Z250*(V250-Pool!$D$13)</f>
        <v/>
      </c>
    </row>
    <row r="251">
      <c r="A251">
        <f>RANK(H251,$H$2:$H$266)</f>
        <v/>
      </c>
      <c r="B251" t="inlineStr">
        <is>
          <t>Ben Sheppard</t>
        </is>
      </c>
      <c r="C251">
        <f>INDEX('Player Data'!$C:$C,AL251)</f>
        <v/>
      </c>
      <c r="D251">
        <f>SUMPRODUCT(($AN$2:$AN$266=AN251)*($H$2:$H$266&gt;H251))+1</f>
        <v/>
      </c>
      <c r="E251">
        <f>INDEX('Player Data'!$B:$B,AL251)</f>
        <v/>
      </c>
      <c r="F251" s="2" t="n"/>
      <c r="G251" s="3">
        <f>Settings!$B$2*AB251+Settings!$B$3*AC251+Settings!$B$4*AD251+Settings!$B$5*AE251+Settings!$B$6*AF251+Settings!$B$7*AG251+Settings!$B$8*AH251+Settings!$B$9*AI251+Settings!$B$10*AJ251</f>
        <v/>
      </c>
      <c r="H251" s="3">
        <f>G251-LARGE($G$2:$G$266,Settings!$F$4)</f>
        <v/>
      </c>
      <c r="I251">
        <f>IF(INDEX('Player Data'!$R:$R,AL251)="","",INDEX('Player Data'!$R:$R,AL251))</f>
        <v/>
      </c>
      <c r="J251" s="4">
        <f>IF(I251="","",I251-A251)</f>
        <v/>
      </c>
      <c r="L251" s="5">
        <f>IF(Settings!$F$7="Yes",INDEX('Minutes &amp; Health'!$O:$O,AL251),Settings!$F$8)</f>
        <v/>
      </c>
      <c r="M251" s="6">
        <f>INDEX('Minutes &amp; Health'!$P:$P,AL251)</f>
        <v/>
      </c>
      <c r="N251" s="5">
        <f>INDEX('Player Data'!$F:$F,AL251)/INDEX('Player Data'!$E:$E,AL251)*M251*L251*AM251</f>
        <v/>
      </c>
      <c r="O251" s="5">
        <f>INDEX('Player Data'!$G:$G,AL251)/INDEX('Player Data'!$E:$E,AL251)*M251*L251*AM251</f>
        <v/>
      </c>
      <c r="P251" s="5">
        <f>INDEX('Player Data'!$H:$H,AL251)/INDEX('Player Data'!$E:$E,AL251)*M251*L251*AM251</f>
        <v/>
      </c>
      <c r="Q251" s="5">
        <f>INDEX('Player Data'!$I:$I,AL251)/INDEX('Player Data'!$E:$E,AL251)*M251*L251*AM251</f>
        <v/>
      </c>
      <c r="R251" s="5">
        <f>INDEX('Player Data'!$J:$J,AL251)/INDEX('Player Data'!$E:$E,AL251)*M251*L251*AM251</f>
        <v/>
      </c>
      <c r="S251" s="5">
        <f>INDEX('Player Data'!$K:$K,AL251)/INDEX('Player Data'!$E:$E,AL251)*M251*L251*AM251</f>
        <v/>
      </c>
      <c r="T251" s="5">
        <f>INDEX('Player Data'!$L:$L,AL251)/INDEX('Player Data'!$E:$E,AL251)*M251*L251*AM251</f>
        <v/>
      </c>
      <c r="U251" s="7">
        <f>INDEX('Player Data'!$M:$M,AL251)</f>
        <v/>
      </c>
      <c r="V251" s="7">
        <f>INDEX('Player Data'!$N:$N,AL251)</f>
        <v/>
      </c>
      <c r="W251" s="5">
        <f>X251*U251</f>
        <v/>
      </c>
      <c r="X251" s="5">
        <f>INDEX('Player Data'!$O:$O,AL251)/INDEX('Player Data'!$E:$E,AL251)*M251*L251*AM251</f>
        <v/>
      </c>
      <c r="Y251" s="5">
        <f>Z251*V251</f>
        <v/>
      </c>
      <c r="Z251" s="5">
        <f>INDEX('Player Data'!$P:$P,AL251)/INDEX('Player Data'!$E:$E,AL251)*M251*L251*AM251</f>
        <v/>
      </c>
      <c r="AB251" s="3">
        <f>(N251-Pool!$D$2)/Pool!$E$2</f>
        <v/>
      </c>
      <c r="AC251" s="3">
        <f>(O251-Pool!$D$3)/Pool!$E$3</f>
        <v/>
      </c>
      <c r="AD251" s="3">
        <f>(P251-Pool!$D$4)/Pool!$E$4</f>
        <v/>
      </c>
      <c r="AE251" s="3">
        <f>(Q251-Pool!$D$5)/Pool!$E$5</f>
        <v/>
      </c>
      <c r="AF251" s="3">
        <f>(R251-Pool!$D$6)/Pool!$E$6</f>
        <v/>
      </c>
      <c r="AG251" s="3">
        <f>(S251-Pool!$D$7)/Pool!$E$7</f>
        <v/>
      </c>
      <c r="AH251" s="3">
        <f>(AS251-Pool!$D$8)/Pool!$E$8</f>
        <v/>
      </c>
      <c r="AI251" s="3">
        <f>(AT251-Pool!$D$9)/Pool!$E$9</f>
        <v/>
      </c>
      <c r="AJ251" s="3">
        <f>-(T251-Pool!$D$10)/Pool!$E$10</f>
        <v/>
      </c>
      <c r="AL251">
        <f>MATCH(B251,'Player Data'!$A:$A,0)</f>
        <v/>
      </c>
      <c r="AM251" s="3">
        <f>1+IF(Settings!$F$10="ON",IFERROR(VLOOKUP(TRIM(F251),Settings!$D$12:$F$17,3,FALSE),0),0)</f>
        <v/>
      </c>
      <c r="AN251">
        <f>IFERROR(LEFT(C251,FIND(",",C251)-1),C251)</f>
        <v/>
      </c>
      <c r="AO251" s="6">
        <f>X251*(U251-Pool!$B$12)</f>
        <v/>
      </c>
      <c r="AP251" s="6">
        <f>Z251*(V251-Pool!$B$13)</f>
        <v/>
      </c>
      <c r="AQ251" s="3">
        <f>Settings!$B$2*(N251-Pool!$B$2)/Pool!$C$2+Settings!$B$3*(O251-Pool!$B$3)/Pool!$C$3+Settings!$B$4*(P251-Pool!$B$4)/Pool!$C$4+Settings!$B$5*(Q251-Pool!$B$5)/Pool!$C$5+Settings!$B$6*(R251-Pool!$B$6)/Pool!$C$6+Settings!$B$7*(S251-Pool!$B$7)/Pool!$C$7+Settings!$B$8*(AO251-Pool!$B$8)/Pool!$C$8+Settings!$B$9*(AP251-Pool!$B$9)/Pool!$C$9+Settings!$B$10*-(T251-Pool!$B$10)/Pool!$C$10</f>
        <v/>
      </c>
      <c r="AR251">
        <f>IF(RANK(AQ251,$AQ$2:$AQ$266)&lt;=Settings!$F$5,1,0)</f>
        <v/>
      </c>
      <c r="AS251" s="6">
        <f>X251*(U251-Pool!$D$12)</f>
        <v/>
      </c>
      <c r="AT251" s="6">
        <f>Z251*(V251-Pool!$D$13)</f>
        <v/>
      </c>
    </row>
    <row r="252">
      <c r="A252">
        <f>RANK(H252,$H$2:$H$266)</f>
        <v/>
      </c>
      <c r="B252" t="inlineStr">
        <is>
          <t>Zach Collins</t>
        </is>
      </c>
      <c r="C252">
        <f>INDEX('Player Data'!$C:$C,AL252)</f>
        <v/>
      </c>
      <c r="D252">
        <f>SUMPRODUCT(($AN$2:$AN$266=AN252)*($H$2:$H$266&gt;H252))+1</f>
        <v/>
      </c>
      <c r="E252">
        <f>INDEX('Player Data'!$B:$B,AL252)</f>
        <v/>
      </c>
      <c r="F252" s="2" t="n"/>
      <c r="G252" s="3">
        <f>Settings!$B$2*AB252+Settings!$B$3*AC252+Settings!$B$4*AD252+Settings!$B$5*AE252+Settings!$B$6*AF252+Settings!$B$7*AG252+Settings!$B$8*AH252+Settings!$B$9*AI252+Settings!$B$10*AJ252</f>
        <v/>
      </c>
      <c r="H252" s="3">
        <f>G252-LARGE($G$2:$G$266,Settings!$F$4)</f>
        <v/>
      </c>
      <c r="I252">
        <f>IF(INDEX('Player Data'!$R:$R,AL252)="","",INDEX('Player Data'!$R:$R,AL252))</f>
        <v/>
      </c>
      <c r="J252" s="4">
        <f>IF(I252="","",I252-A252)</f>
        <v/>
      </c>
      <c r="L252" s="5">
        <f>IF(Settings!$F$7="Yes",INDEX('Minutes &amp; Health'!$O:$O,AL252),Settings!$F$8)</f>
        <v/>
      </c>
      <c r="M252" s="6">
        <f>INDEX('Minutes &amp; Health'!$P:$P,AL252)</f>
        <v/>
      </c>
      <c r="N252" s="5">
        <f>INDEX('Player Data'!$F:$F,AL252)/INDEX('Player Data'!$E:$E,AL252)*M252*L252*AM252</f>
        <v/>
      </c>
      <c r="O252" s="5">
        <f>INDEX('Player Data'!$G:$G,AL252)/INDEX('Player Data'!$E:$E,AL252)*M252*L252*AM252</f>
        <v/>
      </c>
      <c r="P252" s="5">
        <f>INDEX('Player Data'!$H:$H,AL252)/INDEX('Player Data'!$E:$E,AL252)*M252*L252*AM252</f>
        <v/>
      </c>
      <c r="Q252" s="5">
        <f>INDEX('Player Data'!$I:$I,AL252)/INDEX('Player Data'!$E:$E,AL252)*M252*L252*AM252</f>
        <v/>
      </c>
      <c r="R252" s="5">
        <f>INDEX('Player Data'!$J:$J,AL252)/INDEX('Player Data'!$E:$E,AL252)*M252*L252*AM252</f>
        <v/>
      </c>
      <c r="S252" s="5">
        <f>INDEX('Player Data'!$K:$K,AL252)/INDEX('Player Data'!$E:$E,AL252)*M252*L252*AM252</f>
        <v/>
      </c>
      <c r="T252" s="5">
        <f>INDEX('Player Data'!$L:$L,AL252)/INDEX('Player Data'!$E:$E,AL252)*M252*L252*AM252</f>
        <v/>
      </c>
      <c r="U252" s="7">
        <f>INDEX('Player Data'!$M:$M,AL252)</f>
        <v/>
      </c>
      <c r="V252" s="7">
        <f>INDEX('Player Data'!$N:$N,AL252)</f>
        <v/>
      </c>
      <c r="W252" s="5">
        <f>X252*U252</f>
        <v/>
      </c>
      <c r="X252" s="5">
        <f>INDEX('Player Data'!$O:$O,AL252)/INDEX('Player Data'!$E:$E,AL252)*M252*L252*AM252</f>
        <v/>
      </c>
      <c r="Y252" s="5">
        <f>Z252*V252</f>
        <v/>
      </c>
      <c r="Z252" s="5">
        <f>INDEX('Player Data'!$P:$P,AL252)/INDEX('Player Data'!$E:$E,AL252)*M252*L252*AM252</f>
        <v/>
      </c>
      <c r="AB252" s="3">
        <f>(N252-Pool!$D$2)/Pool!$E$2</f>
        <v/>
      </c>
      <c r="AC252" s="3">
        <f>(O252-Pool!$D$3)/Pool!$E$3</f>
        <v/>
      </c>
      <c r="AD252" s="3">
        <f>(P252-Pool!$D$4)/Pool!$E$4</f>
        <v/>
      </c>
      <c r="AE252" s="3">
        <f>(Q252-Pool!$D$5)/Pool!$E$5</f>
        <v/>
      </c>
      <c r="AF252" s="3">
        <f>(R252-Pool!$D$6)/Pool!$E$6</f>
        <v/>
      </c>
      <c r="AG252" s="3">
        <f>(S252-Pool!$D$7)/Pool!$E$7</f>
        <v/>
      </c>
      <c r="AH252" s="3">
        <f>(AS252-Pool!$D$8)/Pool!$E$8</f>
        <v/>
      </c>
      <c r="AI252" s="3">
        <f>(AT252-Pool!$D$9)/Pool!$E$9</f>
        <v/>
      </c>
      <c r="AJ252" s="3">
        <f>-(T252-Pool!$D$10)/Pool!$E$10</f>
        <v/>
      </c>
      <c r="AL252">
        <f>MATCH(B252,'Player Data'!$A:$A,0)</f>
        <v/>
      </c>
      <c r="AM252" s="3">
        <f>1+IF(Settings!$F$10="ON",IFERROR(VLOOKUP(TRIM(F252),Settings!$D$12:$F$17,3,FALSE),0),0)</f>
        <v/>
      </c>
      <c r="AN252">
        <f>IFERROR(LEFT(C252,FIND(",",C252)-1),C252)</f>
        <v/>
      </c>
      <c r="AO252" s="6">
        <f>X252*(U252-Pool!$B$12)</f>
        <v/>
      </c>
      <c r="AP252" s="6">
        <f>Z252*(V252-Pool!$B$13)</f>
        <v/>
      </c>
      <c r="AQ252" s="3">
        <f>Settings!$B$2*(N252-Pool!$B$2)/Pool!$C$2+Settings!$B$3*(O252-Pool!$B$3)/Pool!$C$3+Settings!$B$4*(P252-Pool!$B$4)/Pool!$C$4+Settings!$B$5*(Q252-Pool!$B$5)/Pool!$C$5+Settings!$B$6*(R252-Pool!$B$6)/Pool!$C$6+Settings!$B$7*(S252-Pool!$B$7)/Pool!$C$7+Settings!$B$8*(AO252-Pool!$B$8)/Pool!$C$8+Settings!$B$9*(AP252-Pool!$B$9)/Pool!$C$9+Settings!$B$10*-(T252-Pool!$B$10)/Pool!$C$10</f>
        <v/>
      </c>
      <c r="AR252">
        <f>IF(RANK(AQ252,$AQ$2:$AQ$266)&lt;=Settings!$F$5,1,0)</f>
        <v/>
      </c>
      <c r="AS252" s="6">
        <f>X252*(U252-Pool!$D$12)</f>
        <v/>
      </c>
      <c r="AT252" s="6">
        <f>Z252*(V252-Pool!$D$13)</f>
        <v/>
      </c>
    </row>
    <row r="253">
      <c r="A253">
        <f>RANK(H253,$H$2:$H$266)</f>
        <v/>
      </c>
      <c r="B253" t="inlineStr">
        <is>
          <t>Jordan Poole</t>
        </is>
      </c>
      <c r="C253">
        <f>INDEX('Player Data'!$C:$C,AL253)</f>
        <v/>
      </c>
      <c r="D253">
        <f>SUMPRODUCT(($AN$2:$AN$266=AN253)*($H$2:$H$266&gt;H253))+1</f>
        <v/>
      </c>
      <c r="E253">
        <f>INDEX('Player Data'!$B:$B,AL253)</f>
        <v/>
      </c>
      <c r="F253" s="2" t="n"/>
      <c r="G253" s="3">
        <f>Settings!$B$2*AB253+Settings!$B$3*AC253+Settings!$B$4*AD253+Settings!$B$5*AE253+Settings!$B$6*AF253+Settings!$B$7*AG253+Settings!$B$8*AH253+Settings!$B$9*AI253+Settings!$B$10*AJ253</f>
        <v/>
      </c>
      <c r="H253" s="3">
        <f>G253-LARGE($G$2:$G$266,Settings!$F$4)</f>
        <v/>
      </c>
      <c r="I253">
        <f>IF(INDEX('Player Data'!$R:$R,AL253)="","",INDEX('Player Data'!$R:$R,AL253))</f>
        <v/>
      </c>
      <c r="J253" s="4">
        <f>IF(I253="","",I253-A253)</f>
        <v/>
      </c>
      <c r="L253" s="5">
        <f>IF(Settings!$F$7="Yes",INDEX('Minutes &amp; Health'!$O:$O,AL253),Settings!$F$8)</f>
        <v/>
      </c>
      <c r="M253" s="6">
        <f>INDEX('Minutes &amp; Health'!$P:$P,AL253)</f>
        <v/>
      </c>
      <c r="N253" s="5">
        <f>INDEX('Player Data'!$F:$F,AL253)/INDEX('Player Data'!$E:$E,AL253)*M253*L253*AM253</f>
        <v/>
      </c>
      <c r="O253" s="5">
        <f>INDEX('Player Data'!$G:$G,AL253)/INDEX('Player Data'!$E:$E,AL253)*M253*L253*AM253</f>
        <v/>
      </c>
      <c r="P253" s="5">
        <f>INDEX('Player Data'!$H:$H,AL253)/INDEX('Player Data'!$E:$E,AL253)*M253*L253*AM253</f>
        <v/>
      </c>
      <c r="Q253" s="5">
        <f>INDEX('Player Data'!$I:$I,AL253)/INDEX('Player Data'!$E:$E,AL253)*M253*L253*AM253</f>
        <v/>
      </c>
      <c r="R253" s="5">
        <f>INDEX('Player Data'!$J:$J,AL253)/INDEX('Player Data'!$E:$E,AL253)*M253*L253*AM253</f>
        <v/>
      </c>
      <c r="S253" s="5">
        <f>INDEX('Player Data'!$K:$K,AL253)/INDEX('Player Data'!$E:$E,AL253)*M253*L253*AM253</f>
        <v/>
      </c>
      <c r="T253" s="5">
        <f>INDEX('Player Data'!$L:$L,AL253)/INDEX('Player Data'!$E:$E,AL253)*M253*L253*AM253</f>
        <v/>
      </c>
      <c r="U253" s="7">
        <f>INDEX('Player Data'!$M:$M,AL253)</f>
        <v/>
      </c>
      <c r="V253" s="7">
        <f>INDEX('Player Data'!$N:$N,AL253)</f>
        <v/>
      </c>
      <c r="W253" s="5">
        <f>X253*U253</f>
        <v/>
      </c>
      <c r="X253" s="5">
        <f>INDEX('Player Data'!$O:$O,AL253)/INDEX('Player Data'!$E:$E,AL253)*M253*L253*AM253</f>
        <v/>
      </c>
      <c r="Y253" s="5">
        <f>Z253*V253</f>
        <v/>
      </c>
      <c r="Z253" s="5">
        <f>INDEX('Player Data'!$P:$P,AL253)/INDEX('Player Data'!$E:$E,AL253)*M253*L253*AM253</f>
        <v/>
      </c>
      <c r="AB253" s="3">
        <f>(N253-Pool!$D$2)/Pool!$E$2</f>
        <v/>
      </c>
      <c r="AC253" s="3">
        <f>(O253-Pool!$D$3)/Pool!$E$3</f>
        <v/>
      </c>
      <c r="AD253" s="3">
        <f>(P253-Pool!$D$4)/Pool!$E$4</f>
        <v/>
      </c>
      <c r="AE253" s="3">
        <f>(Q253-Pool!$D$5)/Pool!$E$5</f>
        <v/>
      </c>
      <c r="AF253" s="3">
        <f>(R253-Pool!$D$6)/Pool!$E$6</f>
        <v/>
      </c>
      <c r="AG253" s="3">
        <f>(S253-Pool!$D$7)/Pool!$E$7</f>
        <v/>
      </c>
      <c r="AH253" s="3">
        <f>(AS253-Pool!$D$8)/Pool!$E$8</f>
        <v/>
      </c>
      <c r="AI253" s="3">
        <f>(AT253-Pool!$D$9)/Pool!$E$9</f>
        <v/>
      </c>
      <c r="AJ253" s="3">
        <f>-(T253-Pool!$D$10)/Pool!$E$10</f>
        <v/>
      </c>
      <c r="AL253">
        <f>MATCH(B253,'Player Data'!$A:$A,0)</f>
        <v/>
      </c>
      <c r="AM253" s="3">
        <f>1+IF(Settings!$F$10="ON",IFERROR(VLOOKUP(TRIM(F253),Settings!$D$12:$F$17,3,FALSE),0),0)</f>
        <v/>
      </c>
      <c r="AN253">
        <f>IFERROR(LEFT(C253,FIND(",",C253)-1),C253)</f>
        <v/>
      </c>
      <c r="AO253" s="6">
        <f>X253*(U253-Pool!$B$12)</f>
        <v/>
      </c>
      <c r="AP253" s="6">
        <f>Z253*(V253-Pool!$B$13)</f>
        <v/>
      </c>
      <c r="AQ253" s="3">
        <f>Settings!$B$2*(N253-Pool!$B$2)/Pool!$C$2+Settings!$B$3*(O253-Pool!$B$3)/Pool!$C$3+Settings!$B$4*(P253-Pool!$B$4)/Pool!$C$4+Settings!$B$5*(Q253-Pool!$B$5)/Pool!$C$5+Settings!$B$6*(R253-Pool!$B$6)/Pool!$C$6+Settings!$B$7*(S253-Pool!$B$7)/Pool!$C$7+Settings!$B$8*(AO253-Pool!$B$8)/Pool!$C$8+Settings!$B$9*(AP253-Pool!$B$9)/Pool!$C$9+Settings!$B$10*-(T253-Pool!$B$10)/Pool!$C$10</f>
        <v/>
      </c>
      <c r="AR253">
        <f>IF(RANK(AQ253,$AQ$2:$AQ$266)&lt;=Settings!$F$5,1,0)</f>
        <v/>
      </c>
      <c r="AS253" s="6">
        <f>X253*(U253-Pool!$D$12)</f>
        <v/>
      </c>
      <c r="AT253" s="6">
        <f>Z253*(V253-Pool!$D$13)</f>
        <v/>
      </c>
    </row>
    <row r="254">
      <c r="A254">
        <f>RANK(H254,$H$2:$H$266)</f>
        <v/>
      </c>
      <c r="B254" t="inlineStr">
        <is>
          <t>Moses Moody</t>
        </is>
      </c>
      <c r="C254">
        <f>INDEX('Player Data'!$C:$C,AL254)</f>
        <v/>
      </c>
      <c r="D254">
        <f>SUMPRODUCT(($AN$2:$AN$266=AN254)*($H$2:$H$266&gt;H254))+1</f>
        <v/>
      </c>
      <c r="E254">
        <f>INDEX('Player Data'!$B:$B,AL254)</f>
        <v/>
      </c>
      <c r="F254" s="2" t="n"/>
      <c r="G254" s="3">
        <f>Settings!$B$2*AB254+Settings!$B$3*AC254+Settings!$B$4*AD254+Settings!$B$5*AE254+Settings!$B$6*AF254+Settings!$B$7*AG254+Settings!$B$8*AH254+Settings!$B$9*AI254+Settings!$B$10*AJ254</f>
        <v/>
      </c>
      <c r="H254" s="3">
        <f>G254-LARGE($G$2:$G$266,Settings!$F$4)</f>
        <v/>
      </c>
      <c r="I254">
        <f>IF(INDEX('Player Data'!$R:$R,AL254)="","",INDEX('Player Data'!$R:$R,AL254))</f>
        <v/>
      </c>
      <c r="J254" s="4">
        <f>IF(I254="","",I254-A254)</f>
        <v/>
      </c>
      <c r="L254" s="5">
        <f>IF(Settings!$F$7="Yes",INDEX('Minutes &amp; Health'!$O:$O,AL254),Settings!$F$8)</f>
        <v/>
      </c>
      <c r="M254" s="6">
        <f>INDEX('Minutes &amp; Health'!$P:$P,AL254)</f>
        <v/>
      </c>
      <c r="N254" s="5">
        <f>INDEX('Player Data'!$F:$F,AL254)/INDEX('Player Data'!$E:$E,AL254)*M254*L254*AM254</f>
        <v/>
      </c>
      <c r="O254" s="5">
        <f>INDEX('Player Data'!$G:$G,AL254)/INDEX('Player Data'!$E:$E,AL254)*M254*L254*AM254</f>
        <v/>
      </c>
      <c r="P254" s="5">
        <f>INDEX('Player Data'!$H:$H,AL254)/INDEX('Player Data'!$E:$E,AL254)*M254*L254*AM254</f>
        <v/>
      </c>
      <c r="Q254" s="5">
        <f>INDEX('Player Data'!$I:$I,AL254)/INDEX('Player Data'!$E:$E,AL254)*M254*L254*AM254</f>
        <v/>
      </c>
      <c r="R254" s="5">
        <f>INDEX('Player Data'!$J:$J,AL254)/INDEX('Player Data'!$E:$E,AL254)*M254*L254*AM254</f>
        <v/>
      </c>
      <c r="S254" s="5">
        <f>INDEX('Player Data'!$K:$K,AL254)/INDEX('Player Data'!$E:$E,AL254)*M254*L254*AM254</f>
        <v/>
      </c>
      <c r="T254" s="5">
        <f>INDEX('Player Data'!$L:$L,AL254)/INDEX('Player Data'!$E:$E,AL254)*M254*L254*AM254</f>
        <v/>
      </c>
      <c r="U254" s="7">
        <f>INDEX('Player Data'!$M:$M,AL254)</f>
        <v/>
      </c>
      <c r="V254" s="7">
        <f>INDEX('Player Data'!$N:$N,AL254)</f>
        <v/>
      </c>
      <c r="W254" s="5">
        <f>X254*U254</f>
        <v/>
      </c>
      <c r="X254" s="5">
        <f>INDEX('Player Data'!$O:$O,AL254)/INDEX('Player Data'!$E:$E,AL254)*M254*L254*AM254</f>
        <v/>
      </c>
      <c r="Y254" s="5">
        <f>Z254*V254</f>
        <v/>
      </c>
      <c r="Z254" s="5">
        <f>INDEX('Player Data'!$P:$P,AL254)/INDEX('Player Data'!$E:$E,AL254)*M254*L254*AM254</f>
        <v/>
      </c>
      <c r="AB254" s="3">
        <f>(N254-Pool!$D$2)/Pool!$E$2</f>
        <v/>
      </c>
      <c r="AC254" s="3">
        <f>(O254-Pool!$D$3)/Pool!$E$3</f>
        <v/>
      </c>
      <c r="AD254" s="3">
        <f>(P254-Pool!$D$4)/Pool!$E$4</f>
        <v/>
      </c>
      <c r="AE254" s="3">
        <f>(Q254-Pool!$D$5)/Pool!$E$5</f>
        <v/>
      </c>
      <c r="AF254" s="3">
        <f>(R254-Pool!$D$6)/Pool!$E$6</f>
        <v/>
      </c>
      <c r="AG254" s="3">
        <f>(S254-Pool!$D$7)/Pool!$E$7</f>
        <v/>
      </c>
      <c r="AH254" s="3">
        <f>(AS254-Pool!$D$8)/Pool!$E$8</f>
        <v/>
      </c>
      <c r="AI254" s="3">
        <f>(AT254-Pool!$D$9)/Pool!$E$9</f>
        <v/>
      </c>
      <c r="AJ254" s="3">
        <f>-(T254-Pool!$D$10)/Pool!$E$10</f>
        <v/>
      </c>
      <c r="AL254">
        <f>MATCH(B254,'Player Data'!$A:$A,0)</f>
        <v/>
      </c>
      <c r="AM254" s="3">
        <f>1+IF(Settings!$F$10="ON",IFERROR(VLOOKUP(TRIM(F254),Settings!$D$12:$F$17,3,FALSE),0),0)</f>
        <v/>
      </c>
      <c r="AN254">
        <f>IFERROR(LEFT(C254,FIND(",",C254)-1),C254)</f>
        <v/>
      </c>
      <c r="AO254" s="6">
        <f>X254*(U254-Pool!$B$12)</f>
        <v/>
      </c>
      <c r="AP254" s="6">
        <f>Z254*(V254-Pool!$B$13)</f>
        <v/>
      </c>
      <c r="AQ254" s="3">
        <f>Settings!$B$2*(N254-Pool!$B$2)/Pool!$C$2+Settings!$B$3*(O254-Pool!$B$3)/Pool!$C$3+Settings!$B$4*(P254-Pool!$B$4)/Pool!$C$4+Settings!$B$5*(Q254-Pool!$B$5)/Pool!$C$5+Settings!$B$6*(R254-Pool!$B$6)/Pool!$C$6+Settings!$B$7*(S254-Pool!$B$7)/Pool!$C$7+Settings!$B$8*(AO254-Pool!$B$8)/Pool!$C$8+Settings!$B$9*(AP254-Pool!$B$9)/Pool!$C$9+Settings!$B$10*-(T254-Pool!$B$10)/Pool!$C$10</f>
        <v/>
      </c>
      <c r="AR254">
        <f>IF(RANK(AQ254,$AQ$2:$AQ$266)&lt;=Settings!$F$5,1,0)</f>
        <v/>
      </c>
      <c r="AS254" s="6">
        <f>X254*(U254-Pool!$D$12)</f>
        <v/>
      </c>
      <c r="AT254" s="6">
        <f>Z254*(V254-Pool!$D$13)</f>
        <v/>
      </c>
    </row>
    <row r="255">
      <c r="A255">
        <f>RANK(H255,$H$2:$H$266)</f>
        <v/>
      </c>
      <c r="B255" t="inlineStr">
        <is>
          <t>Mark Williams</t>
        </is>
      </c>
      <c r="C255">
        <f>INDEX('Player Data'!$C:$C,AL255)</f>
        <v/>
      </c>
      <c r="D255">
        <f>SUMPRODUCT(($AN$2:$AN$266=AN255)*($H$2:$H$266&gt;H255))+1</f>
        <v/>
      </c>
      <c r="E255">
        <f>INDEX('Player Data'!$B:$B,AL255)</f>
        <v/>
      </c>
      <c r="F255" s="2" t="n"/>
      <c r="G255" s="3">
        <f>Settings!$B$2*AB255+Settings!$B$3*AC255+Settings!$B$4*AD255+Settings!$B$5*AE255+Settings!$B$6*AF255+Settings!$B$7*AG255+Settings!$B$8*AH255+Settings!$B$9*AI255+Settings!$B$10*AJ255</f>
        <v/>
      </c>
      <c r="H255" s="3">
        <f>G255-LARGE($G$2:$G$266,Settings!$F$4)</f>
        <v/>
      </c>
      <c r="I255">
        <f>IF(INDEX('Player Data'!$R:$R,AL255)="","",INDEX('Player Data'!$R:$R,AL255))</f>
        <v/>
      </c>
      <c r="J255" s="4">
        <f>IF(I255="","",I255-A255)</f>
        <v/>
      </c>
      <c r="L255" s="5">
        <f>IF(Settings!$F$7="Yes",INDEX('Minutes &amp; Health'!$O:$O,AL255),Settings!$F$8)</f>
        <v/>
      </c>
      <c r="M255" s="6">
        <f>INDEX('Minutes &amp; Health'!$P:$P,AL255)</f>
        <v/>
      </c>
      <c r="N255" s="5">
        <f>INDEX('Player Data'!$F:$F,AL255)/INDEX('Player Data'!$E:$E,AL255)*M255*L255*AM255</f>
        <v/>
      </c>
      <c r="O255" s="5">
        <f>INDEX('Player Data'!$G:$G,AL255)/INDEX('Player Data'!$E:$E,AL255)*M255*L255*AM255</f>
        <v/>
      </c>
      <c r="P255" s="5">
        <f>INDEX('Player Data'!$H:$H,AL255)/INDEX('Player Data'!$E:$E,AL255)*M255*L255*AM255</f>
        <v/>
      </c>
      <c r="Q255" s="5">
        <f>INDEX('Player Data'!$I:$I,AL255)/INDEX('Player Data'!$E:$E,AL255)*M255*L255*AM255</f>
        <v/>
      </c>
      <c r="R255" s="5">
        <f>INDEX('Player Data'!$J:$J,AL255)/INDEX('Player Data'!$E:$E,AL255)*M255*L255*AM255</f>
        <v/>
      </c>
      <c r="S255" s="5">
        <f>INDEX('Player Data'!$K:$K,AL255)/INDEX('Player Data'!$E:$E,AL255)*M255*L255*AM255</f>
        <v/>
      </c>
      <c r="T255" s="5">
        <f>INDEX('Player Data'!$L:$L,AL255)/INDEX('Player Data'!$E:$E,AL255)*M255*L255*AM255</f>
        <v/>
      </c>
      <c r="U255" s="7">
        <f>INDEX('Player Data'!$M:$M,AL255)</f>
        <v/>
      </c>
      <c r="V255" s="7">
        <f>INDEX('Player Data'!$N:$N,AL255)</f>
        <v/>
      </c>
      <c r="W255" s="5">
        <f>X255*U255</f>
        <v/>
      </c>
      <c r="X255" s="5">
        <f>INDEX('Player Data'!$O:$O,AL255)/INDEX('Player Data'!$E:$E,AL255)*M255*L255*AM255</f>
        <v/>
      </c>
      <c r="Y255" s="5">
        <f>Z255*V255</f>
        <v/>
      </c>
      <c r="Z255" s="5">
        <f>INDEX('Player Data'!$P:$P,AL255)/INDEX('Player Data'!$E:$E,AL255)*M255*L255*AM255</f>
        <v/>
      </c>
      <c r="AB255" s="3">
        <f>(N255-Pool!$D$2)/Pool!$E$2</f>
        <v/>
      </c>
      <c r="AC255" s="3">
        <f>(O255-Pool!$D$3)/Pool!$E$3</f>
        <v/>
      </c>
      <c r="AD255" s="3">
        <f>(P255-Pool!$D$4)/Pool!$E$4</f>
        <v/>
      </c>
      <c r="AE255" s="3">
        <f>(Q255-Pool!$D$5)/Pool!$E$5</f>
        <v/>
      </c>
      <c r="AF255" s="3">
        <f>(R255-Pool!$D$6)/Pool!$E$6</f>
        <v/>
      </c>
      <c r="AG255" s="3">
        <f>(S255-Pool!$D$7)/Pool!$E$7</f>
        <v/>
      </c>
      <c r="AH255" s="3">
        <f>(AS255-Pool!$D$8)/Pool!$E$8</f>
        <v/>
      </c>
      <c r="AI255" s="3">
        <f>(AT255-Pool!$D$9)/Pool!$E$9</f>
        <v/>
      </c>
      <c r="AJ255" s="3">
        <f>-(T255-Pool!$D$10)/Pool!$E$10</f>
        <v/>
      </c>
      <c r="AL255">
        <f>MATCH(B255,'Player Data'!$A:$A,0)</f>
        <v/>
      </c>
      <c r="AM255" s="3">
        <f>1+IF(Settings!$F$10="ON",IFERROR(VLOOKUP(TRIM(F255),Settings!$D$12:$F$17,3,FALSE),0),0)</f>
        <v/>
      </c>
      <c r="AN255">
        <f>IFERROR(LEFT(C255,FIND(",",C255)-1),C255)</f>
        <v/>
      </c>
      <c r="AO255" s="6">
        <f>X255*(U255-Pool!$B$12)</f>
        <v/>
      </c>
      <c r="AP255" s="6">
        <f>Z255*(V255-Pool!$B$13)</f>
        <v/>
      </c>
      <c r="AQ255" s="3">
        <f>Settings!$B$2*(N255-Pool!$B$2)/Pool!$C$2+Settings!$B$3*(O255-Pool!$B$3)/Pool!$C$3+Settings!$B$4*(P255-Pool!$B$4)/Pool!$C$4+Settings!$B$5*(Q255-Pool!$B$5)/Pool!$C$5+Settings!$B$6*(R255-Pool!$B$6)/Pool!$C$6+Settings!$B$7*(S255-Pool!$B$7)/Pool!$C$7+Settings!$B$8*(AO255-Pool!$B$8)/Pool!$C$8+Settings!$B$9*(AP255-Pool!$B$9)/Pool!$C$9+Settings!$B$10*-(T255-Pool!$B$10)/Pool!$C$10</f>
        <v/>
      </c>
      <c r="AR255">
        <f>IF(RANK(AQ255,$AQ$2:$AQ$266)&lt;=Settings!$F$5,1,0)</f>
        <v/>
      </c>
      <c r="AS255" s="6">
        <f>X255*(U255-Pool!$D$12)</f>
        <v/>
      </c>
      <c r="AT255" s="6">
        <f>Z255*(V255-Pool!$D$13)</f>
        <v/>
      </c>
    </row>
    <row r="256">
      <c r="A256">
        <f>RANK(H256,$H$2:$H$266)</f>
        <v/>
      </c>
      <c r="B256" t="inlineStr">
        <is>
          <t>Steven Adams</t>
        </is>
      </c>
      <c r="C256">
        <f>INDEX('Player Data'!$C:$C,AL256)</f>
        <v/>
      </c>
      <c r="D256">
        <f>SUMPRODUCT(($AN$2:$AN$266=AN256)*($H$2:$H$266&gt;H256))+1</f>
        <v/>
      </c>
      <c r="E256">
        <f>INDEX('Player Data'!$B:$B,AL256)</f>
        <v/>
      </c>
      <c r="F256" s="2" t="n"/>
      <c r="G256" s="3">
        <f>Settings!$B$2*AB256+Settings!$B$3*AC256+Settings!$B$4*AD256+Settings!$B$5*AE256+Settings!$B$6*AF256+Settings!$B$7*AG256+Settings!$B$8*AH256+Settings!$B$9*AI256+Settings!$B$10*AJ256</f>
        <v/>
      </c>
      <c r="H256" s="3">
        <f>G256-LARGE($G$2:$G$266,Settings!$F$4)</f>
        <v/>
      </c>
      <c r="I256">
        <f>IF(INDEX('Player Data'!$R:$R,AL256)="","",INDEX('Player Data'!$R:$R,AL256))</f>
        <v/>
      </c>
      <c r="J256" s="4">
        <f>IF(I256="","",I256-A256)</f>
        <v/>
      </c>
      <c r="L256" s="5">
        <f>IF(Settings!$F$7="Yes",INDEX('Minutes &amp; Health'!$O:$O,AL256),Settings!$F$8)</f>
        <v/>
      </c>
      <c r="M256" s="6">
        <f>INDEX('Minutes &amp; Health'!$P:$P,AL256)</f>
        <v/>
      </c>
      <c r="N256" s="5">
        <f>INDEX('Player Data'!$F:$F,AL256)/INDEX('Player Data'!$E:$E,AL256)*M256*L256*AM256</f>
        <v/>
      </c>
      <c r="O256" s="5">
        <f>INDEX('Player Data'!$G:$G,AL256)/INDEX('Player Data'!$E:$E,AL256)*M256*L256*AM256</f>
        <v/>
      </c>
      <c r="P256" s="5">
        <f>INDEX('Player Data'!$H:$H,AL256)/INDEX('Player Data'!$E:$E,AL256)*M256*L256*AM256</f>
        <v/>
      </c>
      <c r="Q256" s="5">
        <f>INDEX('Player Data'!$I:$I,AL256)/INDEX('Player Data'!$E:$E,AL256)*M256*L256*AM256</f>
        <v/>
      </c>
      <c r="R256" s="5">
        <f>INDEX('Player Data'!$J:$J,AL256)/INDEX('Player Data'!$E:$E,AL256)*M256*L256*AM256</f>
        <v/>
      </c>
      <c r="S256" s="5">
        <f>INDEX('Player Data'!$K:$K,AL256)/INDEX('Player Data'!$E:$E,AL256)*M256*L256*AM256</f>
        <v/>
      </c>
      <c r="T256" s="5">
        <f>INDEX('Player Data'!$L:$L,AL256)/INDEX('Player Data'!$E:$E,AL256)*M256*L256*AM256</f>
        <v/>
      </c>
      <c r="U256" s="7">
        <f>INDEX('Player Data'!$M:$M,AL256)</f>
        <v/>
      </c>
      <c r="V256" s="7">
        <f>INDEX('Player Data'!$N:$N,AL256)</f>
        <v/>
      </c>
      <c r="W256" s="5">
        <f>X256*U256</f>
        <v/>
      </c>
      <c r="X256" s="5">
        <f>INDEX('Player Data'!$O:$O,AL256)/INDEX('Player Data'!$E:$E,AL256)*M256*L256*AM256</f>
        <v/>
      </c>
      <c r="Y256" s="5">
        <f>Z256*V256</f>
        <v/>
      </c>
      <c r="Z256" s="5">
        <f>INDEX('Player Data'!$P:$P,AL256)/INDEX('Player Data'!$E:$E,AL256)*M256*L256*AM256</f>
        <v/>
      </c>
      <c r="AB256" s="3">
        <f>(N256-Pool!$D$2)/Pool!$E$2</f>
        <v/>
      </c>
      <c r="AC256" s="3">
        <f>(O256-Pool!$D$3)/Pool!$E$3</f>
        <v/>
      </c>
      <c r="AD256" s="3">
        <f>(P256-Pool!$D$4)/Pool!$E$4</f>
        <v/>
      </c>
      <c r="AE256" s="3">
        <f>(Q256-Pool!$D$5)/Pool!$E$5</f>
        <v/>
      </c>
      <c r="AF256" s="3">
        <f>(R256-Pool!$D$6)/Pool!$E$6</f>
        <v/>
      </c>
      <c r="AG256" s="3">
        <f>(S256-Pool!$D$7)/Pool!$E$7</f>
        <v/>
      </c>
      <c r="AH256" s="3">
        <f>(AS256-Pool!$D$8)/Pool!$E$8</f>
        <v/>
      </c>
      <c r="AI256" s="3">
        <f>(AT256-Pool!$D$9)/Pool!$E$9</f>
        <v/>
      </c>
      <c r="AJ256" s="3">
        <f>-(T256-Pool!$D$10)/Pool!$E$10</f>
        <v/>
      </c>
      <c r="AL256">
        <f>MATCH(B256,'Player Data'!$A:$A,0)</f>
        <v/>
      </c>
      <c r="AM256" s="3">
        <f>1+IF(Settings!$F$10="ON",IFERROR(VLOOKUP(TRIM(F256),Settings!$D$12:$F$17,3,FALSE),0),0)</f>
        <v/>
      </c>
      <c r="AN256">
        <f>IFERROR(LEFT(C256,FIND(",",C256)-1),C256)</f>
        <v/>
      </c>
      <c r="AO256" s="6">
        <f>X256*(U256-Pool!$B$12)</f>
        <v/>
      </c>
      <c r="AP256" s="6">
        <f>Z256*(V256-Pool!$B$13)</f>
        <v/>
      </c>
      <c r="AQ256" s="3">
        <f>Settings!$B$2*(N256-Pool!$B$2)/Pool!$C$2+Settings!$B$3*(O256-Pool!$B$3)/Pool!$C$3+Settings!$B$4*(P256-Pool!$B$4)/Pool!$C$4+Settings!$B$5*(Q256-Pool!$B$5)/Pool!$C$5+Settings!$B$6*(R256-Pool!$B$6)/Pool!$C$6+Settings!$B$7*(S256-Pool!$B$7)/Pool!$C$7+Settings!$B$8*(AO256-Pool!$B$8)/Pool!$C$8+Settings!$B$9*(AP256-Pool!$B$9)/Pool!$C$9+Settings!$B$10*-(T256-Pool!$B$10)/Pool!$C$10</f>
        <v/>
      </c>
      <c r="AR256">
        <f>IF(RANK(AQ256,$AQ$2:$AQ$266)&lt;=Settings!$F$5,1,0)</f>
        <v/>
      </c>
      <c r="AS256" s="6">
        <f>X256*(U256-Pool!$D$12)</f>
        <v/>
      </c>
      <c r="AT256" s="6">
        <f>Z256*(V256-Pool!$D$13)</f>
        <v/>
      </c>
    </row>
    <row r="257">
      <c r="A257">
        <f>RANK(H257,$H$2:$H$266)</f>
        <v/>
      </c>
      <c r="B257" t="inlineStr">
        <is>
          <t>Jeremy Sochan</t>
        </is>
      </c>
      <c r="C257">
        <f>INDEX('Player Data'!$C:$C,AL257)</f>
        <v/>
      </c>
      <c r="D257">
        <f>SUMPRODUCT(($AN$2:$AN$266=AN257)*($H$2:$H$266&gt;H257))+1</f>
        <v/>
      </c>
      <c r="E257">
        <f>INDEX('Player Data'!$B:$B,AL257)</f>
        <v/>
      </c>
      <c r="F257" s="2" t="n"/>
      <c r="G257" s="3">
        <f>Settings!$B$2*AB257+Settings!$B$3*AC257+Settings!$B$4*AD257+Settings!$B$5*AE257+Settings!$B$6*AF257+Settings!$B$7*AG257+Settings!$B$8*AH257+Settings!$B$9*AI257+Settings!$B$10*AJ257</f>
        <v/>
      </c>
      <c r="H257" s="3">
        <f>G257-LARGE($G$2:$G$266,Settings!$F$4)</f>
        <v/>
      </c>
      <c r="I257">
        <f>IF(INDEX('Player Data'!$R:$R,AL257)="","",INDEX('Player Data'!$R:$R,AL257))</f>
        <v/>
      </c>
      <c r="J257" s="4">
        <f>IF(I257="","",I257-A257)</f>
        <v/>
      </c>
      <c r="L257" s="5">
        <f>IF(Settings!$F$7="Yes",INDEX('Minutes &amp; Health'!$O:$O,AL257),Settings!$F$8)</f>
        <v/>
      </c>
      <c r="M257" s="6">
        <f>INDEX('Minutes &amp; Health'!$P:$P,AL257)</f>
        <v/>
      </c>
      <c r="N257" s="5">
        <f>INDEX('Player Data'!$F:$F,AL257)/INDEX('Player Data'!$E:$E,AL257)*M257*L257*AM257</f>
        <v/>
      </c>
      <c r="O257" s="5">
        <f>INDEX('Player Data'!$G:$G,AL257)/INDEX('Player Data'!$E:$E,AL257)*M257*L257*AM257</f>
        <v/>
      </c>
      <c r="P257" s="5">
        <f>INDEX('Player Data'!$H:$H,AL257)/INDEX('Player Data'!$E:$E,AL257)*M257*L257*AM257</f>
        <v/>
      </c>
      <c r="Q257" s="5">
        <f>INDEX('Player Data'!$I:$I,AL257)/INDEX('Player Data'!$E:$E,AL257)*M257*L257*AM257</f>
        <v/>
      </c>
      <c r="R257" s="5">
        <f>INDEX('Player Data'!$J:$J,AL257)/INDEX('Player Data'!$E:$E,AL257)*M257*L257*AM257</f>
        <v/>
      </c>
      <c r="S257" s="5">
        <f>INDEX('Player Data'!$K:$K,AL257)/INDEX('Player Data'!$E:$E,AL257)*M257*L257*AM257</f>
        <v/>
      </c>
      <c r="T257" s="5">
        <f>INDEX('Player Data'!$L:$L,AL257)/INDEX('Player Data'!$E:$E,AL257)*M257*L257*AM257</f>
        <v/>
      </c>
      <c r="U257" s="7">
        <f>INDEX('Player Data'!$M:$M,AL257)</f>
        <v/>
      </c>
      <c r="V257" s="7">
        <f>INDEX('Player Data'!$N:$N,AL257)</f>
        <v/>
      </c>
      <c r="W257" s="5">
        <f>X257*U257</f>
        <v/>
      </c>
      <c r="X257" s="5">
        <f>INDEX('Player Data'!$O:$O,AL257)/INDEX('Player Data'!$E:$E,AL257)*M257*L257*AM257</f>
        <v/>
      </c>
      <c r="Y257" s="5">
        <f>Z257*V257</f>
        <v/>
      </c>
      <c r="Z257" s="5">
        <f>INDEX('Player Data'!$P:$P,AL257)/INDEX('Player Data'!$E:$E,AL257)*M257*L257*AM257</f>
        <v/>
      </c>
      <c r="AB257" s="3">
        <f>(N257-Pool!$D$2)/Pool!$E$2</f>
        <v/>
      </c>
      <c r="AC257" s="3">
        <f>(O257-Pool!$D$3)/Pool!$E$3</f>
        <v/>
      </c>
      <c r="AD257" s="3">
        <f>(P257-Pool!$D$4)/Pool!$E$4</f>
        <v/>
      </c>
      <c r="AE257" s="3">
        <f>(Q257-Pool!$D$5)/Pool!$E$5</f>
        <v/>
      </c>
      <c r="AF257" s="3">
        <f>(R257-Pool!$D$6)/Pool!$E$6</f>
        <v/>
      </c>
      <c r="AG257" s="3">
        <f>(S257-Pool!$D$7)/Pool!$E$7</f>
        <v/>
      </c>
      <c r="AH257" s="3">
        <f>(AS257-Pool!$D$8)/Pool!$E$8</f>
        <v/>
      </c>
      <c r="AI257" s="3">
        <f>(AT257-Pool!$D$9)/Pool!$E$9</f>
        <v/>
      </c>
      <c r="AJ257" s="3">
        <f>-(T257-Pool!$D$10)/Pool!$E$10</f>
        <v/>
      </c>
      <c r="AL257">
        <f>MATCH(B257,'Player Data'!$A:$A,0)</f>
        <v/>
      </c>
      <c r="AM257" s="3">
        <f>1+IF(Settings!$F$10="ON",IFERROR(VLOOKUP(TRIM(F257),Settings!$D$12:$F$17,3,FALSE),0),0)</f>
        <v/>
      </c>
      <c r="AN257">
        <f>IFERROR(LEFT(C257,FIND(",",C257)-1),C257)</f>
        <v/>
      </c>
      <c r="AO257" s="6">
        <f>X257*(U257-Pool!$B$12)</f>
        <v/>
      </c>
      <c r="AP257" s="6">
        <f>Z257*(V257-Pool!$B$13)</f>
        <v/>
      </c>
      <c r="AQ257" s="3">
        <f>Settings!$B$2*(N257-Pool!$B$2)/Pool!$C$2+Settings!$B$3*(O257-Pool!$B$3)/Pool!$C$3+Settings!$B$4*(P257-Pool!$B$4)/Pool!$C$4+Settings!$B$5*(Q257-Pool!$B$5)/Pool!$C$5+Settings!$B$6*(R257-Pool!$B$6)/Pool!$C$6+Settings!$B$7*(S257-Pool!$B$7)/Pool!$C$7+Settings!$B$8*(AO257-Pool!$B$8)/Pool!$C$8+Settings!$B$9*(AP257-Pool!$B$9)/Pool!$C$9+Settings!$B$10*-(T257-Pool!$B$10)/Pool!$C$10</f>
        <v/>
      </c>
      <c r="AR257">
        <f>IF(RANK(AQ257,$AQ$2:$AQ$266)&lt;=Settings!$F$5,1,0)</f>
        <v/>
      </c>
      <c r="AS257" s="6">
        <f>X257*(U257-Pool!$D$12)</f>
        <v/>
      </c>
      <c r="AT257" s="6">
        <f>Z257*(V257-Pool!$D$13)</f>
        <v/>
      </c>
    </row>
    <row r="258">
      <c r="A258">
        <f>RANK(H258,$H$2:$H$266)</f>
        <v/>
      </c>
      <c r="B258" t="inlineStr">
        <is>
          <t>Clint Capela</t>
        </is>
      </c>
      <c r="C258">
        <f>INDEX('Player Data'!$C:$C,AL258)</f>
        <v/>
      </c>
      <c r="D258">
        <f>SUMPRODUCT(($AN$2:$AN$266=AN258)*($H$2:$H$266&gt;H258))+1</f>
        <v/>
      </c>
      <c r="E258">
        <f>INDEX('Player Data'!$B:$B,AL258)</f>
        <v/>
      </c>
      <c r="F258" s="2" t="n"/>
      <c r="G258" s="3">
        <f>Settings!$B$2*AB258+Settings!$B$3*AC258+Settings!$B$4*AD258+Settings!$B$5*AE258+Settings!$B$6*AF258+Settings!$B$7*AG258+Settings!$B$8*AH258+Settings!$B$9*AI258+Settings!$B$10*AJ258</f>
        <v/>
      </c>
      <c r="H258" s="3">
        <f>G258-LARGE($G$2:$G$266,Settings!$F$4)</f>
        <v/>
      </c>
      <c r="I258">
        <f>IF(INDEX('Player Data'!$R:$R,AL258)="","",INDEX('Player Data'!$R:$R,AL258))</f>
        <v/>
      </c>
      <c r="J258" s="4">
        <f>IF(I258="","",I258-A258)</f>
        <v/>
      </c>
      <c r="L258" s="5">
        <f>IF(Settings!$F$7="Yes",INDEX('Minutes &amp; Health'!$O:$O,AL258),Settings!$F$8)</f>
        <v/>
      </c>
      <c r="M258" s="6">
        <f>INDEX('Minutes &amp; Health'!$P:$P,AL258)</f>
        <v/>
      </c>
      <c r="N258" s="5">
        <f>INDEX('Player Data'!$F:$F,AL258)/INDEX('Player Data'!$E:$E,AL258)*M258*L258*AM258</f>
        <v/>
      </c>
      <c r="O258" s="5">
        <f>INDEX('Player Data'!$G:$G,AL258)/INDEX('Player Data'!$E:$E,AL258)*M258*L258*AM258</f>
        <v/>
      </c>
      <c r="P258" s="5">
        <f>INDEX('Player Data'!$H:$H,AL258)/INDEX('Player Data'!$E:$E,AL258)*M258*L258*AM258</f>
        <v/>
      </c>
      <c r="Q258" s="5">
        <f>INDEX('Player Data'!$I:$I,AL258)/INDEX('Player Data'!$E:$E,AL258)*M258*L258*AM258</f>
        <v/>
      </c>
      <c r="R258" s="5">
        <f>INDEX('Player Data'!$J:$J,AL258)/INDEX('Player Data'!$E:$E,AL258)*M258*L258*AM258</f>
        <v/>
      </c>
      <c r="S258" s="5">
        <f>INDEX('Player Data'!$K:$K,AL258)/INDEX('Player Data'!$E:$E,AL258)*M258*L258*AM258</f>
        <v/>
      </c>
      <c r="T258" s="5">
        <f>INDEX('Player Data'!$L:$L,AL258)/INDEX('Player Data'!$E:$E,AL258)*M258*L258*AM258</f>
        <v/>
      </c>
      <c r="U258" s="7">
        <f>INDEX('Player Data'!$M:$M,AL258)</f>
        <v/>
      </c>
      <c r="V258" s="7">
        <f>INDEX('Player Data'!$N:$N,AL258)</f>
        <v/>
      </c>
      <c r="W258" s="5">
        <f>X258*U258</f>
        <v/>
      </c>
      <c r="X258" s="5">
        <f>INDEX('Player Data'!$O:$O,AL258)/INDEX('Player Data'!$E:$E,AL258)*M258*L258*AM258</f>
        <v/>
      </c>
      <c r="Y258" s="5">
        <f>Z258*V258</f>
        <v/>
      </c>
      <c r="Z258" s="5">
        <f>INDEX('Player Data'!$P:$P,AL258)/INDEX('Player Data'!$E:$E,AL258)*M258*L258*AM258</f>
        <v/>
      </c>
      <c r="AB258" s="3">
        <f>(N258-Pool!$D$2)/Pool!$E$2</f>
        <v/>
      </c>
      <c r="AC258" s="3">
        <f>(O258-Pool!$D$3)/Pool!$E$3</f>
        <v/>
      </c>
      <c r="AD258" s="3">
        <f>(P258-Pool!$D$4)/Pool!$E$4</f>
        <v/>
      </c>
      <c r="AE258" s="3">
        <f>(Q258-Pool!$D$5)/Pool!$E$5</f>
        <v/>
      </c>
      <c r="AF258" s="3">
        <f>(R258-Pool!$D$6)/Pool!$E$6</f>
        <v/>
      </c>
      <c r="AG258" s="3">
        <f>(S258-Pool!$D$7)/Pool!$E$7</f>
        <v/>
      </c>
      <c r="AH258" s="3">
        <f>(AS258-Pool!$D$8)/Pool!$E$8</f>
        <v/>
      </c>
      <c r="AI258" s="3">
        <f>(AT258-Pool!$D$9)/Pool!$E$9</f>
        <v/>
      </c>
      <c r="AJ258" s="3">
        <f>-(T258-Pool!$D$10)/Pool!$E$10</f>
        <v/>
      </c>
      <c r="AL258">
        <f>MATCH(B258,'Player Data'!$A:$A,0)</f>
        <v/>
      </c>
      <c r="AM258" s="3">
        <f>1+IF(Settings!$F$10="ON",IFERROR(VLOOKUP(TRIM(F258),Settings!$D$12:$F$17,3,FALSE),0),0)</f>
        <v/>
      </c>
      <c r="AN258">
        <f>IFERROR(LEFT(C258,FIND(",",C258)-1),C258)</f>
        <v/>
      </c>
      <c r="AO258" s="6">
        <f>X258*(U258-Pool!$B$12)</f>
        <v/>
      </c>
      <c r="AP258" s="6">
        <f>Z258*(V258-Pool!$B$13)</f>
        <v/>
      </c>
      <c r="AQ258" s="3">
        <f>Settings!$B$2*(N258-Pool!$B$2)/Pool!$C$2+Settings!$B$3*(O258-Pool!$B$3)/Pool!$C$3+Settings!$B$4*(P258-Pool!$B$4)/Pool!$C$4+Settings!$B$5*(Q258-Pool!$B$5)/Pool!$C$5+Settings!$B$6*(R258-Pool!$B$6)/Pool!$C$6+Settings!$B$7*(S258-Pool!$B$7)/Pool!$C$7+Settings!$B$8*(AO258-Pool!$B$8)/Pool!$C$8+Settings!$B$9*(AP258-Pool!$B$9)/Pool!$C$9+Settings!$B$10*-(T258-Pool!$B$10)/Pool!$C$10</f>
        <v/>
      </c>
      <c r="AR258">
        <f>IF(RANK(AQ258,$AQ$2:$AQ$266)&lt;=Settings!$F$5,1,0)</f>
        <v/>
      </c>
      <c r="AS258" s="6">
        <f>X258*(U258-Pool!$D$12)</f>
        <v/>
      </c>
      <c r="AT258" s="6">
        <f>Z258*(V258-Pool!$D$13)</f>
        <v/>
      </c>
    </row>
    <row r="259">
      <c r="A259">
        <f>RANK(H259,$H$2:$H$266)</f>
        <v/>
      </c>
      <c r="B259" t="inlineStr">
        <is>
          <t>Nikola Jovic</t>
        </is>
      </c>
      <c r="C259">
        <f>INDEX('Player Data'!$C:$C,AL259)</f>
        <v/>
      </c>
      <c r="D259">
        <f>SUMPRODUCT(($AN$2:$AN$266=AN259)*($H$2:$H$266&gt;H259))+1</f>
        <v/>
      </c>
      <c r="E259">
        <f>INDEX('Player Data'!$B:$B,AL259)</f>
        <v/>
      </c>
      <c r="F259" s="2" t="n"/>
      <c r="G259" s="3">
        <f>Settings!$B$2*AB259+Settings!$B$3*AC259+Settings!$B$4*AD259+Settings!$B$5*AE259+Settings!$B$6*AF259+Settings!$B$7*AG259+Settings!$B$8*AH259+Settings!$B$9*AI259+Settings!$B$10*AJ259</f>
        <v/>
      </c>
      <c r="H259" s="3">
        <f>G259-LARGE($G$2:$G$266,Settings!$F$4)</f>
        <v/>
      </c>
      <c r="I259">
        <f>IF(INDEX('Player Data'!$R:$R,AL259)="","",INDEX('Player Data'!$R:$R,AL259))</f>
        <v/>
      </c>
      <c r="J259" s="4">
        <f>IF(I259="","",I259-A259)</f>
        <v/>
      </c>
      <c r="L259" s="5">
        <f>IF(Settings!$F$7="Yes",INDEX('Minutes &amp; Health'!$O:$O,AL259),Settings!$F$8)</f>
        <v/>
      </c>
      <c r="M259" s="6">
        <f>INDEX('Minutes &amp; Health'!$P:$P,AL259)</f>
        <v/>
      </c>
      <c r="N259" s="5">
        <f>INDEX('Player Data'!$F:$F,AL259)/INDEX('Player Data'!$E:$E,AL259)*M259*L259*AM259</f>
        <v/>
      </c>
      <c r="O259" s="5">
        <f>INDEX('Player Data'!$G:$G,AL259)/INDEX('Player Data'!$E:$E,AL259)*M259*L259*AM259</f>
        <v/>
      </c>
      <c r="P259" s="5">
        <f>INDEX('Player Data'!$H:$H,AL259)/INDEX('Player Data'!$E:$E,AL259)*M259*L259*AM259</f>
        <v/>
      </c>
      <c r="Q259" s="5">
        <f>INDEX('Player Data'!$I:$I,AL259)/INDEX('Player Data'!$E:$E,AL259)*M259*L259*AM259</f>
        <v/>
      </c>
      <c r="R259" s="5">
        <f>INDEX('Player Data'!$J:$J,AL259)/INDEX('Player Data'!$E:$E,AL259)*M259*L259*AM259</f>
        <v/>
      </c>
      <c r="S259" s="5">
        <f>INDEX('Player Data'!$K:$K,AL259)/INDEX('Player Data'!$E:$E,AL259)*M259*L259*AM259</f>
        <v/>
      </c>
      <c r="T259" s="5">
        <f>INDEX('Player Data'!$L:$L,AL259)/INDEX('Player Data'!$E:$E,AL259)*M259*L259*AM259</f>
        <v/>
      </c>
      <c r="U259" s="7">
        <f>INDEX('Player Data'!$M:$M,AL259)</f>
        <v/>
      </c>
      <c r="V259" s="7">
        <f>INDEX('Player Data'!$N:$N,AL259)</f>
        <v/>
      </c>
      <c r="W259" s="5">
        <f>X259*U259</f>
        <v/>
      </c>
      <c r="X259" s="5">
        <f>INDEX('Player Data'!$O:$O,AL259)/INDEX('Player Data'!$E:$E,AL259)*M259*L259*AM259</f>
        <v/>
      </c>
      <c r="Y259" s="5">
        <f>Z259*V259</f>
        <v/>
      </c>
      <c r="Z259" s="5">
        <f>INDEX('Player Data'!$P:$P,AL259)/INDEX('Player Data'!$E:$E,AL259)*M259*L259*AM259</f>
        <v/>
      </c>
      <c r="AB259" s="3">
        <f>(N259-Pool!$D$2)/Pool!$E$2</f>
        <v/>
      </c>
      <c r="AC259" s="3">
        <f>(O259-Pool!$D$3)/Pool!$E$3</f>
        <v/>
      </c>
      <c r="AD259" s="3">
        <f>(P259-Pool!$D$4)/Pool!$E$4</f>
        <v/>
      </c>
      <c r="AE259" s="3">
        <f>(Q259-Pool!$D$5)/Pool!$E$5</f>
        <v/>
      </c>
      <c r="AF259" s="3">
        <f>(R259-Pool!$D$6)/Pool!$E$6</f>
        <v/>
      </c>
      <c r="AG259" s="3">
        <f>(S259-Pool!$D$7)/Pool!$E$7</f>
        <v/>
      </c>
      <c r="AH259" s="3">
        <f>(AS259-Pool!$D$8)/Pool!$E$8</f>
        <v/>
      </c>
      <c r="AI259" s="3">
        <f>(AT259-Pool!$D$9)/Pool!$E$9</f>
        <v/>
      </c>
      <c r="AJ259" s="3">
        <f>-(T259-Pool!$D$10)/Pool!$E$10</f>
        <v/>
      </c>
      <c r="AL259">
        <f>MATCH(B259,'Player Data'!$A:$A,0)</f>
        <v/>
      </c>
      <c r="AM259" s="3">
        <f>1+IF(Settings!$F$10="ON",IFERROR(VLOOKUP(TRIM(F259),Settings!$D$12:$F$17,3,FALSE),0),0)</f>
        <v/>
      </c>
      <c r="AN259">
        <f>IFERROR(LEFT(C259,FIND(",",C259)-1),C259)</f>
        <v/>
      </c>
      <c r="AO259" s="6">
        <f>X259*(U259-Pool!$B$12)</f>
        <v/>
      </c>
      <c r="AP259" s="6">
        <f>Z259*(V259-Pool!$B$13)</f>
        <v/>
      </c>
      <c r="AQ259" s="3">
        <f>Settings!$B$2*(N259-Pool!$B$2)/Pool!$C$2+Settings!$B$3*(O259-Pool!$B$3)/Pool!$C$3+Settings!$B$4*(P259-Pool!$B$4)/Pool!$C$4+Settings!$B$5*(Q259-Pool!$B$5)/Pool!$C$5+Settings!$B$6*(R259-Pool!$B$6)/Pool!$C$6+Settings!$B$7*(S259-Pool!$B$7)/Pool!$C$7+Settings!$B$8*(AO259-Pool!$B$8)/Pool!$C$8+Settings!$B$9*(AP259-Pool!$B$9)/Pool!$C$9+Settings!$B$10*-(T259-Pool!$B$10)/Pool!$C$10</f>
        <v/>
      </c>
      <c r="AR259">
        <f>IF(RANK(AQ259,$AQ$2:$AQ$266)&lt;=Settings!$F$5,1,0)</f>
        <v/>
      </c>
      <c r="AS259" s="6">
        <f>X259*(U259-Pool!$D$12)</f>
        <v/>
      </c>
      <c r="AT259" s="6">
        <f>Z259*(V259-Pool!$D$13)</f>
        <v/>
      </c>
    </row>
    <row r="260">
      <c r="A260">
        <f>RANK(H260,$H$2:$H$266)</f>
        <v/>
      </c>
      <c r="B260" t="inlineStr">
        <is>
          <t>Thomas Bryant</t>
        </is>
      </c>
      <c r="C260">
        <f>INDEX('Player Data'!$C:$C,AL260)</f>
        <v/>
      </c>
      <c r="D260">
        <f>SUMPRODUCT(($AN$2:$AN$266=AN260)*($H$2:$H$266&gt;H260))+1</f>
        <v/>
      </c>
      <c r="E260">
        <f>INDEX('Player Data'!$B:$B,AL260)</f>
        <v/>
      </c>
      <c r="F260" s="2" t="n"/>
      <c r="G260" s="3">
        <f>Settings!$B$2*AB260+Settings!$B$3*AC260+Settings!$B$4*AD260+Settings!$B$5*AE260+Settings!$B$6*AF260+Settings!$B$7*AG260+Settings!$B$8*AH260+Settings!$B$9*AI260+Settings!$B$10*AJ260</f>
        <v/>
      </c>
      <c r="H260" s="3">
        <f>G260-LARGE($G$2:$G$266,Settings!$F$4)</f>
        <v/>
      </c>
      <c r="I260">
        <f>IF(INDEX('Player Data'!$R:$R,AL260)="","",INDEX('Player Data'!$R:$R,AL260))</f>
        <v/>
      </c>
      <c r="J260" s="4">
        <f>IF(I260="","",I260-A260)</f>
        <v/>
      </c>
      <c r="L260" s="5">
        <f>IF(Settings!$F$7="Yes",INDEX('Minutes &amp; Health'!$O:$O,AL260),Settings!$F$8)</f>
        <v/>
      </c>
      <c r="M260" s="6">
        <f>INDEX('Minutes &amp; Health'!$P:$P,AL260)</f>
        <v/>
      </c>
      <c r="N260" s="5">
        <f>INDEX('Player Data'!$F:$F,AL260)/INDEX('Player Data'!$E:$E,AL260)*M260*L260*AM260</f>
        <v/>
      </c>
      <c r="O260" s="5">
        <f>INDEX('Player Data'!$G:$G,AL260)/INDEX('Player Data'!$E:$E,AL260)*M260*L260*AM260</f>
        <v/>
      </c>
      <c r="P260" s="5">
        <f>INDEX('Player Data'!$H:$H,AL260)/INDEX('Player Data'!$E:$E,AL260)*M260*L260*AM260</f>
        <v/>
      </c>
      <c r="Q260" s="5">
        <f>INDEX('Player Data'!$I:$I,AL260)/INDEX('Player Data'!$E:$E,AL260)*M260*L260*AM260</f>
        <v/>
      </c>
      <c r="R260" s="5">
        <f>INDEX('Player Data'!$J:$J,AL260)/INDEX('Player Data'!$E:$E,AL260)*M260*L260*AM260</f>
        <v/>
      </c>
      <c r="S260" s="5">
        <f>INDEX('Player Data'!$K:$K,AL260)/INDEX('Player Data'!$E:$E,AL260)*M260*L260*AM260</f>
        <v/>
      </c>
      <c r="T260" s="5">
        <f>INDEX('Player Data'!$L:$L,AL260)/INDEX('Player Data'!$E:$E,AL260)*M260*L260*AM260</f>
        <v/>
      </c>
      <c r="U260" s="7">
        <f>INDEX('Player Data'!$M:$M,AL260)</f>
        <v/>
      </c>
      <c r="V260" s="7">
        <f>INDEX('Player Data'!$N:$N,AL260)</f>
        <v/>
      </c>
      <c r="W260" s="5">
        <f>X260*U260</f>
        <v/>
      </c>
      <c r="X260" s="5">
        <f>INDEX('Player Data'!$O:$O,AL260)/INDEX('Player Data'!$E:$E,AL260)*M260*L260*AM260</f>
        <v/>
      </c>
      <c r="Y260" s="5">
        <f>Z260*V260</f>
        <v/>
      </c>
      <c r="Z260" s="5">
        <f>INDEX('Player Data'!$P:$P,AL260)/INDEX('Player Data'!$E:$E,AL260)*M260*L260*AM260</f>
        <v/>
      </c>
      <c r="AB260" s="3">
        <f>(N260-Pool!$D$2)/Pool!$E$2</f>
        <v/>
      </c>
      <c r="AC260" s="3">
        <f>(O260-Pool!$D$3)/Pool!$E$3</f>
        <v/>
      </c>
      <c r="AD260" s="3">
        <f>(P260-Pool!$D$4)/Pool!$E$4</f>
        <v/>
      </c>
      <c r="AE260" s="3">
        <f>(Q260-Pool!$D$5)/Pool!$E$5</f>
        <v/>
      </c>
      <c r="AF260" s="3">
        <f>(R260-Pool!$D$6)/Pool!$E$6</f>
        <v/>
      </c>
      <c r="AG260" s="3">
        <f>(S260-Pool!$D$7)/Pool!$E$7</f>
        <v/>
      </c>
      <c r="AH260" s="3">
        <f>(AS260-Pool!$D$8)/Pool!$E$8</f>
        <v/>
      </c>
      <c r="AI260" s="3">
        <f>(AT260-Pool!$D$9)/Pool!$E$9</f>
        <v/>
      </c>
      <c r="AJ260" s="3">
        <f>-(T260-Pool!$D$10)/Pool!$E$10</f>
        <v/>
      </c>
      <c r="AL260">
        <f>MATCH(B260,'Player Data'!$A:$A,0)</f>
        <v/>
      </c>
      <c r="AM260" s="3">
        <f>1+IF(Settings!$F$10="ON",IFERROR(VLOOKUP(TRIM(F260),Settings!$D$12:$F$17,3,FALSE),0),0)</f>
        <v/>
      </c>
      <c r="AN260">
        <f>IFERROR(LEFT(C260,FIND(",",C260)-1),C260)</f>
        <v/>
      </c>
      <c r="AO260" s="6">
        <f>X260*(U260-Pool!$B$12)</f>
        <v/>
      </c>
      <c r="AP260" s="6">
        <f>Z260*(V260-Pool!$B$13)</f>
        <v/>
      </c>
      <c r="AQ260" s="3">
        <f>Settings!$B$2*(N260-Pool!$B$2)/Pool!$C$2+Settings!$B$3*(O260-Pool!$B$3)/Pool!$C$3+Settings!$B$4*(P260-Pool!$B$4)/Pool!$C$4+Settings!$B$5*(Q260-Pool!$B$5)/Pool!$C$5+Settings!$B$6*(R260-Pool!$B$6)/Pool!$C$6+Settings!$B$7*(S260-Pool!$B$7)/Pool!$C$7+Settings!$B$8*(AO260-Pool!$B$8)/Pool!$C$8+Settings!$B$9*(AP260-Pool!$B$9)/Pool!$C$9+Settings!$B$10*-(T260-Pool!$B$10)/Pool!$C$10</f>
        <v/>
      </c>
      <c r="AR260">
        <f>IF(RANK(AQ260,$AQ$2:$AQ$266)&lt;=Settings!$F$5,1,0)</f>
        <v/>
      </c>
      <c r="AS260" s="6">
        <f>X260*(U260-Pool!$D$12)</f>
        <v/>
      </c>
      <c r="AT260" s="6">
        <f>Z260*(V260-Pool!$D$13)</f>
        <v/>
      </c>
    </row>
    <row r="261">
      <c r="A261">
        <f>RANK(H261,$H$2:$H$266)</f>
        <v/>
      </c>
      <c r="B261" t="inlineStr">
        <is>
          <t>Brandon Ingram</t>
        </is>
      </c>
      <c r="C261">
        <f>INDEX('Player Data'!$C:$C,AL261)</f>
        <v/>
      </c>
      <c r="D261">
        <f>SUMPRODUCT(($AN$2:$AN$266=AN261)*($H$2:$H$266&gt;H261))+1</f>
        <v/>
      </c>
      <c r="E261">
        <f>INDEX('Player Data'!$B:$B,AL261)</f>
        <v/>
      </c>
      <c r="F261" s="2" t="inlineStr">
        <is>
          <t>- -</t>
        </is>
      </c>
      <c r="G261" s="3">
        <f>Settings!$B$2*AB261+Settings!$B$3*AC261+Settings!$B$4*AD261+Settings!$B$5*AE261+Settings!$B$6*AF261+Settings!$B$7*AG261+Settings!$B$8*AH261+Settings!$B$9*AI261+Settings!$B$10*AJ261</f>
        <v/>
      </c>
      <c r="H261" s="3">
        <f>G261-LARGE($G$2:$G$266,Settings!$F$4)</f>
        <v/>
      </c>
      <c r="I261">
        <f>IF(INDEX('Player Data'!$R:$R,AL261)="","",INDEX('Player Data'!$R:$R,AL261))</f>
        <v/>
      </c>
      <c r="J261" s="4">
        <f>IF(I261="","",I261-A261)</f>
        <v/>
      </c>
      <c r="L261" s="5">
        <f>IF(Settings!$F$7="Yes",INDEX('Minutes &amp; Health'!$O:$O,AL261),Settings!$F$8)</f>
        <v/>
      </c>
      <c r="M261" s="6">
        <f>INDEX('Minutes &amp; Health'!$P:$P,AL261)</f>
        <v/>
      </c>
      <c r="N261" s="5">
        <f>INDEX('Player Data'!$F:$F,AL261)/INDEX('Player Data'!$E:$E,AL261)*M261*L261*AM261</f>
        <v/>
      </c>
      <c r="O261" s="5">
        <f>INDEX('Player Data'!$G:$G,AL261)/INDEX('Player Data'!$E:$E,AL261)*M261*L261*AM261</f>
        <v/>
      </c>
      <c r="P261" s="5">
        <f>INDEX('Player Data'!$H:$H,AL261)/INDEX('Player Data'!$E:$E,AL261)*M261*L261*AM261</f>
        <v/>
      </c>
      <c r="Q261" s="5">
        <f>INDEX('Player Data'!$I:$I,AL261)/INDEX('Player Data'!$E:$E,AL261)*M261*L261*AM261</f>
        <v/>
      </c>
      <c r="R261" s="5">
        <f>INDEX('Player Data'!$J:$J,AL261)/INDEX('Player Data'!$E:$E,AL261)*M261*L261*AM261</f>
        <v/>
      </c>
      <c r="S261" s="5">
        <f>INDEX('Player Data'!$K:$K,AL261)/INDEX('Player Data'!$E:$E,AL261)*M261*L261*AM261</f>
        <v/>
      </c>
      <c r="T261" s="5">
        <f>INDEX('Player Data'!$L:$L,AL261)/INDEX('Player Data'!$E:$E,AL261)*M261*L261*AM261</f>
        <v/>
      </c>
      <c r="U261" s="7">
        <f>INDEX('Player Data'!$M:$M,AL261)</f>
        <v/>
      </c>
      <c r="V261" s="7">
        <f>INDEX('Player Data'!$N:$N,AL261)</f>
        <v/>
      </c>
      <c r="W261" s="5">
        <f>X261*U261</f>
        <v/>
      </c>
      <c r="X261" s="5">
        <f>INDEX('Player Data'!$O:$O,AL261)/INDEX('Player Data'!$E:$E,AL261)*M261*L261*AM261</f>
        <v/>
      </c>
      <c r="Y261" s="5">
        <f>Z261*V261</f>
        <v/>
      </c>
      <c r="Z261" s="5">
        <f>INDEX('Player Data'!$P:$P,AL261)/INDEX('Player Data'!$E:$E,AL261)*M261*L261*AM261</f>
        <v/>
      </c>
      <c r="AB261" s="3">
        <f>(N261-Pool!$D$2)/Pool!$E$2</f>
        <v/>
      </c>
      <c r="AC261" s="3">
        <f>(O261-Pool!$D$3)/Pool!$E$3</f>
        <v/>
      </c>
      <c r="AD261" s="3">
        <f>(P261-Pool!$D$4)/Pool!$E$4</f>
        <v/>
      </c>
      <c r="AE261" s="3">
        <f>(Q261-Pool!$D$5)/Pool!$E$5</f>
        <v/>
      </c>
      <c r="AF261" s="3">
        <f>(R261-Pool!$D$6)/Pool!$E$6</f>
        <v/>
      </c>
      <c r="AG261" s="3">
        <f>(S261-Pool!$D$7)/Pool!$E$7</f>
        <v/>
      </c>
      <c r="AH261" s="3">
        <f>(AS261-Pool!$D$8)/Pool!$E$8</f>
        <v/>
      </c>
      <c r="AI261" s="3">
        <f>(AT261-Pool!$D$9)/Pool!$E$9</f>
        <v/>
      </c>
      <c r="AJ261" s="3">
        <f>-(T261-Pool!$D$10)/Pool!$E$10</f>
        <v/>
      </c>
      <c r="AL261">
        <f>MATCH(B261,'Player Data'!$A:$A,0)</f>
        <v/>
      </c>
      <c r="AM261" s="3">
        <f>1+IF(Settings!$F$10="ON",IFERROR(VLOOKUP(TRIM(F261),Settings!$D$12:$F$17,3,FALSE),0),0)</f>
        <v/>
      </c>
      <c r="AN261">
        <f>IFERROR(LEFT(C261,FIND(",",C261)-1),C261)</f>
        <v/>
      </c>
      <c r="AO261" s="6">
        <f>X261*(U261-Pool!$B$12)</f>
        <v/>
      </c>
      <c r="AP261" s="6">
        <f>Z261*(V261-Pool!$B$13)</f>
        <v/>
      </c>
      <c r="AQ261" s="3">
        <f>Settings!$B$2*(N261-Pool!$B$2)/Pool!$C$2+Settings!$B$3*(O261-Pool!$B$3)/Pool!$C$3+Settings!$B$4*(P261-Pool!$B$4)/Pool!$C$4+Settings!$B$5*(Q261-Pool!$B$5)/Pool!$C$5+Settings!$B$6*(R261-Pool!$B$6)/Pool!$C$6+Settings!$B$7*(S261-Pool!$B$7)/Pool!$C$7+Settings!$B$8*(AO261-Pool!$B$8)/Pool!$C$8+Settings!$B$9*(AP261-Pool!$B$9)/Pool!$C$9+Settings!$B$10*-(T261-Pool!$B$10)/Pool!$C$10</f>
        <v/>
      </c>
      <c r="AR261">
        <f>IF(RANK(AQ261,$AQ$2:$AQ$266)&lt;=Settings!$F$5,1,0)</f>
        <v/>
      </c>
      <c r="AS261" s="6">
        <f>X261*(U261-Pool!$D$12)</f>
        <v/>
      </c>
      <c r="AT261" s="6">
        <f>Z261*(V261-Pool!$D$13)</f>
        <v/>
      </c>
    </row>
    <row r="262">
      <c r="A262">
        <f>RANK(H262,$H$2:$H$266)</f>
        <v/>
      </c>
      <c r="B262" t="inlineStr">
        <is>
          <t>Trayce Jackson-Davis</t>
        </is>
      </c>
      <c r="C262">
        <f>INDEX('Player Data'!$C:$C,AL262)</f>
        <v/>
      </c>
      <c r="D262">
        <f>SUMPRODUCT(($AN$2:$AN$266=AN262)*($H$2:$H$266&gt;H262))+1</f>
        <v/>
      </c>
      <c r="E262">
        <f>INDEX('Player Data'!$B:$B,AL262)</f>
        <v/>
      </c>
      <c r="F262" s="2" t="n"/>
      <c r="G262" s="3">
        <f>Settings!$B$2*AB262+Settings!$B$3*AC262+Settings!$B$4*AD262+Settings!$B$5*AE262+Settings!$B$6*AF262+Settings!$B$7*AG262+Settings!$B$8*AH262+Settings!$B$9*AI262+Settings!$B$10*AJ262</f>
        <v/>
      </c>
      <c r="H262" s="3">
        <f>G262-LARGE($G$2:$G$266,Settings!$F$4)</f>
        <v/>
      </c>
      <c r="I262">
        <f>IF(INDEX('Player Data'!$R:$R,AL262)="","",INDEX('Player Data'!$R:$R,AL262))</f>
        <v/>
      </c>
      <c r="J262" s="4">
        <f>IF(I262="","",I262-A262)</f>
        <v/>
      </c>
      <c r="L262" s="5">
        <f>IF(Settings!$F$7="Yes",INDEX('Minutes &amp; Health'!$O:$O,AL262),Settings!$F$8)</f>
        <v/>
      </c>
      <c r="M262" s="6">
        <f>INDEX('Minutes &amp; Health'!$P:$P,AL262)</f>
        <v/>
      </c>
      <c r="N262" s="5">
        <f>INDEX('Player Data'!$F:$F,AL262)/INDEX('Player Data'!$E:$E,AL262)*M262*L262*AM262</f>
        <v/>
      </c>
      <c r="O262" s="5">
        <f>INDEX('Player Data'!$G:$G,AL262)/INDEX('Player Data'!$E:$E,AL262)*M262*L262*AM262</f>
        <v/>
      </c>
      <c r="P262" s="5">
        <f>INDEX('Player Data'!$H:$H,AL262)/INDEX('Player Data'!$E:$E,AL262)*M262*L262*AM262</f>
        <v/>
      </c>
      <c r="Q262" s="5">
        <f>INDEX('Player Data'!$I:$I,AL262)/INDEX('Player Data'!$E:$E,AL262)*M262*L262*AM262</f>
        <v/>
      </c>
      <c r="R262" s="5">
        <f>INDEX('Player Data'!$J:$J,AL262)/INDEX('Player Data'!$E:$E,AL262)*M262*L262*AM262</f>
        <v/>
      </c>
      <c r="S262" s="5">
        <f>INDEX('Player Data'!$K:$K,AL262)/INDEX('Player Data'!$E:$E,AL262)*M262*L262*AM262</f>
        <v/>
      </c>
      <c r="T262" s="5">
        <f>INDEX('Player Data'!$L:$L,AL262)/INDEX('Player Data'!$E:$E,AL262)*M262*L262*AM262</f>
        <v/>
      </c>
      <c r="U262" s="7">
        <f>INDEX('Player Data'!$M:$M,AL262)</f>
        <v/>
      </c>
      <c r="V262" s="7">
        <f>INDEX('Player Data'!$N:$N,AL262)</f>
        <v/>
      </c>
      <c r="W262" s="5">
        <f>X262*U262</f>
        <v/>
      </c>
      <c r="X262" s="5">
        <f>INDEX('Player Data'!$O:$O,AL262)/INDEX('Player Data'!$E:$E,AL262)*M262*L262*AM262</f>
        <v/>
      </c>
      <c r="Y262" s="5">
        <f>Z262*V262</f>
        <v/>
      </c>
      <c r="Z262" s="5">
        <f>INDEX('Player Data'!$P:$P,AL262)/INDEX('Player Data'!$E:$E,AL262)*M262*L262*AM262</f>
        <v/>
      </c>
      <c r="AB262" s="3">
        <f>(N262-Pool!$D$2)/Pool!$E$2</f>
        <v/>
      </c>
      <c r="AC262" s="3">
        <f>(O262-Pool!$D$3)/Pool!$E$3</f>
        <v/>
      </c>
      <c r="AD262" s="3">
        <f>(P262-Pool!$D$4)/Pool!$E$4</f>
        <v/>
      </c>
      <c r="AE262" s="3">
        <f>(Q262-Pool!$D$5)/Pool!$E$5</f>
        <v/>
      </c>
      <c r="AF262" s="3">
        <f>(R262-Pool!$D$6)/Pool!$E$6</f>
        <v/>
      </c>
      <c r="AG262" s="3">
        <f>(S262-Pool!$D$7)/Pool!$E$7</f>
        <v/>
      </c>
      <c r="AH262" s="3">
        <f>(AS262-Pool!$D$8)/Pool!$E$8</f>
        <v/>
      </c>
      <c r="AI262" s="3">
        <f>(AT262-Pool!$D$9)/Pool!$E$9</f>
        <v/>
      </c>
      <c r="AJ262" s="3">
        <f>-(T262-Pool!$D$10)/Pool!$E$10</f>
        <v/>
      </c>
      <c r="AL262">
        <f>MATCH(B262,'Player Data'!$A:$A,0)</f>
        <v/>
      </c>
      <c r="AM262" s="3">
        <f>1+IF(Settings!$F$10="ON",IFERROR(VLOOKUP(TRIM(F262),Settings!$D$12:$F$17,3,FALSE),0),0)</f>
        <v/>
      </c>
      <c r="AN262">
        <f>IFERROR(LEFT(C262,FIND(",",C262)-1),C262)</f>
        <v/>
      </c>
      <c r="AO262" s="6">
        <f>X262*(U262-Pool!$B$12)</f>
        <v/>
      </c>
      <c r="AP262" s="6">
        <f>Z262*(V262-Pool!$B$13)</f>
        <v/>
      </c>
      <c r="AQ262" s="3">
        <f>Settings!$B$2*(N262-Pool!$B$2)/Pool!$C$2+Settings!$B$3*(O262-Pool!$B$3)/Pool!$C$3+Settings!$B$4*(P262-Pool!$B$4)/Pool!$C$4+Settings!$B$5*(Q262-Pool!$B$5)/Pool!$C$5+Settings!$B$6*(R262-Pool!$B$6)/Pool!$C$6+Settings!$B$7*(S262-Pool!$B$7)/Pool!$C$7+Settings!$B$8*(AO262-Pool!$B$8)/Pool!$C$8+Settings!$B$9*(AP262-Pool!$B$9)/Pool!$C$9+Settings!$B$10*-(T262-Pool!$B$10)/Pool!$C$10</f>
        <v/>
      </c>
      <c r="AR262">
        <f>IF(RANK(AQ262,$AQ$2:$AQ$266)&lt;=Settings!$F$5,1,0)</f>
        <v/>
      </c>
      <c r="AS262" s="6">
        <f>X262*(U262-Pool!$D$12)</f>
        <v/>
      </c>
      <c r="AT262" s="6">
        <f>Z262*(V262-Pool!$D$13)</f>
        <v/>
      </c>
    </row>
    <row r="263">
      <c r="A263">
        <f>RANK(H263,$H$2:$H$266)</f>
        <v/>
      </c>
      <c r="B263" t="inlineStr">
        <is>
          <t>Jericho Sims</t>
        </is>
      </c>
      <c r="C263">
        <f>INDEX('Player Data'!$C:$C,AL263)</f>
        <v/>
      </c>
      <c r="D263">
        <f>SUMPRODUCT(($AN$2:$AN$266=AN263)*($H$2:$H$266&gt;H263))+1</f>
        <v/>
      </c>
      <c r="E263">
        <f>INDEX('Player Data'!$B:$B,AL263)</f>
        <v/>
      </c>
      <c r="F263" s="2" t="n"/>
      <c r="G263" s="3">
        <f>Settings!$B$2*AB263+Settings!$B$3*AC263+Settings!$B$4*AD263+Settings!$B$5*AE263+Settings!$B$6*AF263+Settings!$B$7*AG263+Settings!$B$8*AH263+Settings!$B$9*AI263+Settings!$B$10*AJ263</f>
        <v/>
      </c>
      <c r="H263" s="3">
        <f>G263-LARGE($G$2:$G$266,Settings!$F$4)</f>
        <v/>
      </c>
      <c r="I263">
        <f>IF(INDEX('Player Data'!$R:$R,AL263)="","",INDEX('Player Data'!$R:$R,AL263))</f>
        <v/>
      </c>
      <c r="J263" s="4">
        <f>IF(I263="","",I263-A263)</f>
        <v/>
      </c>
      <c r="L263" s="5">
        <f>IF(Settings!$F$7="Yes",INDEX('Minutes &amp; Health'!$O:$O,AL263),Settings!$F$8)</f>
        <v/>
      </c>
      <c r="M263" s="6">
        <f>INDEX('Minutes &amp; Health'!$P:$P,AL263)</f>
        <v/>
      </c>
      <c r="N263" s="5">
        <f>INDEX('Player Data'!$F:$F,AL263)/INDEX('Player Data'!$E:$E,AL263)*M263*L263*AM263</f>
        <v/>
      </c>
      <c r="O263" s="5">
        <f>INDEX('Player Data'!$G:$G,AL263)/INDEX('Player Data'!$E:$E,AL263)*M263*L263*AM263</f>
        <v/>
      </c>
      <c r="P263" s="5">
        <f>INDEX('Player Data'!$H:$H,AL263)/INDEX('Player Data'!$E:$E,AL263)*M263*L263*AM263</f>
        <v/>
      </c>
      <c r="Q263" s="5">
        <f>INDEX('Player Data'!$I:$I,AL263)/INDEX('Player Data'!$E:$E,AL263)*M263*L263*AM263</f>
        <v/>
      </c>
      <c r="R263" s="5">
        <f>INDEX('Player Data'!$J:$J,AL263)/INDEX('Player Data'!$E:$E,AL263)*M263*L263*AM263</f>
        <v/>
      </c>
      <c r="S263" s="5">
        <f>INDEX('Player Data'!$K:$K,AL263)/INDEX('Player Data'!$E:$E,AL263)*M263*L263*AM263</f>
        <v/>
      </c>
      <c r="T263" s="5">
        <f>INDEX('Player Data'!$L:$L,AL263)/INDEX('Player Data'!$E:$E,AL263)*M263*L263*AM263</f>
        <v/>
      </c>
      <c r="U263" s="7">
        <f>INDEX('Player Data'!$M:$M,AL263)</f>
        <v/>
      </c>
      <c r="V263" s="7">
        <f>INDEX('Player Data'!$N:$N,AL263)</f>
        <v/>
      </c>
      <c r="W263" s="5">
        <f>X263*U263</f>
        <v/>
      </c>
      <c r="X263" s="5">
        <f>INDEX('Player Data'!$O:$O,AL263)/INDEX('Player Data'!$E:$E,AL263)*M263*L263*AM263</f>
        <v/>
      </c>
      <c r="Y263" s="5">
        <f>Z263*V263</f>
        <v/>
      </c>
      <c r="Z263" s="5">
        <f>INDEX('Player Data'!$P:$P,AL263)/INDEX('Player Data'!$E:$E,AL263)*M263*L263*AM263</f>
        <v/>
      </c>
      <c r="AB263" s="3">
        <f>(N263-Pool!$D$2)/Pool!$E$2</f>
        <v/>
      </c>
      <c r="AC263" s="3">
        <f>(O263-Pool!$D$3)/Pool!$E$3</f>
        <v/>
      </c>
      <c r="AD263" s="3">
        <f>(P263-Pool!$D$4)/Pool!$E$4</f>
        <v/>
      </c>
      <c r="AE263" s="3">
        <f>(Q263-Pool!$D$5)/Pool!$E$5</f>
        <v/>
      </c>
      <c r="AF263" s="3">
        <f>(R263-Pool!$D$6)/Pool!$E$6</f>
        <v/>
      </c>
      <c r="AG263" s="3">
        <f>(S263-Pool!$D$7)/Pool!$E$7</f>
        <v/>
      </c>
      <c r="AH263" s="3">
        <f>(AS263-Pool!$D$8)/Pool!$E$8</f>
        <v/>
      </c>
      <c r="AI263" s="3">
        <f>(AT263-Pool!$D$9)/Pool!$E$9</f>
        <v/>
      </c>
      <c r="AJ263" s="3">
        <f>-(T263-Pool!$D$10)/Pool!$E$10</f>
        <v/>
      </c>
      <c r="AL263">
        <f>MATCH(B263,'Player Data'!$A:$A,0)</f>
        <v/>
      </c>
      <c r="AM263" s="3">
        <f>1+IF(Settings!$F$10="ON",IFERROR(VLOOKUP(TRIM(F263),Settings!$D$12:$F$17,3,FALSE),0),0)</f>
        <v/>
      </c>
      <c r="AN263">
        <f>IFERROR(LEFT(C263,FIND(",",C263)-1),C263)</f>
        <v/>
      </c>
      <c r="AO263" s="6">
        <f>X263*(U263-Pool!$B$12)</f>
        <v/>
      </c>
      <c r="AP263" s="6">
        <f>Z263*(V263-Pool!$B$13)</f>
        <v/>
      </c>
      <c r="AQ263" s="3">
        <f>Settings!$B$2*(N263-Pool!$B$2)/Pool!$C$2+Settings!$B$3*(O263-Pool!$B$3)/Pool!$C$3+Settings!$B$4*(P263-Pool!$B$4)/Pool!$C$4+Settings!$B$5*(Q263-Pool!$B$5)/Pool!$C$5+Settings!$B$6*(R263-Pool!$B$6)/Pool!$C$6+Settings!$B$7*(S263-Pool!$B$7)/Pool!$C$7+Settings!$B$8*(AO263-Pool!$B$8)/Pool!$C$8+Settings!$B$9*(AP263-Pool!$B$9)/Pool!$C$9+Settings!$B$10*-(T263-Pool!$B$10)/Pool!$C$10</f>
        <v/>
      </c>
      <c r="AR263">
        <f>IF(RANK(AQ263,$AQ$2:$AQ$266)&lt;=Settings!$F$5,1,0)</f>
        <v/>
      </c>
      <c r="AS263" s="6">
        <f>X263*(U263-Pool!$D$12)</f>
        <v/>
      </c>
      <c r="AT263" s="6">
        <f>Z263*(V263-Pool!$D$13)</f>
        <v/>
      </c>
    </row>
    <row r="264">
      <c r="A264">
        <f>RANK(H264,$H$2:$H$266)</f>
        <v/>
      </c>
      <c r="B264" t="inlineStr">
        <is>
          <t>Jonathan Mogbo</t>
        </is>
      </c>
      <c r="C264">
        <f>INDEX('Player Data'!$C:$C,AL264)</f>
        <v/>
      </c>
      <c r="D264">
        <f>SUMPRODUCT(($AN$2:$AN$266=AN264)*($H$2:$H$266&gt;H264))+1</f>
        <v/>
      </c>
      <c r="E264">
        <f>INDEX('Player Data'!$B:$B,AL264)</f>
        <v/>
      </c>
      <c r="F264" s="2" t="n"/>
      <c r="G264" s="3">
        <f>Settings!$B$2*AB264+Settings!$B$3*AC264+Settings!$B$4*AD264+Settings!$B$5*AE264+Settings!$B$6*AF264+Settings!$B$7*AG264+Settings!$B$8*AH264+Settings!$B$9*AI264+Settings!$B$10*AJ264</f>
        <v/>
      </c>
      <c r="H264" s="3">
        <f>G264-LARGE($G$2:$G$266,Settings!$F$4)</f>
        <v/>
      </c>
      <c r="I264">
        <f>IF(INDEX('Player Data'!$R:$R,AL264)="","",INDEX('Player Data'!$R:$R,AL264))</f>
        <v/>
      </c>
      <c r="J264" s="4">
        <f>IF(I264="","",I264-A264)</f>
        <v/>
      </c>
      <c r="L264" s="5">
        <f>IF(Settings!$F$7="Yes",INDEX('Minutes &amp; Health'!$O:$O,AL264),Settings!$F$8)</f>
        <v/>
      </c>
      <c r="M264" s="6">
        <f>INDEX('Minutes &amp; Health'!$P:$P,AL264)</f>
        <v/>
      </c>
      <c r="N264" s="5">
        <f>INDEX('Player Data'!$F:$F,AL264)/INDEX('Player Data'!$E:$E,AL264)*M264*L264*AM264</f>
        <v/>
      </c>
      <c r="O264" s="5">
        <f>INDEX('Player Data'!$G:$G,AL264)/INDEX('Player Data'!$E:$E,AL264)*M264*L264*AM264</f>
        <v/>
      </c>
      <c r="P264" s="5">
        <f>INDEX('Player Data'!$H:$H,AL264)/INDEX('Player Data'!$E:$E,AL264)*M264*L264*AM264</f>
        <v/>
      </c>
      <c r="Q264" s="5">
        <f>INDEX('Player Data'!$I:$I,AL264)/INDEX('Player Data'!$E:$E,AL264)*M264*L264*AM264</f>
        <v/>
      </c>
      <c r="R264" s="5">
        <f>INDEX('Player Data'!$J:$J,AL264)/INDEX('Player Data'!$E:$E,AL264)*M264*L264*AM264</f>
        <v/>
      </c>
      <c r="S264" s="5">
        <f>INDEX('Player Data'!$K:$K,AL264)/INDEX('Player Data'!$E:$E,AL264)*M264*L264*AM264</f>
        <v/>
      </c>
      <c r="T264" s="5">
        <f>INDEX('Player Data'!$L:$L,AL264)/INDEX('Player Data'!$E:$E,AL264)*M264*L264*AM264</f>
        <v/>
      </c>
      <c r="U264" s="7">
        <f>INDEX('Player Data'!$M:$M,AL264)</f>
        <v/>
      </c>
      <c r="V264" s="7">
        <f>INDEX('Player Data'!$N:$N,AL264)</f>
        <v/>
      </c>
      <c r="W264" s="5">
        <f>X264*U264</f>
        <v/>
      </c>
      <c r="X264" s="5">
        <f>INDEX('Player Data'!$O:$O,AL264)/INDEX('Player Data'!$E:$E,AL264)*M264*L264*AM264</f>
        <v/>
      </c>
      <c r="Y264" s="5">
        <f>Z264*V264</f>
        <v/>
      </c>
      <c r="Z264" s="5">
        <f>INDEX('Player Data'!$P:$P,AL264)/INDEX('Player Data'!$E:$E,AL264)*M264*L264*AM264</f>
        <v/>
      </c>
      <c r="AB264" s="3">
        <f>(N264-Pool!$D$2)/Pool!$E$2</f>
        <v/>
      </c>
      <c r="AC264" s="3">
        <f>(O264-Pool!$D$3)/Pool!$E$3</f>
        <v/>
      </c>
      <c r="AD264" s="3">
        <f>(P264-Pool!$D$4)/Pool!$E$4</f>
        <v/>
      </c>
      <c r="AE264" s="3">
        <f>(Q264-Pool!$D$5)/Pool!$E$5</f>
        <v/>
      </c>
      <c r="AF264" s="3">
        <f>(R264-Pool!$D$6)/Pool!$E$6</f>
        <v/>
      </c>
      <c r="AG264" s="3">
        <f>(S264-Pool!$D$7)/Pool!$E$7</f>
        <v/>
      </c>
      <c r="AH264" s="3">
        <f>(AS264-Pool!$D$8)/Pool!$E$8</f>
        <v/>
      </c>
      <c r="AI264" s="3">
        <f>(AT264-Pool!$D$9)/Pool!$E$9</f>
        <v/>
      </c>
      <c r="AJ264" s="3">
        <f>-(T264-Pool!$D$10)/Pool!$E$10</f>
        <v/>
      </c>
      <c r="AL264">
        <f>MATCH(B264,'Player Data'!$A:$A,0)</f>
        <v/>
      </c>
      <c r="AM264" s="3">
        <f>1+IF(Settings!$F$10="ON",IFERROR(VLOOKUP(TRIM(F264),Settings!$D$12:$F$17,3,FALSE),0),0)</f>
        <v/>
      </c>
      <c r="AN264">
        <f>IFERROR(LEFT(C264,FIND(",",C264)-1),C264)</f>
        <v/>
      </c>
      <c r="AO264" s="6">
        <f>X264*(U264-Pool!$B$12)</f>
        <v/>
      </c>
      <c r="AP264" s="6">
        <f>Z264*(V264-Pool!$B$13)</f>
        <v/>
      </c>
      <c r="AQ264" s="3">
        <f>Settings!$B$2*(N264-Pool!$B$2)/Pool!$C$2+Settings!$B$3*(O264-Pool!$B$3)/Pool!$C$3+Settings!$B$4*(P264-Pool!$B$4)/Pool!$C$4+Settings!$B$5*(Q264-Pool!$B$5)/Pool!$C$5+Settings!$B$6*(R264-Pool!$B$6)/Pool!$C$6+Settings!$B$7*(S264-Pool!$B$7)/Pool!$C$7+Settings!$B$8*(AO264-Pool!$B$8)/Pool!$C$8+Settings!$B$9*(AP264-Pool!$B$9)/Pool!$C$9+Settings!$B$10*-(T264-Pool!$B$10)/Pool!$C$10</f>
        <v/>
      </c>
      <c r="AR264">
        <f>IF(RANK(AQ264,$AQ$2:$AQ$266)&lt;=Settings!$F$5,1,0)</f>
        <v/>
      </c>
      <c r="AS264" s="6">
        <f>X264*(U264-Pool!$D$12)</f>
        <v/>
      </c>
      <c r="AT264" s="6">
        <f>Z264*(V264-Pool!$D$13)</f>
        <v/>
      </c>
    </row>
    <row r="265">
      <c r="A265">
        <f>RANK(H265,$H$2:$H$266)</f>
        <v/>
      </c>
      <c r="B265" t="inlineStr">
        <is>
          <t>Jonathan Isaac</t>
        </is>
      </c>
      <c r="C265">
        <f>INDEX('Player Data'!$C:$C,AL265)</f>
        <v/>
      </c>
      <c r="D265">
        <f>SUMPRODUCT(($AN$2:$AN$266=AN265)*($H$2:$H$266&gt;H265))+1</f>
        <v/>
      </c>
      <c r="E265">
        <f>INDEX('Player Data'!$B:$B,AL265)</f>
        <v/>
      </c>
      <c r="F265" s="2" t="n"/>
      <c r="G265" s="3">
        <f>Settings!$B$2*AB265+Settings!$B$3*AC265+Settings!$B$4*AD265+Settings!$B$5*AE265+Settings!$B$6*AF265+Settings!$B$7*AG265+Settings!$B$8*AH265+Settings!$B$9*AI265+Settings!$B$10*AJ265</f>
        <v/>
      </c>
      <c r="H265" s="3">
        <f>G265-LARGE($G$2:$G$266,Settings!$F$4)</f>
        <v/>
      </c>
      <c r="I265">
        <f>IF(INDEX('Player Data'!$R:$R,AL265)="","",INDEX('Player Data'!$R:$R,AL265))</f>
        <v/>
      </c>
      <c r="J265" s="4">
        <f>IF(I265="","",I265-A265)</f>
        <v/>
      </c>
      <c r="L265" s="5">
        <f>IF(Settings!$F$7="Yes",INDEX('Minutes &amp; Health'!$O:$O,AL265),Settings!$F$8)</f>
        <v/>
      </c>
      <c r="M265" s="6">
        <f>INDEX('Minutes &amp; Health'!$P:$P,AL265)</f>
        <v/>
      </c>
      <c r="N265" s="5">
        <f>INDEX('Player Data'!$F:$F,AL265)/INDEX('Player Data'!$E:$E,AL265)*M265*L265*AM265</f>
        <v/>
      </c>
      <c r="O265" s="5">
        <f>INDEX('Player Data'!$G:$G,AL265)/INDEX('Player Data'!$E:$E,AL265)*M265*L265*AM265</f>
        <v/>
      </c>
      <c r="P265" s="5">
        <f>INDEX('Player Data'!$H:$H,AL265)/INDEX('Player Data'!$E:$E,AL265)*M265*L265*AM265</f>
        <v/>
      </c>
      <c r="Q265" s="5">
        <f>INDEX('Player Data'!$I:$I,AL265)/INDEX('Player Data'!$E:$E,AL265)*M265*L265*AM265</f>
        <v/>
      </c>
      <c r="R265" s="5">
        <f>INDEX('Player Data'!$J:$J,AL265)/INDEX('Player Data'!$E:$E,AL265)*M265*L265*AM265</f>
        <v/>
      </c>
      <c r="S265" s="5">
        <f>INDEX('Player Data'!$K:$K,AL265)/INDEX('Player Data'!$E:$E,AL265)*M265*L265*AM265</f>
        <v/>
      </c>
      <c r="T265" s="5">
        <f>INDEX('Player Data'!$L:$L,AL265)/INDEX('Player Data'!$E:$E,AL265)*M265*L265*AM265</f>
        <v/>
      </c>
      <c r="U265" s="7">
        <f>INDEX('Player Data'!$M:$M,AL265)</f>
        <v/>
      </c>
      <c r="V265" s="7">
        <f>INDEX('Player Data'!$N:$N,AL265)</f>
        <v/>
      </c>
      <c r="W265" s="5">
        <f>X265*U265</f>
        <v/>
      </c>
      <c r="X265" s="5">
        <f>INDEX('Player Data'!$O:$O,AL265)/INDEX('Player Data'!$E:$E,AL265)*M265*L265*AM265</f>
        <v/>
      </c>
      <c r="Y265" s="5">
        <f>Z265*V265</f>
        <v/>
      </c>
      <c r="Z265" s="5">
        <f>INDEX('Player Data'!$P:$P,AL265)/INDEX('Player Data'!$E:$E,AL265)*M265*L265*AM265</f>
        <v/>
      </c>
      <c r="AB265" s="3">
        <f>(N265-Pool!$D$2)/Pool!$E$2</f>
        <v/>
      </c>
      <c r="AC265" s="3">
        <f>(O265-Pool!$D$3)/Pool!$E$3</f>
        <v/>
      </c>
      <c r="AD265" s="3">
        <f>(P265-Pool!$D$4)/Pool!$E$4</f>
        <v/>
      </c>
      <c r="AE265" s="3">
        <f>(Q265-Pool!$D$5)/Pool!$E$5</f>
        <v/>
      </c>
      <c r="AF265" s="3">
        <f>(R265-Pool!$D$6)/Pool!$E$6</f>
        <v/>
      </c>
      <c r="AG265" s="3">
        <f>(S265-Pool!$D$7)/Pool!$E$7</f>
        <v/>
      </c>
      <c r="AH265" s="3">
        <f>(AS265-Pool!$D$8)/Pool!$E$8</f>
        <v/>
      </c>
      <c r="AI265" s="3">
        <f>(AT265-Pool!$D$9)/Pool!$E$9</f>
        <v/>
      </c>
      <c r="AJ265" s="3">
        <f>-(T265-Pool!$D$10)/Pool!$E$10</f>
        <v/>
      </c>
      <c r="AL265">
        <f>MATCH(B265,'Player Data'!$A:$A,0)</f>
        <v/>
      </c>
      <c r="AM265" s="3">
        <f>1+IF(Settings!$F$10="ON",IFERROR(VLOOKUP(TRIM(F265),Settings!$D$12:$F$17,3,FALSE),0),0)</f>
        <v/>
      </c>
      <c r="AN265">
        <f>IFERROR(LEFT(C265,FIND(",",C265)-1),C265)</f>
        <v/>
      </c>
      <c r="AO265" s="6">
        <f>X265*(U265-Pool!$B$12)</f>
        <v/>
      </c>
      <c r="AP265" s="6">
        <f>Z265*(V265-Pool!$B$13)</f>
        <v/>
      </c>
      <c r="AQ265" s="3">
        <f>Settings!$B$2*(N265-Pool!$B$2)/Pool!$C$2+Settings!$B$3*(O265-Pool!$B$3)/Pool!$C$3+Settings!$B$4*(P265-Pool!$B$4)/Pool!$C$4+Settings!$B$5*(Q265-Pool!$B$5)/Pool!$C$5+Settings!$B$6*(R265-Pool!$B$6)/Pool!$C$6+Settings!$B$7*(S265-Pool!$B$7)/Pool!$C$7+Settings!$B$8*(AO265-Pool!$B$8)/Pool!$C$8+Settings!$B$9*(AP265-Pool!$B$9)/Pool!$C$9+Settings!$B$10*-(T265-Pool!$B$10)/Pool!$C$10</f>
        <v/>
      </c>
      <c r="AR265">
        <f>IF(RANK(AQ265,$AQ$2:$AQ$266)&lt;=Settings!$F$5,1,0)</f>
        <v/>
      </c>
      <c r="AS265" s="6">
        <f>X265*(U265-Pool!$D$12)</f>
        <v/>
      </c>
      <c r="AT265" s="6">
        <f>Z265*(V265-Pool!$D$13)</f>
        <v/>
      </c>
    </row>
    <row r="266">
      <c r="A266">
        <f>RANK(H266,$H$2:$H$266)</f>
        <v/>
      </c>
      <c r="B266" t="inlineStr">
        <is>
          <t>Shaedon Sharpe</t>
        </is>
      </c>
      <c r="C266">
        <f>INDEX('Player Data'!$C:$C,AL266)</f>
        <v/>
      </c>
      <c r="D266">
        <f>SUMPRODUCT(($AN$2:$AN$266=AN266)*($H$2:$H$266&gt;H266))+1</f>
        <v/>
      </c>
      <c r="E266">
        <f>INDEX('Player Data'!$B:$B,AL266)</f>
        <v/>
      </c>
      <c r="F266" s="2" t="n"/>
      <c r="G266" s="3">
        <f>Settings!$B$2*AB266+Settings!$B$3*AC266+Settings!$B$4*AD266+Settings!$B$5*AE266+Settings!$B$6*AF266+Settings!$B$7*AG266+Settings!$B$8*AH266+Settings!$B$9*AI266+Settings!$B$10*AJ266</f>
        <v/>
      </c>
      <c r="H266" s="3">
        <f>G266-LARGE($G$2:$G$266,Settings!$F$4)</f>
        <v/>
      </c>
      <c r="I266">
        <f>IF(INDEX('Player Data'!$R:$R,AL266)="","",INDEX('Player Data'!$R:$R,AL266))</f>
        <v/>
      </c>
      <c r="J266" s="4">
        <f>IF(I266="","",I266-A266)</f>
        <v/>
      </c>
      <c r="L266" s="5">
        <f>IF(Settings!$F$7="Yes",INDEX('Minutes &amp; Health'!$O:$O,AL266),Settings!$F$8)</f>
        <v/>
      </c>
      <c r="M266" s="6">
        <f>INDEX('Minutes &amp; Health'!$P:$P,AL266)</f>
        <v/>
      </c>
      <c r="N266" s="5">
        <f>INDEX('Player Data'!$F:$F,AL266)/INDEX('Player Data'!$E:$E,AL266)*M266*L266*AM266</f>
        <v/>
      </c>
      <c r="O266" s="5">
        <f>INDEX('Player Data'!$G:$G,AL266)/INDEX('Player Data'!$E:$E,AL266)*M266*L266*AM266</f>
        <v/>
      </c>
      <c r="P266" s="5">
        <f>INDEX('Player Data'!$H:$H,AL266)/INDEX('Player Data'!$E:$E,AL266)*M266*L266*AM266</f>
        <v/>
      </c>
      <c r="Q266" s="5">
        <f>INDEX('Player Data'!$I:$I,AL266)/INDEX('Player Data'!$E:$E,AL266)*M266*L266*AM266</f>
        <v/>
      </c>
      <c r="R266" s="5">
        <f>INDEX('Player Data'!$J:$J,AL266)/INDEX('Player Data'!$E:$E,AL266)*M266*L266*AM266</f>
        <v/>
      </c>
      <c r="S266" s="5">
        <f>INDEX('Player Data'!$K:$K,AL266)/INDEX('Player Data'!$E:$E,AL266)*M266*L266*AM266</f>
        <v/>
      </c>
      <c r="T266" s="5">
        <f>INDEX('Player Data'!$L:$L,AL266)/INDEX('Player Data'!$E:$E,AL266)*M266*L266*AM266</f>
        <v/>
      </c>
      <c r="U266" s="7">
        <f>INDEX('Player Data'!$M:$M,AL266)</f>
        <v/>
      </c>
      <c r="V266" s="7">
        <f>INDEX('Player Data'!$N:$N,AL266)</f>
        <v/>
      </c>
      <c r="W266" s="5">
        <f>X266*U266</f>
        <v/>
      </c>
      <c r="X266" s="5">
        <f>INDEX('Player Data'!$O:$O,AL266)/INDEX('Player Data'!$E:$E,AL266)*M266*L266*AM266</f>
        <v/>
      </c>
      <c r="Y266" s="5">
        <f>Z266*V266</f>
        <v/>
      </c>
      <c r="Z266" s="5">
        <f>INDEX('Player Data'!$P:$P,AL266)/INDEX('Player Data'!$E:$E,AL266)*M266*L266*AM266</f>
        <v/>
      </c>
      <c r="AB266" s="3">
        <f>(N266-Pool!$D$2)/Pool!$E$2</f>
        <v/>
      </c>
      <c r="AC266" s="3">
        <f>(O266-Pool!$D$3)/Pool!$E$3</f>
        <v/>
      </c>
      <c r="AD266" s="3">
        <f>(P266-Pool!$D$4)/Pool!$E$4</f>
        <v/>
      </c>
      <c r="AE266" s="3">
        <f>(Q266-Pool!$D$5)/Pool!$E$5</f>
        <v/>
      </c>
      <c r="AF266" s="3">
        <f>(R266-Pool!$D$6)/Pool!$E$6</f>
        <v/>
      </c>
      <c r="AG266" s="3">
        <f>(S266-Pool!$D$7)/Pool!$E$7</f>
        <v/>
      </c>
      <c r="AH266" s="3">
        <f>(AS266-Pool!$D$8)/Pool!$E$8</f>
        <v/>
      </c>
      <c r="AI266" s="3">
        <f>(AT266-Pool!$D$9)/Pool!$E$9</f>
        <v/>
      </c>
      <c r="AJ266" s="3">
        <f>-(T266-Pool!$D$10)/Pool!$E$10</f>
        <v/>
      </c>
      <c r="AL266">
        <f>MATCH(B266,'Player Data'!$A:$A,0)</f>
        <v/>
      </c>
      <c r="AM266" s="3">
        <f>1+IF(Settings!$F$10="ON",IFERROR(VLOOKUP(TRIM(F266),Settings!$D$12:$F$17,3,FALSE),0),0)</f>
        <v/>
      </c>
      <c r="AN266">
        <f>IFERROR(LEFT(C266,FIND(",",C266)-1),C266)</f>
        <v/>
      </c>
      <c r="AO266" s="6">
        <f>X266*(U266-Pool!$B$12)</f>
        <v/>
      </c>
      <c r="AP266" s="6">
        <f>Z266*(V266-Pool!$B$13)</f>
        <v/>
      </c>
      <c r="AQ266" s="3">
        <f>Settings!$B$2*(N266-Pool!$B$2)/Pool!$C$2+Settings!$B$3*(O266-Pool!$B$3)/Pool!$C$3+Settings!$B$4*(P266-Pool!$B$4)/Pool!$C$4+Settings!$B$5*(Q266-Pool!$B$5)/Pool!$C$5+Settings!$B$6*(R266-Pool!$B$6)/Pool!$C$6+Settings!$B$7*(S266-Pool!$B$7)/Pool!$C$7+Settings!$B$8*(AO266-Pool!$B$8)/Pool!$C$8+Settings!$B$9*(AP266-Pool!$B$9)/Pool!$C$9+Settings!$B$10*-(T266-Pool!$B$10)/Pool!$C$10</f>
        <v/>
      </c>
      <c r="AR266">
        <f>IF(RANK(AQ266,$AQ$2:$AQ$266)&lt;=Settings!$F$5,1,0)</f>
        <v/>
      </c>
      <c r="AS266" s="6">
        <f>X266*(U266-Pool!$D$12)</f>
        <v/>
      </c>
      <c r="AT266" s="6">
        <f>Z266*(V266-Pool!$D$13)</f>
        <v/>
      </c>
    </row>
  </sheetData>
  <autoFilter ref="A1:AJ266"/>
  <conditionalFormatting sqref="J2:J266">
    <cfRule type="cellIs" priority="1" operator="greaterThanOrEqual" dxfId="0">
      <formula>24</formula>
    </cfRule>
    <cfRule type="cellIs" priority="2" operator="between" dxfId="1">
      <formula>12</formula>
      <formula>23.99</formula>
    </cfRule>
    <cfRule type="cellIs" priority="3" operator="between" dxfId="2">
      <formula>-23.99</formula>
      <formula>-12</formula>
    </cfRule>
    <cfRule type="cellIs" priority="4" operator="lessThanOrEqual" dxfId="3">
      <formula>-24</formula>
    </cfRule>
  </conditionalFormatting>
  <conditionalFormatting sqref="AB2:AJ266">
    <cfRule type="colorScale" priority="5">
      <colorScale>
        <cfvo type="num" val="-2"/>
        <cfvo type="num" val="0"/>
        <cfvo type="num" val="2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9" max="9"/>
    <col width="90" customWidth="1" min="17" max="17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Proj GP</t>
        </is>
      </c>
      <c r="E1" s="1" t="inlineStr">
        <is>
          <t>Proj MPG</t>
        </is>
      </c>
      <c r="F1" s="1" t="inlineStr">
        <is>
          <t>25-26 GP</t>
        </is>
      </c>
      <c r="G1" s="1" t="inlineStr">
        <is>
          <t>25-26 MPG</t>
        </is>
      </c>
      <c r="H1" s="1" t="inlineStr">
        <is>
          <t>MPG Δ</t>
        </is>
      </c>
      <c r="I1" s="1" t="inlineStr">
        <is>
          <t>Status</t>
        </is>
      </c>
      <c r="J1" s="1" t="inlineStr">
        <is>
          <t>Return</t>
        </is>
      </c>
      <c r="K1" s="1" t="inlineStr">
        <is>
          <t>Games Out</t>
        </is>
      </c>
      <c r="L1" s="1" t="inlineStr">
        <is>
          <t>Max GP</t>
        </is>
      </c>
      <c r="M1" s="1" t="inlineStr">
        <is>
          <t>Your GP</t>
        </is>
      </c>
      <c r="N1" s="1" t="inlineStr">
        <is>
          <t>Your MPG</t>
        </is>
      </c>
      <c r="O1" s="1" t="inlineStr">
        <is>
          <t>GP Used</t>
        </is>
      </c>
      <c r="P1" s="1" t="inlineStr">
        <is>
          <t>MPG Used</t>
        </is>
      </c>
      <c r="Q1" s="1" t="inlineStr">
        <is>
          <t>Note</t>
        </is>
      </c>
    </row>
    <row r="2">
      <c r="A2" t="inlineStr">
        <is>
          <t>Shai Gilgeous-Alexander</t>
        </is>
      </c>
      <c r="B2" t="inlineStr">
        <is>
          <t>OKC</t>
        </is>
      </c>
      <c r="C2" t="inlineStr">
        <is>
          <t>PG</t>
        </is>
      </c>
      <c r="D2" t="n">
        <v>77</v>
      </c>
      <c r="E2" t="n">
        <v>34.3</v>
      </c>
      <c r="F2" t="n">
        <v>68</v>
      </c>
      <c r="G2" t="n">
        <v>33.2</v>
      </c>
      <c r="H2" s="8">
        <f>IF(G2="","",E2-G2)</f>
        <v/>
      </c>
      <c r="I2" t="inlineStr">
        <is>
          <t>Day-To-Day</t>
        </is>
      </c>
      <c r="J2" s="9" t="n">
        <v>46308</v>
      </c>
      <c r="K2">
        <f>IF(J2="",0,COUNTIFS(Schedule!$B:$B,B2,Schedule!$A:$A,"&lt;"&amp;J2))</f>
        <v/>
      </c>
      <c r="L2">
        <f>82-K2</f>
        <v/>
      </c>
      <c r="M2" s="2" t="n"/>
      <c r="N2" s="2" t="n"/>
      <c r="O2">
        <f>IF(M2&lt;&gt;"",M2,MIN(D2,L2))</f>
        <v/>
      </c>
      <c r="P2">
        <f>IF(N2&lt;&gt;"",N2,E2)</f>
        <v/>
      </c>
      <c r="Q2" t="inlineStr">
        <is>
          <t>2026-10-10: Gilgeous-Alexander (rest) won't play in Monday's preseason game against Atlanta, Clemente Almanza of USA Today reports.</t>
        </is>
      </c>
    </row>
    <row r="3">
      <c r="A3" t="inlineStr">
        <is>
          <t>Giannis Antetokounmpo</t>
        </is>
      </c>
      <c r="B3" t="inlineStr">
        <is>
          <t>MIA</t>
        </is>
      </c>
      <c r="C3" t="inlineStr">
        <is>
          <t>PF,C</t>
        </is>
      </c>
      <c r="D3" t="n">
        <v>73</v>
      </c>
      <c r="E3" t="n">
        <v>33</v>
      </c>
      <c r="F3" t="n">
        <v>36</v>
      </c>
      <c r="G3" t="n">
        <v>28.9</v>
      </c>
      <c r="H3" s="8">
        <f>IF(G3="","",E3-G3)</f>
        <v/>
      </c>
      <c r="I3" t="inlineStr">
        <is>
          <t>Day-To-Day</t>
        </is>
      </c>
      <c r="J3" s="9" t="n">
        <v>46309</v>
      </c>
      <c r="K3">
        <f>IF(J3="",0,COUNTIFS(Schedule!$B:$B,B3,Schedule!$A:$A,"&lt;"&amp;J3))</f>
        <v/>
      </c>
      <c r="L3">
        <f>82-K3</f>
        <v/>
      </c>
      <c r="M3" s="2" t="n"/>
      <c r="N3" s="2" t="n"/>
      <c r="O3">
        <f>IF(M3&lt;&gt;"",M3,MIN(D3,L3))</f>
        <v/>
      </c>
      <c r="P3">
        <f>IF(N3&lt;&gt;"",N3,E3)</f>
        <v/>
      </c>
      <c r="Q3" t="inlineStr">
        <is>
          <t>2026-10-10: Antetokounmpo (rest) won't be available for Saturday's preseason game against the Timberwolves, Eric Nehm of The Athletic reports.</t>
        </is>
      </c>
    </row>
    <row r="4">
      <c r="A4" t="inlineStr">
        <is>
          <t>Luka Doncic</t>
        </is>
      </c>
      <c r="B4" t="inlineStr">
        <is>
          <t>LAL</t>
        </is>
      </c>
      <c r="C4" t="inlineStr">
        <is>
          <t>PG,SG</t>
        </is>
      </c>
      <c r="D4" t="n">
        <v>74</v>
      </c>
      <c r="E4" t="n">
        <v>36.1</v>
      </c>
      <c r="F4" t="n">
        <v>64</v>
      </c>
      <c r="G4" t="n">
        <v>35.8</v>
      </c>
      <c r="H4" s="8">
        <f>IF(G4="","",E4-G4)</f>
        <v/>
      </c>
      <c r="J4" s="9" t="n"/>
      <c r="K4">
        <f>IF(J4="",0,COUNTIFS(Schedule!$B:$B,B4,Schedule!$A:$A,"&lt;"&amp;J4))</f>
        <v/>
      </c>
      <c r="L4">
        <f>82-K4</f>
        <v/>
      </c>
      <c r="M4" s="2" t="n"/>
      <c r="N4" s="2" t="n"/>
      <c r="O4">
        <f>IF(M4&lt;&gt;"",M4,MIN(D4,L4))</f>
        <v/>
      </c>
      <c r="P4">
        <f>IF(N4&lt;&gt;"",N4,E4)</f>
        <v/>
      </c>
    </row>
    <row r="5">
      <c r="A5" t="inlineStr">
        <is>
          <t>Anthony Edwards</t>
        </is>
      </c>
      <c r="B5" t="inlineStr">
        <is>
          <t>MIN</t>
        </is>
      </c>
      <c r="C5" t="inlineStr">
        <is>
          <t>PG,SF,SG</t>
        </is>
      </c>
      <c r="D5" t="n">
        <v>75</v>
      </c>
      <c r="E5" t="n">
        <v>35.9</v>
      </c>
      <c r="F5" t="n">
        <v>61</v>
      </c>
      <c r="G5" t="n">
        <v>35</v>
      </c>
      <c r="H5" s="8">
        <f>IF(G5="","",E5-G5)</f>
        <v/>
      </c>
      <c r="I5" t="inlineStr">
        <is>
          <t>Day-To-Day</t>
        </is>
      </c>
      <c r="J5" s="9" t="n">
        <v>46307</v>
      </c>
      <c r="K5">
        <f>IF(J5="",0,COUNTIFS(Schedule!$B:$B,B5,Schedule!$A:$A,"&lt;"&amp;J5))</f>
        <v/>
      </c>
      <c r="L5">
        <f>82-K5</f>
        <v/>
      </c>
      <c r="M5" s="2" t="n"/>
      <c r="N5" s="2" t="n"/>
      <c r="O5">
        <f>IF(M5&lt;&gt;"",M5,MIN(D5,L5))</f>
        <v/>
      </c>
      <c r="P5">
        <f>IF(N5&lt;&gt;"",N5,E5)</f>
        <v/>
      </c>
      <c r="Q5" t="inlineStr">
        <is>
          <t>2026-10-10: Edwards (rest) is not available for Saturday's preseason game against Miami.</t>
        </is>
      </c>
    </row>
    <row r="6">
      <c r="A6" t="inlineStr">
        <is>
          <t>Jayson Tatum</t>
        </is>
      </c>
      <c r="B6" t="inlineStr">
        <is>
          <t>BOS</t>
        </is>
      </c>
      <c r="C6" t="inlineStr">
        <is>
          <t>SF,PF</t>
        </is>
      </c>
      <c r="D6" t="n">
        <v>74</v>
      </c>
      <c r="E6" t="n">
        <v>36.1</v>
      </c>
      <c r="F6" t="n">
        <v>16</v>
      </c>
      <c r="G6" t="n">
        <v>32.6</v>
      </c>
      <c r="H6" s="8">
        <f>IF(G6="","",E6-G6)</f>
        <v/>
      </c>
      <c r="J6" s="9" t="n"/>
      <c r="K6">
        <f>IF(J6="",0,COUNTIFS(Schedule!$B:$B,B6,Schedule!$A:$A,"&lt;"&amp;J6))</f>
        <v/>
      </c>
      <c r="L6">
        <f>82-K6</f>
        <v/>
      </c>
      <c r="M6" s="2" t="n"/>
      <c r="N6" s="2" t="n"/>
      <c r="O6">
        <f>IF(M6&lt;&gt;"",M6,MIN(D6,L6))</f>
        <v/>
      </c>
      <c r="P6">
        <f>IF(N6&lt;&gt;"",N6,E6)</f>
        <v/>
      </c>
    </row>
    <row r="7">
      <c r="A7" t="inlineStr">
        <is>
          <t>Nikola Jokic</t>
        </is>
      </c>
      <c r="B7" t="inlineStr">
        <is>
          <t>DEN</t>
        </is>
      </c>
      <c r="C7" t="inlineStr">
        <is>
          <t>C</t>
        </is>
      </c>
      <c r="D7" t="n">
        <v>75</v>
      </c>
      <c r="E7" t="n">
        <v>36.2</v>
      </c>
      <c r="F7" t="n">
        <v>65</v>
      </c>
      <c r="G7" t="n">
        <v>34.8</v>
      </c>
      <c r="H7" s="8">
        <f>IF(G7="","",E7-G7)</f>
        <v/>
      </c>
      <c r="J7" s="9" t="n"/>
      <c r="K7">
        <f>IF(J7="",0,COUNTIFS(Schedule!$B:$B,B7,Schedule!$A:$A,"&lt;"&amp;J7))</f>
        <v/>
      </c>
      <c r="L7">
        <f>82-K7</f>
        <v/>
      </c>
      <c r="M7" s="2" t="n"/>
      <c r="N7" s="2" t="n"/>
      <c r="O7">
        <f>IF(M7&lt;&gt;"",M7,MIN(D7,L7))</f>
        <v/>
      </c>
      <c r="P7">
        <f>IF(N7&lt;&gt;"",N7,E7)</f>
        <v/>
      </c>
    </row>
    <row r="8">
      <c r="A8" t="inlineStr">
        <is>
          <t>Donovan Mitchell</t>
        </is>
      </c>
      <c r="B8" t="inlineStr">
        <is>
          <t>CLE</t>
        </is>
      </c>
      <c r="C8" t="inlineStr">
        <is>
          <t>PG,SG</t>
        </is>
      </c>
      <c r="D8" t="n">
        <v>75</v>
      </c>
      <c r="E8" t="n">
        <v>33.2</v>
      </c>
      <c r="F8" t="n">
        <v>70</v>
      </c>
      <c r="G8" t="n">
        <v>33.5</v>
      </c>
      <c r="H8" s="8">
        <f>IF(G8="","",E8-G8)</f>
        <v/>
      </c>
      <c r="J8" s="9" t="n"/>
      <c r="K8">
        <f>IF(J8="",0,COUNTIFS(Schedule!$B:$B,B8,Schedule!$A:$A,"&lt;"&amp;J8))</f>
        <v/>
      </c>
      <c r="L8">
        <f>82-K8</f>
        <v/>
      </c>
      <c r="M8" s="2" t="n"/>
      <c r="N8" s="2" t="n"/>
      <c r="O8">
        <f>IF(M8&lt;&gt;"",M8,MIN(D8,L8))</f>
        <v/>
      </c>
      <c r="P8">
        <f>IF(N8&lt;&gt;"",N8,E8)</f>
        <v/>
      </c>
    </row>
    <row r="9">
      <c r="A9" t="inlineStr">
        <is>
          <t>Jalen Brunson</t>
        </is>
      </c>
      <c r="B9" t="inlineStr">
        <is>
          <t>NYK</t>
        </is>
      </c>
      <c r="C9" t="inlineStr">
        <is>
          <t>PG</t>
        </is>
      </c>
      <c r="D9" t="n">
        <v>75</v>
      </c>
      <c r="E9" t="n">
        <v>35.6</v>
      </c>
      <c r="F9" t="n">
        <v>74</v>
      </c>
      <c r="G9" t="n">
        <v>35</v>
      </c>
      <c r="H9" s="8">
        <f>IF(G9="","",E9-G9)</f>
        <v/>
      </c>
      <c r="J9" s="9" t="n"/>
      <c r="K9">
        <f>IF(J9="",0,COUNTIFS(Schedule!$B:$B,B9,Schedule!$A:$A,"&lt;"&amp;J9))</f>
        <v/>
      </c>
      <c r="L9">
        <f>82-K9</f>
        <v/>
      </c>
      <c r="M9" s="2" t="n"/>
      <c r="N9" s="2" t="n"/>
      <c r="O9">
        <f>IF(M9&lt;&gt;"",M9,MIN(D9,L9))</f>
        <v/>
      </c>
      <c r="P9">
        <f>IF(N9&lt;&gt;"",N9,E9)</f>
        <v/>
      </c>
    </row>
    <row r="10">
      <c r="A10" t="inlineStr">
        <is>
          <t>Joel Embiid</t>
        </is>
      </c>
      <c r="B10" t="inlineStr">
        <is>
          <t>PHI</t>
        </is>
      </c>
      <c r="C10" t="inlineStr">
        <is>
          <t>C</t>
        </is>
      </c>
      <c r="D10" t="n">
        <v>59</v>
      </c>
      <c r="E10" t="n">
        <v>31</v>
      </c>
      <c r="F10" t="n">
        <v>38</v>
      </c>
      <c r="G10" t="n">
        <v>31.6</v>
      </c>
      <c r="H10" s="8">
        <f>IF(G10="","",E10-G10)</f>
        <v/>
      </c>
      <c r="I10" t="inlineStr">
        <is>
          <t>Day-To-Day</t>
        </is>
      </c>
      <c r="J10" s="9" t="n">
        <v>46311</v>
      </c>
      <c r="K10">
        <f>IF(J10="",0,COUNTIFS(Schedule!$B:$B,B10,Schedule!$A:$A,"&lt;"&amp;J10))</f>
        <v/>
      </c>
      <c r="L10">
        <f>82-K10</f>
        <v/>
      </c>
      <c r="M10" s="2" t="n">
        <v>50</v>
      </c>
      <c r="N10" s="2" t="n"/>
      <c r="O10">
        <f>IF(M10&lt;&gt;"",M10,MIN(D10,L10))</f>
        <v/>
      </c>
      <c r="P10">
        <f>IF(N10&lt;&gt;"",N10,E10)</f>
        <v/>
      </c>
      <c r="Q10" t="inlineStr">
        <is>
          <t>2026-10-10: Embiid (rest) is out for Saturday's exhibition against the Celtics, Tony Jones of The Athletic reports. · Rusty in preseason, 8 turnovers in one game; injury history</t>
        </is>
      </c>
    </row>
    <row r="11">
      <c r="A11" t="inlineStr">
        <is>
          <t>Stephen Curry</t>
        </is>
      </c>
      <c r="B11" t="inlineStr">
        <is>
          <t>GSW</t>
        </is>
      </c>
      <c r="C11" t="inlineStr">
        <is>
          <t>PG</t>
        </is>
      </c>
      <c r="D11" t="n">
        <v>73</v>
      </c>
      <c r="E11" t="n">
        <v>31.7</v>
      </c>
      <c r="F11" t="n">
        <v>43</v>
      </c>
      <c r="G11" t="n">
        <v>30.9</v>
      </c>
      <c r="H11" s="8">
        <f>IF(G11="","",E11-G11)</f>
        <v/>
      </c>
      <c r="J11" s="9" t="n"/>
      <c r="K11">
        <f>IF(J11="",0,COUNTIFS(Schedule!$B:$B,B11,Schedule!$A:$A,"&lt;"&amp;J11))</f>
        <v/>
      </c>
      <c r="L11">
        <f>82-K11</f>
        <v/>
      </c>
      <c r="M11" s="2" t="n"/>
      <c r="N11" s="2" t="n"/>
      <c r="O11">
        <f>IF(M11&lt;&gt;"",M11,MIN(D11,L11))</f>
        <v/>
      </c>
      <c r="P11">
        <f>IF(N11&lt;&gt;"",N11,E11)</f>
        <v/>
      </c>
    </row>
    <row r="12">
      <c r="A12" t="inlineStr">
        <is>
          <t>Devin Booker</t>
        </is>
      </c>
      <c r="B12" t="inlineStr">
        <is>
          <t>PHO</t>
        </is>
      </c>
      <c r="C12" t="inlineStr">
        <is>
          <t>PG,SG</t>
        </is>
      </c>
      <c r="D12" t="n">
        <v>75</v>
      </c>
      <c r="E12" t="n">
        <v>35.9</v>
      </c>
      <c r="F12" t="n">
        <v>64</v>
      </c>
      <c r="G12" t="n">
        <v>33.5</v>
      </c>
      <c r="H12" s="8">
        <f>IF(G12="","",E12-G12)</f>
        <v/>
      </c>
      <c r="I12" t="inlineStr">
        <is>
          <t>Day-To-Day</t>
        </is>
      </c>
      <c r="J12" s="9" t="n">
        <v>46309</v>
      </c>
      <c r="K12">
        <f>IF(J12="",0,COUNTIFS(Schedule!$B:$B,B12,Schedule!$A:$A,"&lt;"&amp;J12))</f>
        <v/>
      </c>
      <c r="L12">
        <f>82-K12</f>
        <v/>
      </c>
      <c r="M12" s="2" t="n"/>
      <c r="N12" s="2" t="n"/>
      <c r="O12">
        <f>IF(M12&lt;&gt;"",M12,MIN(D12,L12))</f>
        <v/>
      </c>
      <c r="P12">
        <f>IF(N12&lt;&gt;"",N12,E12)</f>
        <v/>
      </c>
      <c r="Q12" t="inlineStr">
        <is>
          <t>2026-10-11: Booker is not playing in Saturday's preseason game against the Spurs due to rest, Hayden Cilley of ClutchPoints.com reports.</t>
        </is>
      </c>
    </row>
    <row r="13">
      <c r="A13" t="inlineStr">
        <is>
          <t>Tyrese Maxey</t>
        </is>
      </c>
      <c r="B13" t="inlineStr">
        <is>
          <t>PHI</t>
        </is>
      </c>
      <c r="C13" t="inlineStr">
        <is>
          <t>PG,SG</t>
        </is>
      </c>
      <c r="D13" t="n">
        <v>75</v>
      </c>
      <c r="E13" t="n">
        <v>35.9</v>
      </c>
      <c r="F13" t="n">
        <v>70</v>
      </c>
      <c r="G13" t="n">
        <v>38</v>
      </c>
      <c r="H13" s="8">
        <f>IF(G13="","",E13-G13)</f>
        <v/>
      </c>
      <c r="J13" s="9" t="n"/>
      <c r="K13">
        <f>IF(J13="",0,COUNTIFS(Schedule!$B:$B,B13,Schedule!$A:$A,"&lt;"&amp;J13))</f>
        <v/>
      </c>
      <c r="L13">
        <f>82-K13</f>
        <v/>
      </c>
      <c r="M13" s="2" t="n"/>
      <c r="N13" s="2" t="n"/>
      <c r="O13">
        <f>IF(M13&lt;&gt;"",M13,MIN(D13,L13))</f>
        <v/>
      </c>
      <c r="P13">
        <f>IF(N13&lt;&gt;"",N13,E13)</f>
        <v/>
      </c>
    </row>
    <row r="14">
      <c r="A14" t="inlineStr">
        <is>
          <t>Kevin Durant</t>
        </is>
      </c>
      <c r="B14" t="inlineStr">
        <is>
          <t>HOU</t>
        </is>
      </c>
      <c r="C14" t="inlineStr">
        <is>
          <t>PF,SF,SG</t>
        </is>
      </c>
      <c r="D14" t="n">
        <v>75</v>
      </c>
      <c r="E14" t="n">
        <v>35.8</v>
      </c>
      <c r="F14" t="n">
        <v>78</v>
      </c>
      <c r="G14" t="n">
        <v>36.4</v>
      </c>
      <c r="H14" s="8">
        <f>IF(G14="","",E14-G14)</f>
        <v/>
      </c>
      <c r="I14" t="inlineStr">
        <is>
          <t>Day-To-Day</t>
        </is>
      </c>
      <c r="J14" s="9" t="n">
        <v>46310</v>
      </c>
      <c r="K14">
        <f>IF(J14="",0,COUNTIFS(Schedule!$B:$B,B14,Schedule!$A:$A,"&lt;"&amp;J14))</f>
        <v/>
      </c>
      <c r="L14">
        <f>82-K14</f>
        <v/>
      </c>
      <c r="M14" s="2" t="n"/>
      <c r="N14" s="2" t="n"/>
      <c r="O14">
        <f>IF(M14&lt;&gt;"",M14,MIN(D14,L14))</f>
        <v/>
      </c>
      <c r="P14">
        <f>IF(N14&lt;&gt;"",N14,E14)</f>
        <v/>
      </c>
      <c r="Q14" t="inlineStr">
        <is>
          <t>2026-10-09: Durant will not play in Sunday's preseason rematch against Dallas, Varun Shankar of the Houston Chronicle reports. The forward finished Friday's preseason contest with 15 points (7-12 FG, 1-1 3Pt, 0-1 FT), two assists and one block in 23 minutes.</t>
        </is>
      </c>
    </row>
    <row r="15">
      <c r="A15" t="inlineStr">
        <is>
          <t>Victor Wembanyama</t>
        </is>
      </c>
      <c r="B15" t="inlineStr">
        <is>
          <t>SAS</t>
        </is>
      </c>
      <c r="C15" t="inlineStr">
        <is>
          <t>C</t>
        </is>
      </c>
      <c r="D15" t="n">
        <v>73</v>
      </c>
      <c r="E15" t="n">
        <v>31.9</v>
      </c>
      <c r="F15" t="n">
        <v>64</v>
      </c>
      <c r="G15" t="n">
        <v>29.2</v>
      </c>
      <c r="H15" s="8">
        <f>IF(G15="","",E15-G15)</f>
        <v/>
      </c>
      <c r="J15" s="9" t="n"/>
      <c r="K15">
        <f>IF(J15="",0,COUNTIFS(Schedule!$B:$B,B15,Schedule!$A:$A,"&lt;"&amp;J15))</f>
        <v/>
      </c>
      <c r="L15">
        <f>82-K15</f>
        <v/>
      </c>
      <c r="M15" s="2" t="n"/>
      <c r="N15" s="2" t="n"/>
      <c r="O15">
        <f>IF(M15&lt;&gt;"",M15,MIN(D15,L15))</f>
        <v/>
      </c>
      <c r="P15">
        <f>IF(N15&lt;&gt;"",N15,E15)</f>
        <v/>
      </c>
    </row>
    <row r="16">
      <c r="A16" t="inlineStr">
        <is>
          <t>Jaylen Brown</t>
        </is>
      </c>
      <c r="B16" t="inlineStr">
        <is>
          <t>PHI</t>
        </is>
      </c>
      <c r="C16" t="inlineStr">
        <is>
          <t>PF,SF,SG</t>
        </is>
      </c>
      <c r="D16" t="n">
        <v>75</v>
      </c>
      <c r="E16" t="n">
        <v>33.5</v>
      </c>
      <c r="F16" t="n">
        <v>71</v>
      </c>
      <c r="G16" t="n">
        <v>34.4</v>
      </c>
      <c r="H16" s="8">
        <f>IF(G16="","",E16-G16)</f>
        <v/>
      </c>
      <c r="I16" t="inlineStr">
        <is>
          <t>Day-To-Day</t>
        </is>
      </c>
      <c r="J16" s="9" t="n">
        <v>46311</v>
      </c>
      <c r="K16">
        <f>IF(J16="",0,COUNTIFS(Schedule!$B:$B,B16,Schedule!$A:$A,"&lt;"&amp;J16))</f>
        <v/>
      </c>
      <c r="L16">
        <f>82-K16</f>
        <v/>
      </c>
      <c r="M16" s="2" t="n"/>
      <c r="N16" s="2" t="n"/>
      <c r="O16">
        <f>IF(M16&lt;&gt;"",M16,MIN(D16,L16))</f>
        <v/>
      </c>
      <c r="P16">
        <f>IF(N16&lt;&gt;"",N16,E16)</f>
        <v/>
      </c>
      <c r="Q16" t="inlineStr">
        <is>
          <t>2026-10-10: Brown (rest) won't suit up for Saturday's preseason game in Boston, Tony Jones of The Athletic reports.</t>
        </is>
      </c>
    </row>
    <row r="17">
      <c r="A17" t="inlineStr">
        <is>
          <t>Kawhi Leonard</t>
        </is>
      </c>
      <c r="B17" t="inlineStr">
        <is>
          <t>TOR</t>
        </is>
      </c>
      <c r="C17" t="inlineStr">
        <is>
          <t>PF,SF,SG</t>
        </is>
      </c>
      <c r="D17" t="n">
        <v>69</v>
      </c>
      <c r="E17" t="n">
        <v>32.3</v>
      </c>
      <c r="F17" t="n">
        <v>65</v>
      </c>
      <c r="G17" t="n">
        <v>32.1</v>
      </c>
      <c r="H17" s="8">
        <f>IF(G17="","",E17-G17)</f>
        <v/>
      </c>
      <c r="I17" t="inlineStr">
        <is>
          <t>Day-To-Day</t>
        </is>
      </c>
      <c r="J17" s="9" t="n">
        <v>46308</v>
      </c>
      <c r="K17">
        <f>IF(J17="",0,COUNTIFS(Schedule!$B:$B,B17,Schedule!$A:$A,"&lt;"&amp;J17))</f>
        <v/>
      </c>
      <c r="L17">
        <f>82-K17</f>
        <v/>
      </c>
      <c r="M17" s="2" t="n">
        <v>60</v>
      </c>
      <c r="N17" s="2" t="n"/>
      <c r="O17">
        <f>IF(M17&lt;&gt;"",M17,MIN(D17,L17))</f>
        <v/>
      </c>
      <c r="P17">
        <f>IF(N17&lt;&gt;"",N17,E17)</f>
        <v/>
      </c>
      <c r="Q17" t="inlineStr">
        <is>
          <t>2026-10-09: Leonard (not injury related) won't suit up for Saturday's exhibition against the Clippers, Tomer Azarly of ClutchPoints.com reports. · Has not played 70+ games since 2017</t>
        </is>
      </c>
    </row>
    <row r="18">
      <c r="A18" t="inlineStr">
        <is>
          <t>Cade Cunningham</t>
        </is>
      </c>
      <c r="B18" t="inlineStr">
        <is>
          <t>DET</t>
        </is>
      </c>
      <c r="C18" t="inlineStr">
        <is>
          <t>PG,SG</t>
        </is>
      </c>
      <c r="D18" t="n">
        <v>74</v>
      </c>
      <c r="E18" t="n">
        <v>35.1</v>
      </c>
      <c r="F18" t="n">
        <v>64</v>
      </c>
      <c r="G18" t="n">
        <v>33.9</v>
      </c>
      <c r="H18" s="8">
        <f>IF(G18="","",E18-G18)</f>
        <v/>
      </c>
      <c r="I18" t="inlineStr">
        <is>
          <t>Day-To-Day</t>
        </is>
      </c>
      <c r="J18" s="9" t="n">
        <v>46309</v>
      </c>
      <c r="K18">
        <f>IF(J18="",0,COUNTIFS(Schedule!$B:$B,B18,Schedule!$A:$A,"&lt;"&amp;J18))</f>
        <v/>
      </c>
      <c r="L18">
        <f>82-K18</f>
        <v/>
      </c>
      <c r="M18" s="2" t="n"/>
      <c r="N18" s="2" t="n"/>
      <c r="O18">
        <f>IF(M18&lt;&gt;"",M18,MIN(D18,L18))</f>
        <v/>
      </c>
      <c r="P18">
        <f>IF(N18&lt;&gt;"",N18,E18)</f>
        <v/>
      </c>
      <c r="Q18" t="inlineStr">
        <is>
          <t>2026-10-11: Cunningham (rest) didn't play in Saturday's 114-108 preseason loss to the Wizards.</t>
        </is>
      </c>
    </row>
    <row r="19">
      <c r="A19" t="inlineStr">
        <is>
          <t>Kyrie Irving</t>
        </is>
      </c>
      <c r="B19" t="inlineStr">
        <is>
          <t>DAL</t>
        </is>
      </c>
      <c r="C19" t="inlineStr">
        <is>
          <t>PG</t>
        </is>
      </c>
      <c r="D19" t="n">
        <v>69</v>
      </c>
      <c r="E19" t="n">
        <v>35</v>
      </c>
      <c r="H19" s="8">
        <f>IF(G19="","",E19-G19)</f>
        <v/>
      </c>
      <c r="J19" s="9" t="n"/>
      <c r="K19">
        <f>IF(J19="",0,COUNTIFS(Schedule!$B:$B,B19,Schedule!$A:$A,"&lt;"&amp;J19))</f>
        <v/>
      </c>
      <c r="L19">
        <f>82-K19</f>
        <v/>
      </c>
      <c r="M19" s="2" t="n"/>
      <c r="N19" s="2" t="n"/>
      <c r="O19">
        <f>IF(M19&lt;&gt;"",M19,MIN(D19,L19))</f>
        <v/>
      </c>
      <c r="P19">
        <f>IF(N19&lt;&gt;"",N19,E19)</f>
        <v/>
      </c>
    </row>
    <row r="20">
      <c r="A20" t="inlineStr">
        <is>
          <t>Paolo Banchero</t>
        </is>
      </c>
      <c r="B20" t="inlineStr">
        <is>
          <t>ORL</t>
        </is>
      </c>
      <c r="C20" t="inlineStr">
        <is>
          <t>PF,SF</t>
        </is>
      </c>
      <c r="D20" t="n">
        <v>74</v>
      </c>
      <c r="E20" t="n">
        <v>34.8</v>
      </c>
      <c r="F20" t="n">
        <v>72</v>
      </c>
      <c r="G20" t="n">
        <v>34.8</v>
      </c>
      <c r="H20" s="8">
        <f>IF(G20="","",E20-G20)</f>
        <v/>
      </c>
      <c r="J20" s="9" t="n"/>
      <c r="K20">
        <f>IF(J20="",0,COUNTIFS(Schedule!$B:$B,B20,Schedule!$A:$A,"&lt;"&amp;J20))</f>
        <v/>
      </c>
      <c r="L20">
        <f>82-K20</f>
        <v/>
      </c>
      <c r="M20" s="2" t="n"/>
      <c r="N20" s="2" t="n"/>
      <c r="O20">
        <f>IF(M20&lt;&gt;"",M20,MIN(D20,L20))</f>
        <v/>
      </c>
      <c r="P20">
        <f>IF(N20&lt;&gt;"",N20,E20)</f>
        <v/>
      </c>
    </row>
    <row r="21">
      <c r="A21" t="inlineStr">
        <is>
          <t>Cooper Flagg</t>
        </is>
      </c>
      <c r="B21" t="inlineStr">
        <is>
          <t>DAL</t>
        </is>
      </c>
      <c r="C21" t="inlineStr">
        <is>
          <t>PF,SF,SG</t>
        </is>
      </c>
      <c r="D21" t="n">
        <v>75</v>
      </c>
      <c r="E21" t="n">
        <v>34.7</v>
      </c>
      <c r="F21" t="n">
        <v>70</v>
      </c>
      <c r="G21" t="n">
        <v>33.5</v>
      </c>
      <c r="H21" s="8">
        <f>IF(G21="","",E21-G21)</f>
        <v/>
      </c>
      <c r="J21" s="9" t="n"/>
      <c r="K21">
        <f>IF(J21="",0,COUNTIFS(Schedule!$B:$B,B21,Schedule!$A:$A,"&lt;"&amp;J21))</f>
        <v/>
      </c>
      <c r="L21">
        <f>82-K21</f>
        <v/>
      </c>
      <c r="M21" s="2" t="n"/>
      <c r="N21" s="2" t="n"/>
      <c r="O21">
        <f>IF(M21&lt;&gt;"",M21,MIN(D21,L21))</f>
        <v/>
      </c>
      <c r="P21">
        <f>IF(N21&lt;&gt;"",N21,E21)</f>
        <v/>
      </c>
    </row>
    <row r="22">
      <c r="A22" t="inlineStr">
        <is>
          <t>Austin Reaves</t>
        </is>
      </c>
      <c r="B22" t="inlineStr">
        <is>
          <t>LAL</t>
        </is>
      </c>
      <c r="C22" t="inlineStr">
        <is>
          <t>PG,SF,SG</t>
        </is>
      </c>
      <c r="D22" t="n">
        <v>73</v>
      </c>
      <c r="E22" t="n">
        <v>35.8</v>
      </c>
      <c r="F22" t="n">
        <v>51</v>
      </c>
      <c r="G22" t="n">
        <v>34.5</v>
      </c>
      <c r="H22" s="8">
        <f>IF(G22="","",E22-G22)</f>
        <v/>
      </c>
      <c r="J22" s="9" t="n"/>
      <c r="K22">
        <f>IF(J22="",0,COUNTIFS(Schedule!$B:$B,B22,Schedule!$A:$A,"&lt;"&amp;J22))</f>
        <v/>
      </c>
      <c r="L22">
        <f>82-K22</f>
        <v/>
      </c>
      <c r="M22" s="2" t="n"/>
      <c r="N22" s="2" t="n"/>
      <c r="O22">
        <f>IF(M22&lt;&gt;"",M22,MIN(D22,L22))</f>
        <v/>
      </c>
      <c r="P22">
        <f>IF(N22&lt;&gt;"",N22,E22)</f>
        <v/>
      </c>
    </row>
    <row r="23">
      <c r="A23" t="inlineStr">
        <is>
          <t>LaMelo Ball</t>
        </is>
      </c>
      <c r="B23" t="inlineStr">
        <is>
          <t>MIN</t>
        </is>
      </c>
      <c r="C23" t="inlineStr">
        <is>
          <t>PG</t>
        </is>
      </c>
      <c r="D23" t="n">
        <v>73</v>
      </c>
      <c r="E23" t="n">
        <v>31.3</v>
      </c>
      <c r="F23" t="n">
        <v>72</v>
      </c>
      <c r="G23" t="n">
        <v>28</v>
      </c>
      <c r="H23" s="8">
        <f>IF(G23="","",E23-G23)</f>
        <v/>
      </c>
      <c r="I23" t="inlineStr">
        <is>
          <t>Day-To-Day</t>
        </is>
      </c>
      <c r="J23" s="9" t="n">
        <v>46307</v>
      </c>
      <c r="K23">
        <f>IF(J23="",0,COUNTIFS(Schedule!$B:$B,B23,Schedule!$A:$A,"&lt;"&amp;J23))</f>
        <v/>
      </c>
      <c r="L23">
        <f>82-K23</f>
        <v/>
      </c>
      <c r="M23" s="2" t="n"/>
      <c r="N23" s="2" t="n"/>
      <c r="O23">
        <f>IF(M23&lt;&gt;"",M23,MIN(D23,L23))</f>
        <v/>
      </c>
      <c r="P23">
        <f>IF(N23&lt;&gt;"",N23,E23)</f>
        <v/>
      </c>
      <c r="Q23" t="inlineStr">
        <is>
          <t>2026-10-10: Ball (rest) has been ruled out for Saturday's preseason game against the Heat.</t>
        </is>
      </c>
    </row>
    <row r="24">
      <c r="A24" t="inlineStr">
        <is>
          <t>Jamal Murray</t>
        </is>
      </c>
      <c r="B24" t="inlineStr">
        <is>
          <t>DEN</t>
        </is>
      </c>
      <c r="C24" t="inlineStr">
        <is>
          <t>PG</t>
        </is>
      </c>
      <c r="D24" t="n">
        <v>74</v>
      </c>
      <c r="E24" t="n">
        <v>35.7</v>
      </c>
      <c r="F24" t="n">
        <v>75</v>
      </c>
      <c r="G24" t="n">
        <v>35.4</v>
      </c>
      <c r="H24" s="8">
        <f>IF(G24="","",E24-G24)</f>
        <v/>
      </c>
      <c r="J24" s="9" t="n"/>
      <c r="K24">
        <f>IF(J24="",0,COUNTIFS(Schedule!$B:$B,B24,Schedule!$A:$A,"&lt;"&amp;J24))</f>
        <v/>
      </c>
      <c r="L24">
        <f>82-K24</f>
        <v/>
      </c>
      <c r="M24" s="2" t="n"/>
      <c r="N24" s="2" t="n"/>
      <c r="O24">
        <f>IF(M24&lt;&gt;"",M24,MIN(D24,L24))</f>
        <v/>
      </c>
      <c r="P24">
        <f>IF(N24&lt;&gt;"",N24,E24)</f>
        <v/>
      </c>
    </row>
    <row r="25">
      <c r="A25" t="inlineStr">
        <is>
          <t>Deni Avdija</t>
        </is>
      </c>
      <c r="B25" t="inlineStr">
        <is>
          <t>POR</t>
        </is>
      </c>
      <c r="C25" t="inlineStr">
        <is>
          <t>PF,SF,SG</t>
        </is>
      </c>
      <c r="D25" t="n">
        <v>75</v>
      </c>
      <c r="E25" t="n">
        <v>33.7</v>
      </c>
      <c r="F25" t="n">
        <v>66</v>
      </c>
      <c r="G25" t="n">
        <v>33.3</v>
      </c>
      <c r="H25" s="8">
        <f>IF(G25="","",E25-G25)</f>
        <v/>
      </c>
      <c r="J25" s="9" t="n"/>
      <c r="K25">
        <f>IF(J25="",0,COUNTIFS(Schedule!$B:$B,B25,Schedule!$A:$A,"&lt;"&amp;J25))</f>
        <v/>
      </c>
      <c r="L25">
        <f>82-K25</f>
        <v/>
      </c>
      <c r="M25" s="2" t="n"/>
      <c r="N25" s="2" t="n"/>
      <c r="O25">
        <f>IF(M25&lt;&gt;"",M25,MIN(D25,L25))</f>
        <v/>
      </c>
      <c r="P25">
        <f>IF(N25&lt;&gt;"",N25,E25)</f>
        <v/>
      </c>
    </row>
    <row r="26">
      <c r="A26" t="inlineStr">
        <is>
          <t>Damian Lillard</t>
        </is>
      </c>
      <c r="B26" t="inlineStr">
        <is>
          <t>POR</t>
        </is>
      </c>
      <c r="C26" t="inlineStr">
        <is>
          <t>PG</t>
        </is>
      </c>
      <c r="D26" t="n">
        <v>72</v>
      </c>
      <c r="E26" t="n">
        <v>33.5</v>
      </c>
      <c r="H26" s="8">
        <f>IF(G26="","",E26-G26)</f>
        <v/>
      </c>
      <c r="J26" s="9" t="n"/>
      <c r="K26">
        <f>IF(J26="",0,COUNTIFS(Schedule!$B:$B,B26,Schedule!$A:$A,"&lt;"&amp;J26))</f>
        <v/>
      </c>
      <c r="L26">
        <f>82-K26</f>
        <v/>
      </c>
      <c r="M26" s="2" t="n"/>
      <c r="N26" s="2" t="n"/>
      <c r="O26">
        <f>IF(M26&lt;&gt;"",M26,MIN(D26,L26))</f>
        <v/>
      </c>
      <c r="P26">
        <f>IF(N26&lt;&gt;"",N26,E26)</f>
        <v/>
      </c>
    </row>
    <row r="27">
      <c r="A27" t="inlineStr">
        <is>
          <t>Franz Wagner</t>
        </is>
      </c>
      <c r="B27" t="inlineStr">
        <is>
          <t>ORL</t>
        </is>
      </c>
      <c r="C27" t="inlineStr">
        <is>
          <t>PF,SF</t>
        </is>
      </c>
      <c r="D27" t="n">
        <v>72</v>
      </c>
      <c r="E27" t="n">
        <v>33.4</v>
      </c>
      <c r="F27" t="n">
        <v>34</v>
      </c>
      <c r="G27" t="n">
        <v>30</v>
      </c>
      <c r="H27" s="8">
        <f>IF(G27="","",E27-G27)</f>
        <v/>
      </c>
      <c r="J27" s="9" t="n"/>
      <c r="K27">
        <f>IF(J27="",0,COUNTIFS(Schedule!$B:$B,B27,Schedule!$A:$A,"&lt;"&amp;J27))</f>
        <v/>
      </c>
      <c r="L27">
        <f>82-K27</f>
        <v/>
      </c>
      <c r="M27" s="2" t="n"/>
      <c r="N27" s="2" t="n"/>
      <c r="O27">
        <f>IF(M27&lt;&gt;"",M27,MIN(D27,L27))</f>
        <v/>
      </c>
      <c r="P27">
        <f>IF(N27&lt;&gt;"",N27,E27)</f>
        <v/>
      </c>
    </row>
    <row r="28">
      <c r="A28" t="inlineStr">
        <is>
          <t>Lauri Markkanen</t>
        </is>
      </c>
      <c r="B28" t="inlineStr">
        <is>
          <t>UTH</t>
        </is>
      </c>
      <c r="C28" t="inlineStr">
        <is>
          <t>SF,PF</t>
        </is>
      </c>
      <c r="D28" t="n">
        <v>74</v>
      </c>
      <c r="E28" t="n">
        <v>33.2</v>
      </c>
      <c r="F28" t="n">
        <v>42</v>
      </c>
      <c r="G28" t="n">
        <v>34.4</v>
      </c>
      <c r="H28" s="8">
        <f>IF(G28="","",E28-G28)</f>
        <v/>
      </c>
      <c r="I28" t="inlineStr">
        <is>
          <t>Day-To-Day</t>
        </is>
      </c>
      <c r="J28" s="9" t="n">
        <v>46307</v>
      </c>
      <c r="K28">
        <f>IF(J28="",0,COUNTIFS(Schedule!$B:$B,B28,Schedule!$A:$A,"&lt;"&amp;J28))</f>
        <v/>
      </c>
      <c r="L28">
        <f>82-K28</f>
        <v/>
      </c>
      <c r="M28" s="2" t="n"/>
      <c r="N28" s="2" t="n"/>
      <c r="O28">
        <f>IF(M28&lt;&gt;"",M28,MIN(D28,L28))</f>
        <v/>
      </c>
      <c r="P28">
        <f>IF(N28&lt;&gt;"",N28,E28)</f>
        <v/>
      </c>
      <c r="Q28" t="inlineStr">
        <is>
          <t>2026-10-07: Markkanen won't play in Tuesday's preseason game against the Nuggets due to neck soreness.</t>
        </is>
      </c>
    </row>
    <row r="29">
      <c r="A29" t="inlineStr">
        <is>
          <t>Zion Williamson</t>
        </is>
      </c>
      <c r="B29" t="inlineStr">
        <is>
          <t>NOR</t>
        </is>
      </c>
      <c r="C29" t="inlineStr">
        <is>
          <t>C,PF</t>
        </is>
      </c>
      <c r="D29" t="n">
        <v>69</v>
      </c>
      <c r="E29" t="n">
        <v>30</v>
      </c>
      <c r="F29" t="n">
        <v>62</v>
      </c>
      <c r="G29" t="n">
        <v>29.7</v>
      </c>
      <c r="H29" s="8">
        <f>IF(G29="","",E29-G29)</f>
        <v/>
      </c>
      <c r="J29" s="9" t="n"/>
      <c r="K29">
        <f>IF(J29="",0,COUNTIFS(Schedule!$B:$B,B29,Schedule!$A:$A,"&lt;"&amp;J29))</f>
        <v/>
      </c>
      <c r="L29">
        <f>82-K29</f>
        <v/>
      </c>
      <c r="M29" s="2" t="n">
        <v>50</v>
      </c>
      <c r="N29" s="2" t="n"/>
      <c r="O29">
        <f>IF(M29&lt;&gt;"",M29,MIN(D29,L29))</f>
        <v/>
      </c>
      <c r="P29">
        <f>IF(N29&lt;&gt;"",N29,E29)</f>
        <v/>
      </c>
      <c r="Q29" t="inlineStr">
        <is>
          <t>Not expected to exceed 50 games; no 3PM</t>
        </is>
      </c>
    </row>
    <row r="30">
      <c r="A30" t="inlineStr">
        <is>
          <t>Pascal Siakam</t>
        </is>
      </c>
      <c r="B30" t="inlineStr">
        <is>
          <t>IND</t>
        </is>
      </c>
      <c r="C30" t="inlineStr">
        <is>
          <t>C,PF,SF</t>
        </is>
      </c>
      <c r="D30" t="n">
        <v>76</v>
      </c>
      <c r="E30" t="n">
        <v>33.8</v>
      </c>
      <c r="F30" t="n">
        <v>62</v>
      </c>
      <c r="G30" t="n">
        <v>33.2</v>
      </c>
      <c r="H30" s="8">
        <f>IF(G30="","",E30-G30)</f>
        <v/>
      </c>
      <c r="J30" s="9" t="n"/>
      <c r="K30">
        <f>IF(J30="",0,COUNTIFS(Schedule!$B:$B,B30,Schedule!$A:$A,"&lt;"&amp;J30))</f>
        <v/>
      </c>
      <c r="L30">
        <f>82-K30</f>
        <v/>
      </c>
      <c r="M30" s="2" t="n"/>
      <c r="N30" s="2" t="n"/>
      <c r="O30">
        <f>IF(M30&lt;&gt;"",M30,MIN(D30,L30))</f>
        <v/>
      </c>
      <c r="P30">
        <f>IF(N30&lt;&gt;"",N30,E30)</f>
        <v/>
      </c>
    </row>
    <row r="31">
      <c r="A31" t="inlineStr">
        <is>
          <t>Anthony Davis</t>
        </is>
      </c>
      <c r="B31" t="inlineStr">
        <is>
          <t>WAS</t>
        </is>
      </c>
      <c r="C31" t="inlineStr">
        <is>
          <t>PF,C</t>
        </is>
      </c>
      <c r="D31" t="n">
        <v>70</v>
      </c>
      <c r="E31" t="n">
        <v>32.3</v>
      </c>
      <c r="F31" t="n">
        <v>20</v>
      </c>
      <c r="G31" t="n">
        <v>31.3</v>
      </c>
      <c r="H31" s="8">
        <f>IF(G31="","",E31-G31)</f>
        <v/>
      </c>
      <c r="J31" s="9" t="n"/>
      <c r="K31">
        <f>IF(J31="",0,COUNTIFS(Schedule!$B:$B,B31,Schedule!$A:$A,"&lt;"&amp;J31))</f>
        <v/>
      </c>
      <c r="L31">
        <f>82-K31</f>
        <v/>
      </c>
      <c r="M31" s="2" t="n">
        <v>60</v>
      </c>
      <c r="N31" s="2" t="n"/>
      <c r="O31">
        <f>IF(M31&lt;&gt;"",M31,MIN(D31,L31))</f>
        <v/>
      </c>
      <c r="P31">
        <f>IF(N31&lt;&gt;"",N31,E31)</f>
        <v/>
      </c>
      <c r="Q31" t="inlineStr">
        <is>
          <t>Missed 14+ games in 10 of 14 seasons; WAS usage shared with Young/Dybantsa</t>
        </is>
      </c>
    </row>
    <row r="32">
      <c r="A32" t="inlineStr">
        <is>
          <t>Tyler Herro</t>
        </is>
      </c>
      <c r="B32" t="inlineStr">
        <is>
          <t>MIL</t>
        </is>
      </c>
      <c r="C32" t="inlineStr">
        <is>
          <t>PG,SG</t>
        </is>
      </c>
      <c r="D32" t="n">
        <v>73</v>
      </c>
      <c r="E32" t="n">
        <v>34.2</v>
      </c>
      <c r="F32" t="n">
        <v>33</v>
      </c>
      <c r="G32" t="n">
        <v>31.3</v>
      </c>
      <c r="H32" s="8">
        <f>IF(G32="","",E32-G32)</f>
        <v/>
      </c>
      <c r="J32" s="9" t="n"/>
      <c r="K32">
        <f>IF(J32="",0,COUNTIFS(Schedule!$B:$B,B32,Schedule!$A:$A,"&lt;"&amp;J32))</f>
        <v/>
      </c>
      <c r="L32">
        <f>82-K32</f>
        <v/>
      </c>
      <c r="M32" s="2" t="n"/>
      <c r="N32" s="2" t="n"/>
      <c r="O32">
        <f>IF(M32&lt;&gt;"",M32,MIN(D32,L32))</f>
        <v/>
      </c>
      <c r="P32">
        <f>IF(N32&lt;&gt;"",N32,E32)</f>
        <v/>
      </c>
    </row>
    <row r="33">
      <c r="A33" t="inlineStr">
        <is>
          <t>Norman Powell</t>
        </is>
      </c>
      <c r="B33" t="inlineStr">
        <is>
          <t>CHI</t>
        </is>
      </c>
      <c r="C33" t="inlineStr">
        <is>
          <t>SG,SF</t>
        </is>
      </c>
      <c r="D33" t="n">
        <v>74</v>
      </c>
      <c r="E33" t="n">
        <v>32.5</v>
      </c>
      <c r="F33" t="n">
        <v>58</v>
      </c>
      <c r="G33" t="n">
        <v>29.6</v>
      </c>
      <c r="H33" s="8">
        <f>IF(G33="","",E33-G33)</f>
        <v/>
      </c>
      <c r="J33" s="9" t="n"/>
      <c r="K33">
        <f>IF(J33="",0,COUNTIFS(Schedule!$B:$B,B33,Schedule!$A:$A,"&lt;"&amp;J33))</f>
        <v/>
      </c>
      <c r="L33">
        <f>82-K33</f>
        <v/>
      </c>
      <c r="M33" s="2" t="n"/>
      <c r="N33" s="2" t="n"/>
      <c r="O33">
        <f>IF(M33&lt;&gt;"",M33,MIN(D33,L33))</f>
        <v/>
      </c>
      <c r="P33">
        <f>IF(N33&lt;&gt;"",N33,E33)</f>
        <v/>
      </c>
    </row>
    <row r="34">
      <c r="A34" t="inlineStr">
        <is>
          <t>LeBron James</t>
        </is>
      </c>
      <c r="B34" t="inlineStr">
        <is>
          <t>PHI</t>
        </is>
      </c>
      <c r="C34" t="inlineStr">
        <is>
          <t>SF,PF</t>
        </is>
      </c>
      <c r="D34" t="n">
        <v>68</v>
      </c>
      <c r="E34" t="n">
        <v>32.8</v>
      </c>
      <c r="F34" t="n">
        <v>60</v>
      </c>
      <c r="G34" t="n">
        <v>33.1</v>
      </c>
      <c r="H34" s="8">
        <f>IF(G34="","",E34-G34)</f>
        <v/>
      </c>
      <c r="I34" t="inlineStr">
        <is>
          <t>Day-To-Day</t>
        </is>
      </c>
      <c r="J34" s="9" t="n">
        <v>46311</v>
      </c>
      <c r="K34">
        <f>IF(J34="",0,COUNTIFS(Schedule!$B:$B,B34,Schedule!$A:$A,"&lt;"&amp;J34))</f>
        <v/>
      </c>
      <c r="L34">
        <f>82-K34</f>
        <v/>
      </c>
      <c r="M34" s="2" t="n">
        <v>60</v>
      </c>
      <c r="N34" s="2" t="n"/>
      <c r="O34">
        <f>IF(M34&lt;&gt;"",M34,MIN(D34,L34))</f>
        <v/>
      </c>
      <c r="P34">
        <f>IF(N34&lt;&gt;"",N34,E34)</f>
        <v/>
      </c>
      <c r="Q34" t="inlineStr">
        <is>
          <t>2026-10-10: James (rest) won't be available for Saturday's preseason contest against the Celtics, Tony Jones of The Athletic reports. · Turns 42; played 60 games last season; PHI fourth option</t>
        </is>
      </c>
    </row>
    <row r="35">
      <c r="A35" t="inlineStr">
        <is>
          <t>Brandon Ingram</t>
        </is>
      </c>
      <c r="B35" t="inlineStr">
        <is>
          <t>LAC</t>
        </is>
      </c>
      <c r="C35" t="inlineStr">
        <is>
          <t>SG,SF,PF</t>
        </is>
      </c>
      <c r="D35" t="n">
        <v>64</v>
      </c>
      <c r="E35" t="n">
        <v>34.2</v>
      </c>
      <c r="F35" t="n">
        <v>77</v>
      </c>
      <c r="G35" t="n">
        <v>33.8</v>
      </c>
      <c r="H35" s="8">
        <f>IF(G35="","",E35-G35)</f>
        <v/>
      </c>
      <c r="I35" t="inlineStr">
        <is>
          <t>Out</t>
        </is>
      </c>
      <c r="J35" s="9" t="n">
        <v>46327</v>
      </c>
      <c r="K35">
        <f>IF(J35="",0,COUNTIFS(Schedule!$B:$B,B35,Schedule!$A:$A,"&lt;"&amp;J35))</f>
        <v/>
      </c>
      <c r="L35">
        <f>82-K35</f>
        <v/>
      </c>
      <c r="M35" s="2" t="n">
        <v>20</v>
      </c>
      <c r="N35" s="2" t="n"/>
      <c r="O35">
        <f>IF(M35&lt;&gt;"",M35,MIN(D35,L35))</f>
        <v/>
      </c>
      <c r="P35">
        <f>IF(N35&lt;&gt;"",N35,E35)</f>
        <v/>
      </c>
      <c r="Q35" t="inlineStr">
        <is>
          <t>2026-09-28: Ingram won't be ready for the start of the season due to a partially torn Achilles, per Joey Linn of SI.com. · Partially torn Achilles, no timetable</t>
        </is>
      </c>
    </row>
    <row r="36">
      <c r="A36" t="inlineStr">
        <is>
          <t>Jalen Johnson</t>
        </is>
      </c>
      <c r="B36" t="inlineStr">
        <is>
          <t>ATL</t>
        </is>
      </c>
      <c r="C36" t="inlineStr">
        <is>
          <t>PF,SF</t>
        </is>
      </c>
      <c r="D36" t="n">
        <v>75</v>
      </c>
      <c r="E36" t="n">
        <v>36.3</v>
      </c>
      <c r="F36" t="n">
        <v>72</v>
      </c>
      <c r="G36" t="n">
        <v>35.2</v>
      </c>
      <c r="H36" s="8">
        <f>IF(G36="","",E36-G36)</f>
        <v/>
      </c>
      <c r="J36" s="9" t="n"/>
      <c r="K36">
        <f>IF(J36="",0,COUNTIFS(Schedule!$B:$B,B36,Schedule!$A:$A,"&lt;"&amp;J36))</f>
        <v/>
      </c>
      <c r="L36">
        <f>82-K36</f>
        <v/>
      </c>
      <c r="M36" s="2" t="n"/>
      <c r="N36" s="2" t="n"/>
      <c r="O36">
        <f>IF(M36&lt;&gt;"",M36,MIN(D36,L36))</f>
        <v/>
      </c>
      <c r="P36">
        <f>IF(N36&lt;&gt;"",N36,E36)</f>
        <v/>
      </c>
    </row>
    <row r="37">
      <c r="A37" t="inlineStr">
        <is>
          <t>Trae Young</t>
        </is>
      </c>
      <c r="B37" t="inlineStr">
        <is>
          <t>WAS</t>
        </is>
      </c>
      <c r="C37" t="inlineStr">
        <is>
          <t>PG</t>
        </is>
      </c>
      <c r="D37" t="n">
        <v>75</v>
      </c>
      <c r="E37" t="n">
        <v>34.4</v>
      </c>
      <c r="F37" t="n">
        <v>15</v>
      </c>
      <c r="G37" t="n">
        <v>25.6</v>
      </c>
      <c r="H37" s="8">
        <f>IF(G37="","",E37-G37)</f>
        <v/>
      </c>
      <c r="J37" s="9" t="n"/>
      <c r="K37">
        <f>IF(J37="",0,COUNTIFS(Schedule!$B:$B,B37,Schedule!$A:$A,"&lt;"&amp;J37))</f>
        <v/>
      </c>
      <c r="L37">
        <f>82-K37</f>
        <v/>
      </c>
      <c r="M37" s="2" t="n"/>
      <c r="N37" s="2" t="n"/>
      <c r="O37">
        <f>IF(M37&lt;&gt;"",M37,MIN(D37,L37))</f>
        <v/>
      </c>
      <c r="P37">
        <f>IF(N37&lt;&gt;"",N37,E37)</f>
        <v/>
      </c>
    </row>
    <row r="38">
      <c r="A38" t="inlineStr">
        <is>
          <t>Karl-Anthony Towns</t>
        </is>
      </c>
      <c r="B38" t="inlineStr">
        <is>
          <t>NYK</t>
        </is>
      </c>
      <c r="C38" t="inlineStr">
        <is>
          <t>PF,C</t>
        </is>
      </c>
      <c r="D38" t="n">
        <v>74</v>
      </c>
      <c r="E38" t="n">
        <v>32.8</v>
      </c>
      <c r="F38" t="n">
        <v>75</v>
      </c>
      <c r="G38" t="n">
        <v>31</v>
      </c>
      <c r="H38" s="8">
        <f>IF(G38="","",E38-G38)</f>
        <v/>
      </c>
      <c r="J38" s="9" t="n"/>
      <c r="K38">
        <f>IF(J38="",0,COUNTIFS(Schedule!$B:$B,B38,Schedule!$A:$A,"&lt;"&amp;J38))</f>
        <v/>
      </c>
      <c r="L38">
        <f>82-K38</f>
        <v/>
      </c>
      <c r="M38" s="2" t="n"/>
      <c r="N38" s="2" t="n"/>
      <c r="O38">
        <f>IF(M38&lt;&gt;"",M38,MIN(D38,L38))</f>
        <v/>
      </c>
      <c r="P38">
        <f>IF(N38&lt;&gt;"",N38,E38)</f>
        <v/>
      </c>
    </row>
    <row r="39">
      <c r="A39" t="inlineStr">
        <is>
          <t>Brandon Miller</t>
        </is>
      </c>
      <c r="B39" t="inlineStr">
        <is>
          <t>CHA</t>
        </is>
      </c>
      <c r="C39" t="inlineStr">
        <is>
          <t>PF,SF,SG</t>
        </is>
      </c>
      <c r="D39" t="n">
        <v>73</v>
      </c>
      <c r="E39" t="n">
        <v>32.8</v>
      </c>
      <c r="F39" t="n">
        <v>65</v>
      </c>
      <c r="G39" t="n">
        <v>30.3</v>
      </c>
      <c r="H39" s="8">
        <f>IF(G39="","",E39-G39)</f>
        <v/>
      </c>
      <c r="J39" s="9" t="n"/>
      <c r="K39">
        <f>IF(J39="",0,COUNTIFS(Schedule!$B:$B,B39,Schedule!$A:$A,"&lt;"&amp;J39))</f>
        <v/>
      </c>
      <c r="L39">
        <f>82-K39</f>
        <v/>
      </c>
      <c r="M39" s="2" t="n"/>
      <c r="N39" s="2" t="n"/>
      <c r="O39">
        <f>IF(M39&lt;&gt;"",M39,MIN(D39,L39))</f>
        <v/>
      </c>
      <c r="P39">
        <f>IF(N39&lt;&gt;"",N39,E39)</f>
        <v/>
      </c>
    </row>
    <row r="40">
      <c r="A40" t="inlineStr">
        <is>
          <t>Michael Porter Jr.</t>
        </is>
      </c>
      <c r="B40" t="inlineStr">
        <is>
          <t>BKN</t>
        </is>
      </c>
      <c r="C40" t="inlineStr">
        <is>
          <t>SF,PF</t>
        </is>
      </c>
      <c r="D40" t="n">
        <v>74</v>
      </c>
      <c r="E40" t="n">
        <v>32.9</v>
      </c>
      <c r="F40" t="n">
        <v>52</v>
      </c>
      <c r="G40" t="n">
        <v>32.5</v>
      </c>
      <c r="H40" s="8">
        <f>IF(G40="","",E40-G40)</f>
        <v/>
      </c>
      <c r="I40" t="inlineStr">
        <is>
          <t>Day-To-Day</t>
        </is>
      </c>
      <c r="J40" s="9" t="n">
        <v>46307</v>
      </c>
      <c r="K40">
        <f>IF(J40="",0,COUNTIFS(Schedule!$B:$B,B40,Schedule!$A:$A,"&lt;"&amp;J40))</f>
        <v/>
      </c>
      <c r="L40">
        <f>82-K40</f>
        <v/>
      </c>
      <c r="M40" s="2" t="n"/>
      <c r="N40" s="2" t="n"/>
      <c r="O40">
        <f>IF(M40&lt;&gt;"",M40,MIN(D40,L40))</f>
        <v/>
      </c>
      <c r="P40">
        <f>IF(N40&lt;&gt;"",N40,E40)</f>
        <v/>
      </c>
      <c r="Q40" t="inlineStr">
        <is>
          <t>2026-10-08: Porter will not play in Thursday's preseason game against Philadelphia due to left wrist soreness, Brian Lewis of the New York Post reports.</t>
        </is>
      </c>
    </row>
    <row r="41">
      <c r="A41" t="inlineStr">
        <is>
          <t>Ja Morant</t>
        </is>
      </c>
      <c r="B41" t="inlineStr">
        <is>
          <t>POR</t>
        </is>
      </c>
      <c r="C41" t="inlineStr">
        <is>
          <t>PG</t>
        </is>
      </c>
      <c r="D41" t="n">
        <v>72</v>
      </c>
      <c r="E41" t="n">
        <v>29.4</v>
      </c>
      <c r="F41" t="n">
        <v>20</v>
      </c>
      <c r="G41" t="n">
        <v>28.4</v>
      </c>
      <c r="H41" s="8">
        <f>IF(G41="","",E41-G41)</f>
        <v/>
      </c>
      <c r="J41" s="9" t="n"/>
      <c r="K41">
        <f>IF(J41="",0,COUNTIFS(Schedule!$B:$B,B41,Schedule!$A:$A,"&lt;"&amp;J41))</f>
        <v/>
      </c>
      <c r="L41">
        <f>82-K41</f>
        <v/>
      </c>
      <c r="M41" s="2" t="n"/>
      <c r="N41" s="2" t="n"/>
      <c r="O41">
        <f>IF(M41&lt;&gt;"",M41,MIN(D41,L41))</f>
        <v/>
      </c>
      <c r="P41">
        <f>IF(N41&lt;&gt;"",N41,E41)</f>
        <v/>
      </c>
      <c r="Q41" t="inlineStr">
        <is>
          <t>Rusty; crowded POR backcourt; 3PM poor</t>
        </is>
      </c>
    </row>
    <row r="42">
      <c r="A42" t="inlineStr">
        <is>
          <t>James Harden</t>
        </is>
      </c>
      <c r="B42" t="inlineStr">
        <is>
          <t>CLE</t>
        </is>
      </c>
      <c r="C42" t="inlineStr">
        <is>
          <t>PG,SG</t>
        </is>
      </c>
      <c r="D42" t="n">
        <v>76</v>
      </c>
      <c r="E42" t="n">
        <v>33.5</v>
      </c>
      <c r="F42" t="n">
        <v>70</v>
      </c>
      <c r="G42" t="n">
        <v>34.8</v>
      </c>
      <c r="H42" s="8">
        <f>IF(G42="","",E42-G42)</f>
        <v/>
      </c>
      <c r="J42" s="9" t="n"/>
      <c r="K42">
        <f>IF(J42="",0,COUNTIFS(Schedule!$B:$B,B42,Schedule!$A:$A,"&lt;"&amp;J42))</f>
        <v/>
      </c>
      <c r="L42">
        <f>82-K42</f>
        <v/>
      </c>
      <c r="M42" s="2" t="n"/>
      <c r="N42" s="2" t="n"/>
      <c r="O42">
        <f>IF(M42&lt;&gt;"",M42,MIN(D42,L42))</f>
        <v/>
      </c>
      <c r="P42">
        <f>IF(N42&lt;&gt;"",N42,E42)</f>
        <v/>
      </c>
    </row>
    <row r="43">
      <c r="A43" t="inlineStr">
        <is>
          <t>Jalen Williams</t>
        </is>
      </c>
      <c r="B43" t="inlineStr">
        <is>
          <t>OKC</t>
        </is>
      </c>
      <c r="C43" t="inlineStr">
        <is>
          <t>PF,SF,SG</t>
        </is>
      </c>
      <c r="D43" t="n">
        <v>74</v>
      </c>
      <c r="E43" t="n">
        <v>32.2</v>
      </c>
      <c r="F43" t="n">
        <v>33</v>
      </c>
      <c r="G43" t="n">
        <v>28.4</v>
      </c>
      <c r="H43" s="8">
        <f>IF(G43="","",E43-G43)</f>
        <v/>
      </c>
      <c r="I43" t="inlineStr">
        <is>
          <t>Day-To-Day</t>
        </is>
      </c>
      <c r="J43" s="9" t="n">
        <v>46308</v>
      </c>
      <c r="K43">
        <f>IF(J43="",0,COUNTIFS(Schedule!$B:$B,B43,Schedule!$A:$A,"&lt;"&amp;J43))</f>
        <v/>
      </c>
      <c r="L43">
        <f>82-K43</f>
        <v/>
      </c>
      <c r="M43" s="2" t="n"/>
      <c r="N43" s="2" t="n"/>
      <c r="O43">
        <f>IF(M43&lt;&gt;"",M43,MIN(D43,L43))</f>
        <v/>
      </c>
      <c r="P43">
        <f>IF(N43&lt;&gt;"",N43,E43)</f>
        <v/>
      </c>
      <c r="Q43" t="inlineStr">
        <is>
          <t>2026-10-10: Williams (rest) won't play in Monday's preseason game against the Hawks, Clemente Almanza of USA Today reports.</t>
        </is>
      </c>
    </row>
    <row r="44">
      <c r="A44" t="inlineStr">
        <is>
          <t>Jalen Green</t>
        </is>
      </c>
      <c r="B44" t="inlineStr">
        <is>
          <t>PHO</t>
        </is>
      </c>
      <c r="C44" t="inlineStr">
        <is>
          <t>SF,SG</t>
        </is>
      </c>
      <c r="D44" t="n">
        <v>74</v>
      </c>
      <c r="E44" t="n">
        <v>32</v>
      </c>
      <c r="F44" t="n">
        <v>32</v>
      </c>
      <c r="G44" t="n">
        <v>25.9</v>
      </c>
      <c r="H44" s="8">
        <f>IF(G44="","",E44-G44)</f>
        <v/>
      </c>
      <c r="J44" s="9" t="n"/>
      <c r="K44">
        <f>IF(J44="",0,COUNTIFS(Schedule!$B:$B,B44,Schedule!$A:$A,"&lt;"&amp;J44))</f>
        <v/>
      </c>
      <c r="L44">
        <f>82-K44</f>
        <v/>
      </c>
      <c r="M44" s="2" t="n"/>
      <c r="N44" s="2" t="n"/>
      <c r="O44">
        <f>IF(M44&lt;&gt;"",M44,MIN(D44,L44))</f>
        <v/>
      </c>
      <c r="P44">
        <f>IF(N44&lt;&gt;"",N44,E44)</f>
        <v/>
      </c>
    </row>
    <row r="45">
      <c r="A45" t="inlineStr">
        <is>
          <t>Jaren Jackson Jr.</t>
        </is>
      </c>
      <c r="B45" t="inlineStr">
        <is>
          <t>UTH</t>
        </is>
      </c>
      <c r="C45" t="inlineStr">
        <is>
          <t>PF,C</t>
        </is>
      </c>
      <c r="D45" t="n">
        <v>70</v>
      </c>
      <c r="E45" t="n">
        <v>31</v>
      </c>
      <c r="F45" t="n">
        <v>48</v>
      </c>
      <c r="G45" t="n">
        <v>30.3</v>
      </c>
      <c r="H45" s="8">
        <f>IF(G45="","",E45-G45)</f>
        <v/>
      </c>
      <c r="J45" s="9" t="n"/>
      <c r="K45">
        <f>IF(J45="",0,COUNTIFS(Schedule!$B:$B,B45,Schedule!$A:$A,"&lt;"&amp;J45))</f>
        <v/>
      </c>
      <c r="L45">
        <f>82-K45</f>
        <v/>
      </c>
      <c r="M45" s="2" t="n"/>
      <c r="N45" s="2" t="n"/>
      <c r="O45">
        <f>IF(M45&lt;&gt;"",M45,MIN(D45,L45))</f>
        <v/>
      </c>
      <c r="P45">
        <f>IF(N45&lt;&gt;"",N45,E45)</f>
        <v/>
      </c>
    </row>
    <row r="46">
      <c r="A46" t="inlineStr">
        <is>
          <t>Coby White</t>
        </is>
      </c>
      <c r="B46" t="inlineStr">
        <is>
          <t>CHA</t>
        </is>
      </c>
      <c r="C46" t="inlineStr">
        <is>
          <t>PG,SG</t>
        </is>
      </c>
      <c r="D46" t="n">
        <v>75</v>
      </c>
      <c r="E46" t="n">
        <v>34.1</v>
      </c>
      <c r="F46" t="n">
        <v>50</v>
      </c>
      <c r="G46" t="n">
        <v>25</v>
      </c>
      <c r="H46" s="8">
        <f>IF(G46="","",E46-G46)</f>
        <v/>
      </c>
      <c r="I46" t="inlineStr">
        <is>
          <t>Day-To-Day</t>
        </is>
      </c>
      <c r="J46" s="9" t="n">
        <v>46316</v>
      </c>
      <c r="K46">
        <f>IF(J46="",0,COUNTIFS(Schedule!$B:$B,B46,Schedule!$A:$A,"&lt;"&amp;J46))</f>
        <v/>
      </c>
      <c r="L46">
        <f>82-K46</f>
        <v/>
      </c>
      <c r="M46" s="2" t="n">
        <v>65</v>
      </c>
      <c r="N46" s="2" t="n"/>
      <c r="O46">
        <f>IF(M46&lt;&gt;"",M46,MIN(D46,L46))</f>
        <v/>
      </c>
      <c r="P46">
        <f>IF(N46&lt;&gt;"",N46,E46)</f>
        <v/>
      </c>
      <c r="Q46" t="inlineStr">
        <is>
          <t>2026-10-05: The Hornets announced Monday that White suffered a left calf strain during training camp and will not play during the preseason. · Calf strain, out all preseason</t>
        </is>
      </c>
    </row>
    <row r="47">
      <c r="A47" t="inlineStr">
        <is>
          <t>Keyonte George</t>
        </is>
      </c>
      <c r="B47" t="inlineStr">
        <is>
          <t>UTH</t>
        </is>
      </c>
      <c r="C47" t="inlineStr">
        <is>
          <t>PG,SG</t>
        </is>
      </c>
      <c r="D47" t="n">
        <v>73</v>
      </c>
      <c r="E47" t="n">
        <v>32.9</v>
      </c>
      <c r="F47" t="n">
        <v>54</v>
      </c>
      <c r="G47" t="n">
        <v>33.1</v>
      </c>
      <c r="H47" s="8">
        <f>IF(G47="","",E47-G47)</f>
        <v/>
      </c>
      <c r="J47" s="9" t="n"/>
      <c r="K47">
        <f>IF(J47="",0,COUNTIFS(Schedule!$B:$B,B47,Schedule!$A:$A,"&lt;"&amp;J47))</f>
        <v/>
      </c>
      <c r="L47">
        <f>82-K47</f>
        <v/>
      </c>
      <c r="M47" s="2" t="n"/>
      <c r="N47" s="2" t="n"/>
      <c r="O47">
        <f>IF(M47&lt;&gt;"",M47,MIN(D47,L47))</f>
        <v/>
      </c>
      <c r="P47">
        <f>IF(N47&lt;&gt;"",N47,E47)</f>
        <v/>
      </c>
    </row>
    <row r="48">
      <c r="A48" t="inlineStr">
        <is>
          <t>Trey Murphy III</t>
        </is>
      </c>
      <c r="B48" t="inlineStr">
        <is>
          <t>NOR</t>
        </is>
      </c>
      <c r="C48" t="inlineStr">
        <is>
          <t>PF,SF,SG</t>
        </is>
      </c>
      <c r="D48" t="n">
        <v>73</v>
      </c>
      <c r="E48" t="n">
        <v>34.2</v>
      </c>
      <c r="F48" t="n">
        <v>66</v>
      </c>
      <c r="G48" t="n">
        <v>35.5</v>
      </c>
      <c r="H48" s="8">
        <f>IF(G48="","",E48-G48)</f>
        <v/>
      </c>
      <c r="J48" s="9" t="n"/>
      <c r="K48">
        <f>IF(J48="",0,COUNTIFS(Schedule!$B:$B,B48,Schedule!$A:$A,"&lt;"&amp;J48))</f>
        <v/>
      </c>
      <c r="L48">
        <f>82-K48</f>
        <v/>
      </c>
      <c r="M48" s="2" t="n"/>
      <c r="N48" s="2" t="n"/>
      <c r="O48">
        <f>IF(M48&lt;&gt;"",M48,MIN(D48,L48))</f>
        <v/>
      </c>
      <c r="P48">
        <f>IF(N48&lt;&gt;"",N48,E48)</f>
        <v/>
      </c>
    </row>
    <row r="49">
      <c r="A49" t="inlineStr">
        <is>
          <t>Darius Garland</t>
        </is>
      </c>
      <c r="B49" t="inlineStr">
        <is>
          <t>LAC</t>
        </is>
      </c>
      <c r="C49" t="inlineStr">
        <is>
          <t>PG</t>
        </is>
      </c>
      <c r="D49" t="n">
        <v>74</v>
      </c>
      <c r="E49" t="n">
        <v>32.7</v>
      </c>
      <c r="F49" t="n">
        <v>45</v>
      </c>
      <c r="G49" t="n">
        <v>29.9</v>
      </c>
      <c r="H49" s="8">
        <f>IF(G49="","",E49-G49)</f>
        <v/>
      </c>
      <c r="J49" s="9" t="n"/>
      <c r="K49">
        <f>IF(J49="",0,COUNTIFS(Schedule!$B:$B,B49,Schedule!$A:$A,"&lt;"&amp;J49))</f>
        <v/>
      </c>
      <c r="L49">
        <f>82-K49</f>
        <v/>
      </c>
      <c r="M49" s="2" t="n"/>
      <c r="N49" s="2" t="n"/>
      <c r="O49">
        <f>IF(M49&lt;&gt;"",M49,MIN(D49,L49))</f>
        <v/>
      </c>
      <c r="P49">
        <f>IF(N49&lt;&gt;"",N49,E49)</f>
        <v/>
      </c>
    </row>
    <row r="50">
      <c r="A50" t="inlineStr">
        <is>
          <t>AJ Dybantsa</t>
        </is>
      </c>
      <c r="B50" t="inlineStr">
        <is>
          <t>WAS</t>
        </is>
      </c>
      <c r="C50" t="inlineStr">
        <is>
          <t>SF</t>
        </is>
      </c>
      <c r="D50" t="n">
        <v>75</v>
      </c>
      <c r="E50" t="n">
        <v>32.5</v>
      </c>
      <c r="H50" s="8">
        <f>IF(G50="","",E50-G50)</f>
        <v/>
      </c>
      <c r="J50" s="9" t="n"/>
      <c r="K50">
        <f>IF(J50="",0,COUNTIFS(Schedule!$B:$B,B50,Schedule!$A:$A,"&lt;"&amp;J50))</f>
        <v/>
      </c>
      <c r="L50">
        <f>82-K50</f>
        <v/>
      </c>
      <c r="M50" s="2" t="n"/>
      <c r="N50" s="2" t="n"/>
      <c r="O50">
        <f>IF(M50&lt;&gt;"",M50,MIN(D50,L50))</f>
        <v/>
      </c>
      <c r="P50">
        <f>IF(N50&lt;&gt;"",N50,E50)</f>
        <v/>
      </c>
    </row>
    <row r="51">
      <c r="A51" t="inlineStr">
        <is>
          <t>Zach LaVine</t>
        </is>
      </c>
      <c r="B51" t="inlineStr">
        <is>
          <t>SAC</t>
        </is>
      </c>
      <c r="C51" t="inlineStr">
        <is>
          <t>PG,SF,SG</t>
        </is>
      </c>
      <c r="D51" t="n">
        <v>70</v>
      </c>
      <c r="E51" t="n">
        <v>33.1</v>
      </c>
      <c r="F51" t="n">
        <v>39</v>
      </c>
      <c r="G51" t="n">
        <v>31.4</v>
      </c>
      <c r="H51" s="8">
        <f>IF(G51="","",E51-G51)</f>
        <v/>
      </c>
      <c r="J51" s="9" t="n"/>
      <c r="K51">
        <f>IF(J51="",0,COUNTIFS(Schedule!$B:$B,B51,Schedule!$A:$A,"&lt;"&amp;J51))</f>
        <v/>
      </c>
      <c r="L51">
        <f>82-K51</f>
        <v/>
      </c>
      <c r="M51" s="2" t="n"/>
      <c r="N51" s="2" t="n"/>
      <c r="O51">
        <f>IF(M51&lt;&gt;"",M51,MIN(D51,L51))</f>
        <v/>
      </c>
      <c r="P51">
        <f>IF(N51&lt;&gt;"",N51,E51)</f>
        <v/>
      </c>
    </row>
    <row r="52">
      <c r="A52" t="inlineStr">
        <is>
          <t>RJ Barrett</t>
        </is>
      </c>
      <c r="B52" t="inlineStr">
        <is>
          <t>TOR</t>
        </is>
      </c>
      <c r="C52" t="inlineStr">
        <is>
          <t>PF,SF,SG</t>
        </is>
      </c>
      <c r="D52" t="n">
        <v>72</v>
      </c>
      <c r="E52" t="n">
        <v>31.3</v>
      </c>
      <c r="F52" t="n">
        <v>57</v>
      </c>
      <c r="G52" t="n">
        <v>30.3</v>
      </c>
      <c r="H52" s="8">
        <f>IF(G52="","",E52-G52)</f>
        <v/>
      </c>
      <c r="J52" s="9" t="n"/>
      <c r="K52">
        <f>IF(J52="",0,COUNTIFS(Schedule!$B:$B,B52,Schedule!$A:$A,"&lt;"&amp;J52))</f>
        <v/>
      </c>
      <c r="L52">
        <f>82-K52</f>
        <v/>
      </c>
      <c r="M52" s="2" t="n"/>
      <c r="N52" s="2" t="n"/>
      <c r="O52">
        <f>IF(M52&lt;&gt;"",M52,MIN(D52,L52))</f>
        <v/>
      </c>
      <c r="P52">
        <f>IF(N52&lt;&gt;"",N52,E52)</f>
        <v/>
      </c>
    </row>
    <row r="53">
      <c r="A53" t="inlineStr">
        <is>
          <t>Bam Adebayo</t>
        </is>
      </c>
      <c r="B53" t="inlineStr">
        <is>
          <t>MIA</t>
        </is>
      </c>
      <c r="C53" t="inlineStr">
        <is>
          <t>C,PF</t>
        </is>
      </c>
      <c r="D53" t="n">
        <v>76</v>
      </c>
      <c r="E53" t="n">
        <v>32.9</v>
      </c>
      <c r="F53" t="n">
        <v>73</v>
      </c>
      <c r="G53" t="n">
        <v>32.4</v>
      </c>
      <c r="H53" s="8">
        <f>IF(G53="","",E53-G53)</f>
        <v/>
      </c>
      <c r="I53" t="inlineStr">
        <is>
          <t>Day-To-Day</t>
        </is>
      </c>
      <c r="J53" s="9" t="n">
        <v>46309</v>
      </c>
      <c r="K53">
        <f>IF(J53="",0,COUNTIFS(Schedule!$B:$B,B53,Schedule!$A:$A,"&lt;"&amp;J53))</f>
        <v/>
      </c>
      <c r="L53">
        <f>82-K53</f>
        <v/>
      </c>
      <c r="M53" s="2" t="n"/>
      <c r="N53" s="2" t="n"/>
      <c r="O53">
        <f>IF(M53&lt;&gt;"",M53,MIN(D53,L53))</f>
        <v/>
      </c>
      <c r="P53">
        <f>IF(N53&lt;&gt;"",N53,E53)</f>
        <v/>
      </c>
      <c r="Q53" t="inlineStr">
        <is>
          <t>2026-10-10: Adebayo won't be available for Saturday's preseason game against the Timberwolves due to rest, Eric Nehm of The Athletic reports.</t>
        </is>
      </c>
    </row>
    <row r="54">
      <c r="A54" t="inlineStr">
        <is>
          <t>Julius Randle</t>
        </is>
      </c>
      <c r="B54" t="inlineStr">
        <is>
          <t>BKN</t>
        </is>
      </c>
      <c r="C54" t="inlineStr">
        <is>
          <t>PF</t>
        </is>
      </c>
      <c r="D54" t="n">
        <v>75</v>
      </c>
      <c r="E54" t="n">
        <v>33.6</v>
      </c>
      <c r="F54" t="n">
        <v>79</v>
      </c>
      <c r="G54" t="n">
        <v>33</v>
      </c>
      <c r="H54" s="8">
        <f>IF(G54="","",E54-G54)</f>
        <v/>
      </c>
      <c r="J54" s="9" t="n"/>
      <c r="K54">
        <f>IF(J54="",0,COUNTIFS(Schedule!$B:$B,B54,Schedule!$A:$A,"&lt;"&amp;J54))</f>
        <v/>
      </c>
      <c r="L54">
        <f>82-K54</f>
        <v/>
      </c>
      <c r="M54" s="2" t="n"/>
      <c r="N54" s="2" t="n"/>
      <c r="O54">
        <f>IF(M54&lt;&gt;"",M54,MIN(D54,L54))</f>
        <v/>
      </c>
      <c r="P54">
        <f>IF(N54&lt;&gt;"",N54,E54)</f>
        <v/>
      </c>
    </row>
    <row r="55">
      <c r="A55" t="inlineStr">
        <is>
          <t>Alperen Sengun</t>
        </is>
      </c>
      <c r="B55" t="inlineStr">
        <is>
          <t>HOU</t>
        </is>
      </c>
      <c r="C55" t="inlineStr">
        <is>
          <t>C,PF</t>
        </is>
      </c>
      <c r="D55" t="n">
        <v>75</v>
      </c>
      <c r="E55" t="n">
        <v>32.8</v>
      </c>
      <c r="F55" t="n">
        <v>72</v>
      </c>
      <c r="G55" t="n">
        <v>33.3</v>
      </c>
      <c r="H55" s="8">
        <f>IF(G55="","",E55-G55)</f>
        <v/>
      </c>
      <c r="I55" t="inlineStr">
        <is>
          <t>Day-To-Day</t>
        </is>
      </c>
      <c r="J55" s="9" t="n">
        <v>46310</v>
      </c>
      <c r="K55">
        <f>IF(J55="",0,COUNTIFS(Schedule!$B:$B,B55,Schedule!$A:$A,"&lt;"&amp;J55))</f>
        <v/>
      </c>
      <c r="L55">
        <f>82-K55</f>
        <v/>
      </c>
      <c r="M55" s="2" t="n"/>
      <c r="N55" s="2" t="n"/>
      <c r="O55">
        <f>IF(M55&lt;&gt;"",M55,MIN(D55,L55))</f>
        <v/>
      </c>
      <c r="P55">
        <f>IF(N55&lt;&gt;"",N55,E55)</f>
        <v/>
      </c>
      <c r="Q55" t="inlineStr">
        <is>
          <t>2026-10-11: Sengun (rest) isn't expected to play in Sunday's preseason game against the Mavericks, Will Guillory of The Athletic reports.</t>
        </is>
      </c>
    </row>
    <row r="56">
      <c r="A56" t="inlineStr">
        <is>
          <t>Desmond Bane</t>
        </is>
      </c>
      <c r="B56" t="inlineStr">
        <is>
          <t>ORL</t>
        </is>
      </c>
      <c r="C56" t="inlineStr">
        <is>
          <t>SG,SF</t>
        </is>
      </c>
      <c r="D56" t="n">
        <v>75</v>
      </c>
      <c r="E56" t="n">
        <v>33.3</v>
      </c>
      <c r="F56" t="n">
        <v>82</v>
      </c>
      <c r="G56" t="n">
        <v>33.6</v>
      </c>
      <c r="H56" s="8">
        <f>IF(G56="","",E56-G56)</f>
        <v/>
      </c>
      <c r="I56" t="inlineStr">
        <is>
          <t>Day-To-Day</t>
        </is>
      </c>
      <c r="J56" s="9" t="n">
        <v>46308</v>
      </c>
      <c r="K56">
        <f>IF(J56="",0,COUNTIFS(Schedule!$B:$B,B56,Schedule!$A:$A,"&lt;"&amp;J56))</f>
        <v/>
      </c>
      <c r="L56">
        <f>82-K56</f>
        <v/>
      </c>
      <c r="M56" s="2" t="n"/>
      <c r="N56" s="2" t="n"/>
      <c r="O56">
        <f>IF(M56&lt;&gt;"",M56,MIN(D56,L56))</f>
        <v/>
      </c>
      <c r="P56">
        <f>IF(N56&lt;&gt;"",N56,E56)</f>
        <v/>
      </c>
      <c r="Q56" t="inlineStr">
        <is>
          <t>2026-10-11: Bane (rest) has been ruled out for Sunday's preseason game versus Cleveland, Jason Beede of the Orlando Sentinel reports.</t>
        </is>
      </c>
    </row>
    <row r="57">
      <c r="A57" t="inlineStr">
        <is>
          <t>De'Aaron Fox</t>
        </is>
      </c>
      <c r="B57" t="inlineStr">
        <is>
          <t>SAS</t>
        </is>
      </c>
      <c r="C57" t="inlineStr">
        <is>
          <t>PG,SG</t>
        </is>
      </c>
      <c r="D57" t="n">
        <v>75</v>
      </c>
      <c r="E57" t="n">
        <v>31.3</v>
      </c>
      <c r="F57" t="n">
        <v>72</v>
      </c>
      <c r="G57" t="n">
        <v>31</v>
      </c>
      <c r="H57" s="8">
        <f>IF(G57="","",E57-G57)</f>
        <v/>
      </c>
      <c r="I57" t="inlineStr">
        <is>
          <t>Day-To-Day</t>
        </is>
      </c>
      <c r="J57" s="9" t="n">
        <v>46307</v>
      </c>
      <c r="K57">
        <f>IF(J57="",0,COUNTIFS(Schedule!$B:$B,B57,Schedule!$A:$A,"&lt;"&amp;J57))</f>
        <v/>
      </c>
      <c r="L57">
        <f>82-K57</f>
        <v/>
      </c>
      <c r="M57" s="2" t="n"/>
      <c r="N57" s="2" t="n"/>
      <c r="O57">
        <f>IF(M57&lt;&gt;"",M57,MIN(D57,L57))</f>
        <v/>
      </c>
      <c r="P57">
        <f>IF(N57&lt;&gt;"",N57,E57)</f>
        <v/>
      </c>
      <c r="Q57" t="inlineStr">
        <is>
          <t>2026-10-11: Fox (undisclosed) has been ruled out for Saturday's preseason game against the Suns, Matt Guzman of SI.com reports. · Role shared with Harper and Castle; trade risk</t>
        </is>
      </c>
    </row>
    <row r="58">
      <c r="A58" t="inlineStr">
        <is>
          <t>Paul George</t>
        </is>
      </c>
      <c r="B58" t="inlineStr">
        <is>
          <t>BOS</t>
        </is>
      </c>
      <c r="C58" t="inlineStr">
        <is>
          <t>PF,SF</t>
        </is>
      </c>
      <c r="D58" t="n">
        <v>63</v>
      </c>
      <c r="E58" t="n">
        <v>31.8</v>
      </c>
      <c r="F58" t="n">
        <v>37</v>
      </c>
      <c r="G58" t="n">
        <v>30.7</v>
      </c>
      <c r="H58" s="8">
        <f>IF(G58="","",E58-G58)</f>
        <v/>
      </c>
      <c r="J58" s="9" t="n"/>
      <c r="K58">
        <f>IF(J58="",0,COUNTIFS(Schedule!$B:$B,B58,Schedule!$A:$A,"&lt;"&amp;J58))</f>
        <v/>
      </c>
      <c r="L58">
        <f>82-K58</f>
        <v/>
      </c>
      <c r="M58" s="2" t="n"/>
      <c r="N58" s="2" t="n"/>
      <c r="O58">
        <f>IF(M58&lt;&gt;"",M58,MIN(D58,L58))</f>
        <v/>
      </c>
      <c r="P58">
        <f>IF(N58&lt;&gt;"",N58,E58)</f>
        <v/>
      </c>
    </row>
    <row r="59">
      <c r="A59" t="inlineStr">
        <is>
          <t>CJ McCollum</t>
        </is>
      </c>
      <c r="B59" t="inlineStr">
        <is>
          <t>ATL</t>
        </is>
      </c>
      <c r="C59" t="inlineStr">
        <is>
          <t>PG,SG</t>
        </is>
      </c>
      <c r="D59" t="n">
        <v>76</v>
      </c>
      <c r="E59" t="n">
        <v>30.7</v>
      </c>
      <c r="F59" t="n">
        <v>76</v>
      </c>
      <c r="G59" t="n">
        <v>29.8</v>
      </c>
      <c r="H59" s="8">
        <f>IF(G59="","",E59-G59)</f>
        <v/>
      </c>
      <c r="J59" s="9" t="n"/>
      <c r="K59">
        <f>IF(J59="",0,COUNTIFS(Schedule!$B:$B,B59,Schedule!$A:$A,"&lt;"&amp;J59))</f>
        <v/>
      </c>
      <c r="L59">
        <f>82-K59</f>
        <v/>
      </c>
      <c r="M59" s="2" t="n"/>
      <c r="N59" s="2" t="n"/>
      <c r="O59">
        <f>IF(M59&lt;&gt;"",M59,MIN(D59,L59))</f>
        <v/>
      </c>
      <c r="P59">
        <f>IF(N59&lt;&gt;"",N59,E59)</f>
        <v/>
      </c>
    </row>
    <row r="60">
      <c r="A60" t="inlineStr">
        <is>
          <t>Darryn Peterson</t>
        </is>
      </c>
      <c r="B60" t="inlineStr">
        <is>
          <t>UTH</t>
        </is>
      </c>
      <c r="C60" t="inlineStr">
        <is>
          <t>PG,SG</t>
        </is>
      </c>
      <c r="D60" t="n">
        <v>76</v>
      </c>
      <c r="E60" t="n">
        <v>31.1</v>
      </c>
      <c r="H60" s="8">
        <f>IF(G60="","",E60-G60)</f>
        <v/>
      </c>
      <c r="J60" s="9" t="n"/>
      <c r="K60">
        <f>IF(J60="",0,COUNTIFS(Schedule!$B:$B,B60,Schedule!$A:$A,"&lt;"&amp;J60))</f>
        <v/>
      </c>
      <c r="L60">
        <f>82-K60</f>
        <v/>
      </c>
      <c r="M60" s="2" t="n"/>
      <c r="N60" s="2" t="n"/>
      <c r="O60">
        <f>IF(M60&lt;&gt;"",M60,MIN(D60,L60))</f>
        <v/>
      </c>
      <c r="P60">
        <f>IF(N60&lt;&gt;"",N60,E60)</f>
        <v/>
      </c>
    </row>
    <row r="61">
      <c r="A61" t="inlineStr">
        <is>
          <t>Evan Mobley</t>
        </is>
      </c>
      <c r="B61" t="inlineStr">
        <is>
          <t>CLE</t>
        </is>
      </c>
      <c r="C61" t="inlineStr">
        <is>
          <t>PF,C</t>
        </is>
      </c>
      <c r="D61" t="n">
        <v>72</v>
      </c>
      <c r="E61" t="n">
        <v>32.6</v>
      </c>
      <c r="F61" t="n">
        <v>65</v>
      </c>
      <c r="G61" t="n">
        <v>31.9</v>
      </c>
      <c r="H61" s="8">
        <f>IF(G61="","",E61-G61)</f>
        <v/>
      </c>
      <c r="J61" s="9" t="n"/>
      <c r="K61">
        <f>IF(J61="",0,COUNTIFS(Schedule!$B:$B,B61,Schedule!$A:$A,"&lt;"&amp;J61))</f>
        <v/>
      </c>
      <c r="L61">
        <f>82-K61</f>
        <v/>
      </c>
      <c r="M61" s="2" t="n"/>
      <c r="N61" s="2" t="n"/>
      <c r="O61">
        <f>IF(M61&lt;&gt;"",M61,MIN(D61,L61))</f>
        <v/>
      </c>
      <c r="P61">
        <f>IF(N61&lt;&gt;"",N61,E61)</f>
        <v/>
      </c>
    </row>
    <row r="62">
      <c r="A62" t="inlineStr">
        <is>
          <t>Tyrese Haliburton</t>
        </is>
      </c>
      <c r="B62" t="inlineStr">
        <is>
          <t>IND</t>
        </is>
      </c>
      <c r="C62" t="inlineStr">
        <is>
          <t>PG,SG</t>
        </is>
      </c>
      <c r="D62" t="n">
        <v>71</v>
      </c>
      <c r="E62" t="n">
        <v>33.5</v>
      </c>
      <c r="H62" s="8">
        <f>IF(G62="","",E62-G62)</f>
        <v/>
      </c>
      <c r="I62" t="inlineStr">
        <is>
          <t>Day-To-Day</t>
        </is>
      </c>
      <c r="J62" s="9" t="n">
        <v>46308</v>
      </c>
      <c r="K62">
        <f>IF(J62="",0,COUNTIFS(Schedule!$B:$B,B62,Schedule!$A:$A,"&lt;"&amp;J62))</f>
        <v/>
      </c>
      <c r="L62">
        <f>82-K62</f>
        <v/>
      </c>
      <c r="M62" s="2" t="n"/>
      <c r="N62" s="2" t="n"/>
      <c r="O62">
        <f>IF(M62&lt;&gt;"",M62,MIN(D62,L62))</f>
        <v/>
      </c>
      <c r="P62">
        <f>IF(N62&lt;&gt;"",N62,E62)</f>
        <v/>
      </c>
      <c r="Q62" t="inlineStr">
        <is>
          <t>2026-10-10: Haliburton will not play in Saturday's preseason game against the Hawks due to a right ankle injury, Tony East of Forbes.com reports.</t>
        </is>
      </c>
    </row>
    <row r="63">
      <c r="A63" t="inlineStr">
        <is>
          <t>Darius Acuff Jr.</t>
        </is>
      </c>
      <c r="B63" t="inlineStr">
        <is>
          <t>SAC</t>
        </is>
      </c>
      <c r="C63" t="inlineStr">
        <is>
          <t>PG</t>
        </is>
      </c>
      <c r="D63" t="n">
        <v>76</v>
      </c>
      <c r="E63" t="n">
        <v>31.5</v>
      </c>
      <c r="H63" s="8">
        <f>IF(G63="","",E63-G63)</f>
        <v/>
      </c>
      <c r="J63" s="9" t="n"/>
      <c r="K63">
        <f>IF(J63="",0,COUNTIFS(Schedule!$B:$B,B63,Schedule!$A:$A,"&lt;"&amp;J63))</f>
        <v/>
      </c>
      <c r="L63">
        <f>82-K63</f>
        <v/>
      </c>
      <c r="M63" s="2" t="n"/>
      <c r="N63" s="2" t="n"/>
      <c r="O63">
        <f>IF(M63&lt;&gt;"",M63,MIN(D63,L63))</f>
        <v/>
      </c>
      <c r="P63">
        <f>IF(N63&lt;&gt;"",N63,E63)</f>
        <v/>
      </c>
      <c r="Q63" t="inlineStr">
        <is>
          <t>No. 7 pick, 30+ minutes in SAC backcourt</t>
        </is>
      </c>
    </row>
    <row r="64">
      <c r="A64" t="inlineStr">
        <is>
          <t>Scottie Barnes</t>
        </is>
      </c>
      <c r="B64" t="inlineStr">
        <is>
          <t>TOR</t>
        </is>
      </c>
      <c r="C64" t="inlineStr">
        <is>
          <t>C,PF,SF,SG</t>
        </is>
      </c>
      <c r="D64" t="n">
        <v>75</v>
      </c>
      <c r="E64" t="n">
        <v>33.8</v>
      </c>
      <c r="F64" t="n">
        <v>80</v>
      </c>
      <c r="G64" t="n">
        <v>33.5</v>
      </c>
      <c r="H64" s="8">
        <f>IF(G64="","",E64-G64)</f>
        <v/>
      </c>
      <c r="J64" s="9" t="n"/>
      <c r="K64">
        <f>IF(J64="",0,COUNTIFS(Schedule!$B:$B,B64,Schedule!$A:$A,"&lt;"&amp;J64))</f>
        <v/>
      </c>
      <c r="L64">
        <f>82-K64</f>
        <v/>
      </c>
      <c r="M64" s="2" t="n"/>
      <c r="N64" s="2" t="n"/>
      <c r="O64">
        <f>IF(M64&lt;&gt;"",M64,MIN(D64,L64))</f>
        <v/>
      </c>
      <c r="P64">
        <f>IF(N64&lt;&gt;"",N64,E64)</f>
        <v/>
      </c>
    </row>
    <row r="65">
      <c r="A65" t="inlineStr">
        <is>
          <t>Kon Knueppel</t>
        </is>
      </c>
      <c r="B65" t="inlineStr">
        <is>
          <t>CHA</t>
        </is>
      </c>
      <c r="C65" t="inlineStr">
        <is>
          <t>SF,SG</t>
        </is>
      </c>
      <c r="D65" t="n">
        <v>78</v>
      </c>
      <c r="E65" t="n">
        <v>32.9</v>
      </c>
      <c r="F65" t="n">
        <v>81</v>
      </c>
      <c r="G65" t="n">
        <v>31.5</v>
      </c>
      <c r="H65" s="8">
        <f>IF(G65="","",E65-G65)</f>
        <v/>
      </c>
      <c r="I65" t="inlineStr">
        <is>
          <t>Day-To-Day</t>
        </is>
      </c>
      <c r="J65" s="9" t="n">
        <v>46316</v>
      </c>
      <c r="K65">
        <f>IF(J65="",0,COUNTIFS(Schedule!$B:$B,B65,Schedule!$A:$A,"&lt;"&amp;J65))</f>
        <v/>
      </c>
      <c r="L65">
        <f>82-K65</f>
        <v/>
      </c>
      <c r="M65" s="2" t="n">
        <v>65</v>
      </c>
      <c r="N65" s="2" t="n"/>
      <c r="O65">
        <f>IF(M65&lt;&gt;"",M65,MIN(D65,L65))</f>
        <v/>
      </c>
      <c r="P65">
        <f>IF(N65&lt;&gt;"",N65,E65)</f>
        <v/>
      </c>
      <c r="Q65" t="inlineStr">
        <is>
          <t>2026-09-28: Hornets general manager Jeff Peterson said Monday that he "doesn't know" whether Knueppel (hamstring) will be available for the team's regular-season opener against the Nets, Owen Watterson of SI.com reports. · Hamstring strain, GM unsure of opener</t>
        </is>
      </c>
    </row>
    <row r="66">
      <c r="A66" t="inlineStr">
        <is>
          <t>Jimmy Butler III</t>
        </is>
      </c>
      <c r="B66" t="inlineStr">
        <is>
          <t>GSW</t>
        </is>
      </c>
      <c r="C66" t="inlineStr">
        <is>
          <t>PF,SF,SG</t>
        </is>
      </c>
      <c r="D66" t="n">
        <v>44</v>
      </c>
      <c r="E66" t="n">
        <v>31.8</v>
      </c>
      <c r="F66" t="n">
        <v>38</v>
      </c>
      <c r="G66" t="n">
        <v>31.1</v>
      </c>
      <c r="H66" s="8">
        <f>IF(G66="","",E66-G66)</f>
        <v/>
      </c>
      <c r="I66" t="inlineStr">
        <is>
          <t>Out</t>
        </is>
      </c>
      <c r="J66" s="9" t="n">
        <v>46389</v>
      </c>
      <c r="K66">
        <f>IF(J66="",0,COUNTIFS(Schedule!$B:$B,B66,Schedule!$A:$A,"&lt;"&amp;J66))</f>
        <v/>
      </c>
      <c r="L66">
        <f>82-K66</f>
        <v/>
      </c>
      <c r="M66" s="2" t="n"/>
      <c r="N66" s="2" t="n"/>
      <c r="O66">
        <f>IF(M66&lt;&gt;"",M66,MIN(D66,L66))</f>
        <v/>
      </c>
      <c r="P66">
        <f>IF(N66&lt;&gt;"",N66,E66)</f>
        <v/>
      </c>
      <c r="Q66" t="inlineStr">
        <is>
          <t>2026-10-02: The Warriors hope to have Butler (knee) back early in 2027, per Keith Watkins of Yahoo Sports.</t>
        </is>
      </c>
    </row>
    <row r="67">
      <c r="A67" t="inlineStr">
        <is>
          <t>Josh Giddey</t>
        </is>
      </c>
      <c r="B67" t="inlineStr">
        <is>
          <t>CHI</t>
        </is>
      </c>
      <c r="C67" t="inlineStr">
        <is>
          <t>PG,SG,SF</t>
        </is>
      </c>
      <c r="D67" t="n">
        <v>73</v>
      </c>
      <c r="E67" t="n">
        <v>35.7</v>
      </c>
      <c r="F67" t="n">
        <v>54</v>
      </c>
      <c r="G67" t="n">
        <v>32.1</v>
      </c>
      <c r="H67" s="8">
        <f>IF(G67="","",E67-G67)</f>
        <v/>
      </c>
      <c r="J67" s="9" t="n"/>
      <c r="K67">
        <f>IF(J67="",0,COUNTIFS(Schedule!$B:$B,B67,Schedule!$A:$A,"&lt;"&amp;J67))</f>
        <v/>
      </c>
      <c r="L67">
        <f>82-K67</f>
        <v/>
      </c>
      <c r="M67" s="2" t="n"/>
      <c r="N67" s="2" t="n"/>
      <c r="O67">
        <f>IF(M67&lt;&gt;"",M67,MIN(D67,L67))</f>
        <v/>
      </c>
      <c r="P67">
        <f>IF(N67&lt;&gt;"",N67,E67)</f>
        <v/>
      </c>
    </row>
    <row r="68">
      <c r="A68" t="inlineStr">
        <is>
          <t>Cameron Boozer</t>
        </is>
      </c>
      <c r="B68" t="inlineStr">
        <is>
          <t>MEM</t>
        </is>
      </c>
      <c r="C68" t="inlineStr">
        <is>
          <t>PF</t>
        </is>
      </c>
      <c r="D68" t="n">
        <v>75</v>
      </c>
      <c r="E68" t="n">
        <v>32.3</v>
      </c>
      <c r="H68" s="8">
        <f>IF(G68="","",E68-G68)</f>
        <v/>
      </c>
      <c r="J68" s="9" t="n"/>
      <c r="K68">
        <f>IF(J68="",0,COUNTIFS(Schedule!$B:$B,B68,Schedule!$A:$A,"&lt;"&amp;J68))</f>
        <v/>
      </c>
      <c r="L68">
        <f>82-K68</f>
        <v/>
      </c>
      <c r="M68" s="2" t="n"/>
      <c r="N68" s="2" t="n"/>
      <c r="O68">
        <f>IF(M68&lt;&gt;"",M68,MIN(D68,L68))</f>
        <v/>
      </c>
      <c r="P68">
        <f>IF(N68&lt;&gt;"",N68,E68)</f>
        <v/>
      </c>
      <c r="Q68" t="inlineStr">
        <is>
          <t>24% early usage, mid-round target</t>
        </is>
      </c>
    </row>
    <row r="69">
      <c r="A69" t="inlineStr">
        <is>
          <t>Jalen Duren</t>
        </is>
      </c>
      <c r="B69" t="inlineStr">
        <is>
          <t>DET</t>
        </is>
      </c>
      <c r="C69" t="inlineStr">
        <is>
          <t>C</t>
        </is>
      </c>
      <c r="D69" t="n">
        <v>75</v>
      </c>
      <c r="E69" t="n">
        <v>30.3</v>
      </c>
      <c r="F69" t="n">
        <v>70</v>
      </c>
      <c r="G69" t="n">
        <v>28.2</v>
      </c>
      <c r="H69" s="8">
        <f>IF(G69="","",E69-G69)</f>
        <v/>
      </c>
      <c r="I69" t="inlineStr">
        <is>
          <t>Day-To-Day</t>
        </is>
      </c>
      <c r="J69" s="9" t="n">
        <v>46309</v>
      </c>
      <c r="K69">
        <f>IF(J69="",0,COUNTIFS(Schedule!$B:$B,B69,Schedule!$A:$A,"&lt;"&amp;J69))</f>
        <v/>
      </c>
      <c r="L69">
        <f>82-K69</f>
        <v/>
      </c>
      <c r="M69" s="2" t="n"/>
      <c r="N69" s="2" t="n"/>
      <c r="O69">
        <f>IF(M69&lt;&gt;"",M69,MIN(D69,L69))</f>
        <v/>
      </c>
      <c r="P69">
        <f>IF(N69&lt;&gt;"",N69,E69)</f>
        <v/>
      </c>
      <c r="Q69" t="inlineStr">
        <is>
          <t>2026-10-10: Duren (reconditioning) won't suit up for Saturday's preseason game against the Wizards, Josh Robbins of The Athletic reports.</t>
        </is>
      </c>
    </row>
    <row r="70">
      <c r="A70" t="inlineStr">
        <is>
          <t>Domantas Sabonis</t>
        </is>
      </c>
      <c r="B70" t="inlineStr">
        <is>
          <t>SAC</t>
        </is>
      </c>
      <c r="C70" t="inlineStr">
        <is>
          <t>C,PF</t>
        </is>
      </c>
      <c r="D70" t="n">
        <v>74</v>
      </c>
      <c r="E70" t="n">
        <v>34.1</v>
      </c>
      <c r="F70" t="n">
        <v>19</v>
      </c>
      <c r="G70" t="n">
        <v>29.7</v>
      </c>
      <c r="H70" s="8">
        <f>IF(G70="","",E70-G70)</f>
        <v/>
      </c>
      <c r="I70" t="inlineStr">
        <is>
          <t>Day-To-Day</t>
        </is>
      </c>
      <c r="J70" s="9" t="n">
        <v>46308</v>
      </c>
      <c r="K70">
        <f>IF(J70="",0,COUNTIFS(Schedule!$B:$B,B70,Schedule!$A:$A,"&lt;"&amp;J70))</f>
        <v/>
      </c>
      <c r="L70">
        <f>82-K70</f>
        <v/>
      </c>
      <c r="M70" s="2" t="n"/>
      <c r="N70" s="2" t="n"/>
      <c r="O70">
        <f>IF(M70&lt;&gt;"",M70,MIN(D70,L70))</f>
        <v/>
      </c>
      <c r="P70">
        <f>IF(N70&lt;&gt;"",N70,E70)</f>
        <v/>
      </c>
      <c r="Q70" t="inlineStr">
        <is>
          <t>2026-10-10: Sabonis (undisclosed) is out for Saturday's preseason game against the Warriors, Jason Anderson of The Sacramento Bee reports.</t>
        </is>
      </c>
    </row>
    <row r="71">
      <c r="A71" t="inlineStr">
        <is>
          <t>Miles Bridges</t>
        </is>
      </c>
      <c r="B71" t="inlineStr">
        <is>
          <t>PHO</t>
        </is>
      </c>
      <c r="C71" t="inlineStr">
        <is>
          <t>SF,PF</t>
        </is>
      </c>
      <c r="D71" t="n">
        <v>75</v>
      </c>
      <c r="E71" t="n">
        <v>30.6</v>
      </c>
      <c r="F71" t="n">
        <v>77</v>
      </c>
      <c r="G71" t="n">
        <v>31</v>
      </c>
      <c r="H71" s="8">
        <f>IF(G71="","",E71-G71)</f>
        <v/>
      </c>
      <c r="I71" t="inlineStr">
        <is>
          <t>Day-To-Day</t>
        </is>
      </c>
      <c r="J71" s="9" t="n">
        <v>46309</v>
      </c>
      <c r="K71">
        <f>IF(J71="",0,COUNTIFS(Schedule!$B:$B,B71,Schedule!$A:$A,"&lt;"&amp;J71))</f>
        <v/>
      </c>
      <c r="L71">
        <f>82-K71</f>
        <v/>
      </c>
      <c r="M71" s="2" t="n"/>
      <c r="N71" s="2" t="n"/>
      <c r="O71">
        <f>IF(M71&lt;&gt;"",M71,MIN(D71,L71))</f>
        <v/>
      </c>
      <c r="P71">
        <f>IF(N71&lt;&gt;"",N71,E71)</f>
        <v/>
      </c>
      <c r="Q71" t="inlineStr">
        <is>
          <t>2026-10-11: Bridges (ankle) won't play in Saturday's preseason game against the Spurs, Hayden Cilley of ClutchPoints.com reports.</t>
        </is>
      </c>
    </row>
    <row r="72">
      <c r="A72" t="inlineStr">
        <is>
          <t>Ty Jerome</t>
        </is>
      </c>
      <c r="B72" t="inlineStr">
        <is>
          <t>MEM</t>
        </is>
      </c>
      <c r="C72" t="inlineStr">
        <is>
          <t>PG,SG</t>
        </is>
      </c>
      <c r="D72" t="n">
        <v>71</v>
      </c>
      <c r="E72" t="n">
        <v>25.6</v>
      </c>
      <c r="F72" t="n">
        <v>15</v>
      </c>
      <c r="G72" t="n">
        <v>22.6</v>
      </c>
      <c r="H72" s="8">
        <f>IF(G72="","",E72-G72)</f>
        <v/>
      </c>
      <c r="J72" s="9" t="n"/>
      <c r="K72">
        <f>IF(J72="",0,COUNTIFS(Schedule!$B:$B,B72,Schedule!$A:$A,"&lt;"&amp;J72))</f>
        <v/>
      </c>
      <c r="L72">
        <f>82-K72</f>
        <v/>
      </c>
      <c r="M72" s="2" t="n"/>
      <c r="N72" s="2" t="n"/>
      <c r="O72">
        <f>IF(M72&lt;&gt;"",M72,MIN(D72,L72))</f>
        <v/>
      </c>
      <c r="P72">
        <f>IF(N72&lt;&gt;"",N72,E72)</f>
        <v/>
      </c>
    </row>
    <row r="73">
      <c r="A73" t="inlineStr">
        <is>
          <t>Dillon Brooks</t>
        </is>
      </c>
      <c r="B73" t="inlineStr">
        <is>
          <t>PHO</t>
        </is>
      </c>
      <c r="C73" t="inlineStr">
        <is>
          <t>PF,SF,SG</t>
        </is>
      </c>
      <c r="D73" t="n">
        <v>74</v>
      </c>
      <c r="E73" t="n">
        <v>31</v>
      </c>
      <c r="F73" t="n">
        <v>56</v>
      </c>
      <c r="G73" t="n">
        <v>30.4</v>
      </c>
      <c r="H73" s="8">
        <f>IF(G73="","",E73-G73)</f>
        <v/>
      </c>
      <c r="J73" s="9" t="n"/>
      <c r="K73">
        <f>IF(J73="",0,COUNTIFS(Schedule!$B:$B,B73,Schedule!$A:$A,"&lt;"&amp;J73))</f>
        <v/>
      </c>
      <c r="L73">
        <f>82-K73</f>
        <v/>
      </c>
      <c r="M73" s="2" t="n"/>
      <c r="N73" s="2" t="n"/>
      <c r="O73">
        <f>IF(M73&lt;&gt;"",M73,MIN(D73,L73))</f>
        <v/>
      </c>
      <c r="P73">
        <f>IF(N73&lt;&gt;"",N73,E73)</f>
        <v/>
      </c>
    </row>
    <row r="74">
      <c r="A74" t="inlineStr">
        <is>
          <t>Kristaps Porzingis</t>
        </is>
      </c>
      <c r="B74" t="inlineStr">
        <is>
          <t>GSW</t>
        </is>
      </c>
      <c r="C74" t="inlineStr">
        <is>
          <t>PF,C</t>
        </is>
      </c>
      <c r="D74" t="n">
        <v>54</v>
      </c>
      <c r="E74" t="n">
        <v>26.9</v>
      </c>
      <c r="F74" t="n">
        <v>32</v>
      </c>
      <c r="G74" t="n">
        <v>24</v>
      </c>
      <c r="H74" s="8">
        <f>IF(G74="","",E74-G74)</f>
        <v/>
      </c>
      <c r="I74" t="inlineStr">
        <is>
          <t>Day-To-Day</t>
        </is>
      </c>
      <c r="J74" s="9" t="n">
        <v>46316</v>
      </c>
      <c r="K74">
        <f>IF(J74="",0,COUNTIFS(Schedule!$B:$B,B74,Schedule!$A:$A,"&lt;"&amp;J74))</f>
        <v/>
      </c>
      <c r="L74">
        <f>82-K74</f>
        <v/>
      </c>
      <c r="M74" s="2" t="n">
        <v>40</v>
      </c>
      <c r="N74" s="2" t="n"/>
      <c r="O74">
        <f>IF(M74&lt;&gt;"",M74,MIN(D74,L74))</f>
        <v/>
      </c>
      <c r="P74">
        <f>IF(N74&lt;&gt;"",N74,E74)</f>
        <v/>
      </c>
      <c r="Q74" t="inlineStr">
        <is>
          <t>2026-10-06: Porzingis (undisclosed) remains out indefinitely, per Anthony Slater of ESPN.com. · Unknown illness, not at camp, out indefinitely</t>
        </is>
      </c>
    </row>
    <row r="75">
      <c r="A75" t="inlineStr">
        <is>
          <t>Derrick White</t>
        </is>
      </c>
      <c r="B75" t="inlineStr">
        <is>
          <t>BOS</t>
        </is>
      </c>
      <c r="C75" t="inlineStr">
        <is>
          <t>PG,SG</t>
        </is>
      </c>
      <c r="D75" t="n">
        <v>78</v>
      </c>
      <c r="E75" t="n">
        <v>34.3</v>
      </c>
      <c r="F75" t="n">
        <v>77</v>
      </c>
      <c r="G75" t="n">
        <v>34.1</v>
      </c>
      <c r="H75" s="8">
        <f>IF(G75="","",E75-G75)</f>
        <v/>
      </c>
      <c r="J75" s="9" t="n"/>
      <c r="K75">
        <f>IF(J75="",0,COUNTIFS(Schedule!$B:$B,B75,Schedule!$A:$A,"&lt;"&amp;J75))</f>
        <v/>
      </c>
      <c r="L75">
        <f>82-K75</f>
        <v/>
      </c>
      <c r="M75" s="2" t="n"/>
      <c r="N75" s="2" t="n"/>
      <c r="O75">
        <f>IF(M75&lt;&gt;"",M75,MIN(D75,L75))</f>
        <v/>
      </c>
      <c r="P75">
        <f>IF(N75&lt;&gt;"",N75,E75)</f>
        <v/>
      </c>
    </row>
    <row r="76">
      <c r="A76" t="inlineStr">
        <is>
          <t>Stephon Castle</t>
        </is>
      </c>
      <c r="B76" t="inlineStr">
        <is>
          <t>SAS</t>
        </is>
      </c>
      <c r="C76" t="inlineStr">
        <is>
          <t>PG,SG</t>
        </is>
      </c>
      <c r="D76" t="n">
        <v>75</v>
      </c>
      <c r="E76" t="n">
        <v>31.7</v>
      </c>
      <c r="F76" t="n">
        <v>68</v>
      </c>
      <c r="G76" t="n">
        <v>30</v>
      </c>
      <c r="H76" s="8">
        <f>IF(G76="","",E76-G76)</f>
        <v/>
      </c>
      <c r="J76" s="9" t="n"/>
      <c r="K76">
        <f>IF(J76="",0,COUNTIFS(Schedule!$B:$B,B76,Schedule!$A:$A,"&lt;"&amp;J76))</f>
        <v/>
      </c>
      <c r="L76">
        <f>82-K76</f>
        <v/>
      </c>
      <c r="M76" s="2" t="n"/>
      <c r="N76" s="2" t="n"/>
      <c r="O76">
        <f>IF(M76&lt;&gt;"",M76,MIN(D76,L76))</f>
        <v/>
      </c>
      <c r="P76">
        <f>IF(N76&lt;&gt;"",N76,E76)</f>
        <v/>
      </c>
    </row>
    <row r="77">
      <c r="A77" t="inlineStr">
        <is>
          <t>Dejounte Murray</t>
        </is>
      </c>
      <c r="B77" t="inlineStr">
        <is>
          <t>NOR</t>
        </is>
      </c>
      <c r="C77" t="inlineStr">
        <is>
          <t>PG,SG</t>
        </is>
      </c>
      <c r="D77" t="n">
        <v>73</v>
      </c>
      <c r="E77" t="n">
        <v>30.5</v>
      </c>
      <c r="F77" t="n">
        <v>14</v>
      </c>
      <c r="G77" t="n">
        <v>27.8</v>
      </c>
      <c r="H77" s="8">
        <f>IF(G77="","",E77-G77)</f>
        <v/>
      </c>
      <c r="I77" t="inlineStr">
        <is>
          <t>Day-To-Day</t>
        </is>
      </c>
      <c r="J77" s="9" t="n">
        <v>46309</v>
      </c>
      <c r="K77">
        <f>IF(J77="",0,COUNTIFS(Schedule!$B:$B,B77,Schedule!$A:$A,"&lt;"&amp;J77))</f>
        <v/>
      </c>
      <c r="L77">
        <f>82-K77</f>
        <v/>
      </c>
      <c r="M77" s="2" t="n"/>
      <c r="N77" s="2" t="n"/>
      <c r="O77">
        <f>IF(M77&lt;&gt;"",M77,MIN(D77,L77))</f>
        <v/>
      </c>
      <c r="P77">
        <f>IF(N77&lt;&gt;"",N77,E77)</f>
        <v/>
      </c>
      <c r="Q77" t="inlineStr">
        <is>
          <t>2026-10-08: Murray (toe) has been ruled out for Thursday's preseason game against the Heat, Andrew Lopez of Gulf Coast Sports &amp;amp; Entertainment Network reports. · Healthy after Achilles, ADP climbing</t>
        </is>
      </c>
    </row>
    <row r="78">
      <c r="A78" t="inlineStr">
        <is>
          <t>OG Anunoby</t>
        </is>
      </c>
      <c r="B78" t="inlineStr">
        <is>
          <t>NYK</t>
        </is>
      </c>
      <c r="C78" t="inlineStr">
        <is>
          <t>SF,PF</t>
        </is>
      </c>
      <c r="D78" t="n">
        <v>73</v>
      </c>
      <c r="E78" t="n">
        <v>34.8</v>
      </c>
      <c r="F78" t="n">
        <v>67</v>
      </c>
      <c r="G78" t="n">
        <v>33.2</v>
      </c>
      <c r="H78" s="8">
        <f>IF(G78="","",E78-G78)</f>
        <v/>
      </c>
      <c r="J78" s="9" t="n"/>
      <c r="K78">
        <f>IF(J78="",0,COUNTIFS(Schedule!$B:$B,B78,Schedule!$A:$A,"&lt;"&amp;J78))</f>
        <v/>
      </c>
      <c r="L78">
        <f>82-K78</f>
        <v/>
      </c>
      <c r="M78" s="2" t="n"/>
      <c r="N78" s="2" t="n"/>
      <c r="O78">
        <f>IF(M78&lt;&gt;"",M78,MIN(D78,L78))</f>
        <v/>
      </c>
      <c r="P78">
        <f>IF(N78&lt;&gt;"",N78,E78)</f>
        <v/>
      </c>
    </row>
    <row r="79">
      <c r="A79" t="inlineStr">
        <is>
          <t>DeMar DeRozan</t>
        </is>
      </c>
      <c r="B79" t="inlineStr">
        <is>
          <t>DEN</t>
        </is>
      </c>
      <c r="C79" t="inlineStr">
        <is>
          <t>PF,SF</t>
        </is>
      </c>
      <c r="D79" t="n">
        <v>77</v>
      </c>
      <c r="E79" t="n">
        <v>29.6</v>
      </c>
      <c r="F79" t="n">
        <v>77</v>
      </c>
      <c r="G79" t="n">
        <v>31.2</v>
      </c>
      <c r="H79" s="8">
        <f>IF(G79="","",E79-G79)</f>
        <v/>
      </c>
      <c r="J79" s="9" t="n"/>
      <c r="K79">
        <f>IF(J79="",0,COUNTIFS(Schedule!$B:$B,B79,Schedule!$A:$A,"&lt;"&amp;J79))</f>
        <v/>
      </c>
      <c r="L79">
        <f>82-K79</f>
        <v/>
      </c>
      <c r="M79" s="2" t="n"/>
      <c r="N79" s="2" t="n"/>
      <c r="O79">
        <f>IF(M79&lt;&gt;"",M79,MIN(D79,L79))</f>
        <v/>
      </c>
      <c r="P79">
        <f>IF(N79&lt;&gt;"",N79,E79)</f>
        <v/>
      </c>
    </row>
    <row r="80">
      <c r="A80" t="inlineStr">
        <is>
          <t>Immanuel Quickley</t>
        </is>
      </c>
      <c r="B80" t="inlineStr">
        <is>
          <t>TOR</t>
        </is>
      </c>
      <c r="C80" t="inlineStr">
        <is>
          <t>PG,SG</t>
        </is>
      </c>
      <c r="D80" t="n">
        <v>72</v>
      </c>
      <c r="E80" t="n">
        <v>30.9</v>
      </c>
      <c r="F80" t="n">
        <v>70</v>
      </c>
      <c r="G80" t="n">
        <v>31.9</v>
      </c>
      <c r="H80" s="8">
        <f>IF(G80="","",E80-G80)</f>
        <v/>
      </c>
      <c r="J80" s="9" t="n"/>
      <c r="K80">
        <f>IF(J80="",0,COUNTIFS(Schedule!$B:$B,B80,Schedule!$A:$A,"&lt;"&amp;J80))</f>
        <v/>
      </c>
      <c r="L80">
        <f>82-K80</f>
        <v/>
      </c>
      <c r="M80" s="2" t="n"/>
      <c r="N80" s="2" t="n"/>
      <c r="O80">
        <f>IF(M80&lt;&gt;"",M80,MIN(D80,L80))</f>
        <v/>
      </c>
      <c r="P80">
        <f>IF(N80&lt;&gt;"",N80,E80)</f>
        <v/>
      </c>
      <c r="Q80" t="inlineStr">
        <is>
          <t>Role least hit by Kawhi arrival</t>
        </is>
      </c>
    </row>
    <row r="81">
      <c r="A81" t="inlineStr">
        <is>
          <t>Amen Thompson</t>
        </is>
      </c>
      <c r="B81" t="inlineStr">
        <is>
          <t>HOU</t>
        </is>
      </c>
      <c r="C81" t="inlineStr">
        <is>
          <t>PG,SF,SG</t>
        </is>
      </c>
      <c r="D81" t="n">
        <v>78</v>
      </c>
      <c r="E81" t="n">
        <v>35.7</v>
      </c>
      <c r="F81" t="n">
        <v>79</v>
      </c>
      <c r="G81" t="n">
        <v>37.4</v>
      </c>
      <c r="H81" s="8">
        <f>IF(G81="","",E81-G81)</f>
        <v/>
      </c>
      <c r="J81" s="9" t="n"/>
      <c r="K81">
        <f>IF(J81="",0,COUNTIFS(Schedule!$B:$B,B81,Schedule!$A:$A,"&lt;"&amp;J81))</f>
        <v/>
      </c>
      <c r="L81">
        <f>82-K81</f>
        <v/>
      </c>
      <c r="M81" s="2" t="n"/>
      <c r="N81" s="2" t="n"/>
      <c r="O81">
        <f>IF(M81&lt;&gt;"",M81,MIN(D81,L81))</f>
        <v/>
      </c>
      <c r="P81">
        <f>IF(N81&lt;&gt;"",N81,E81)</f>
        <v/>
      </c>
    </row>
    <row r="82">
      <c r="A82" t="inlineStr">
        <is>
          <t>Payton Pritchard</t>
        </is>
      </c>
      <c r="B82" t="inlineStr">
        <is>
          <t>BOS</t>
        </is>
      </c>
      <c r="C82" t="inlineStr">
        <is>
          <t>PG,SG</t>
        </is>
      </c>
      <c r="D82" t="n">
        <v>75</v>
      </c>
      <c r="E82" t="n">
        <v>30.7</v>
      </c>
      <c r="F82" t="n">
        <v>79</v>
      </c>
      <c r="G82" t="n">
        <v>32.4</v>
      </c>
      <c r="H82" s="8">
        <f>IF(G82="","",E82-G82)</f>
        <v/>
      </c>
      <c r="J82" s="9" t="n"/>
      <c r="K82">
        <f>IF(J82="",0,COUNTIFS(Schedule!$B:$B,B82,Schedule!$A:$A,"&lt;"&amp;J82))</f>
        <v/>
      </c>
      <c r="L82">
        <f>82-K82</f>
        <v/>
      </c>
      <c r="M82" s="2" t="n"/>
      <c r="N82" s="2" t="n"/>
      <c r="O82">
        <f>IF(M82&lt;&gt;"",M82,MIN(D82,L82))</f>
        <v/>
      </c>
      <c r="P82">
        <f>IF(N82&lt;&gt;"",N82,E82)</f>
        <v/>
      </c>
    </row>
    <row r="83">
      <c r="A83" t="inlineStr">
        <is>
          <t>Nickeil Alexander-Walker</t>
        </is>
      </c>
      <c r="B83" t="inlineStr">
        <is>
          <t>ATL</t>
        </is>
      </c>
      <c r="C83" t="inlineStr">
        <is>
          <t>PG,SG</t>
        </is>
      </c>
      <c r="D83" t="n">
        <v>79</v>
      </c>
      <c r="E83" t="n">
        <v>30.3</v>
      </c>
      <c r="F83" t="n">
        <v>78</v>
      </c>
      <c r="G83" t="n">
        <v>33.4</v>
      </c>
      <c r="H83" s="8">
        <f>IF(G83="","",E83-G83)</f>
        <v/>
      </c>
      <c r="I83" t="inlineStr">
        <is>
          <t>Day-To-Day</t>
        </is>
      </c>
      <c r="J83" s="9" t="n">
        <v>46307</v>
      </c>
      <c r="K83">
        <f>IF(J83="",0,COUNTIFS(Schedule!$B:$B,B83,Schedule!$A:$A,"&lt;"&amp;J83))</f>
        <v/>
      </c>
      <c r="L83">
        <f>82-K83</f>
        <v/>
      </c>
      <c r="M83" s="2" t="n"/>
      <c r="N83" s="2" t="n"/>
      <c r="O83">
        <f>IF(M83&lt;&gt;"",M83,MIN(D83,L83))</f>
        <v/>
      </c>
      <c r="P83">
        <f>IF(N83&lt;&gt;"",N83,E83)</f>
        <v/>
      </c>
      <c r="Q83" t="inlineStr">
        <is>
          <t>2026-10-10: Alexander-Walker (rest) won't suit up for Saturday's preseason game in Indiana, Brad Rowland of the Locked On Podcast Network reports.</t>
        </is>
      </c>
    </row>
    <row r="84">
      <c r="A84" t="inlineStr">
        <is>
          <t>Chet Holmgren</t>
        </is>
      </c>
      <c r="B84" t="inlineStr">
        <is>
          <t>OKC</t>
        </is>
      </c>
      <c r="C84" t="inlineStr">
        <is>
          <t>PF,C</t>
        </is>
      </c>
      <c r="D84" t="n">
        <v>72</v>
      </c>
      <c r="E84" t="n">
        <v>28.6</v>
      </c>
      <c r="F84" t="n">
        <v>69</v>
      </c>
      <c r="G84" t="n">
        <v>28.9</v>
      </c>
      <c r="H84" s="8">
        <f>IF(G84="","",E84-G84)</f>
        <v/>
      </c>
      <c r="I84" t="inlineStr">
        <is>
          <t>Day-To-Day</t>
        </is>
      </c>
      <c r="J84" s="9" t="n">
        <v>46308</v>
      </c>
      <c r="K84">
        <f>IF(J84="",0,COUNTIFS(Schedule!$B:$B,B84,Schedule!$A:$A,"&lt;"&amp;J84))</f>
        <v/>
      </c>
      <c r="L84">
        <f>82-K84</f>
        <v/>
      </c>
      <c r="M84" s="2" t="n"/>
      <c r="N84" s="2" t="n"/>
      <c r="O84">
        <f>IF(M84&lt;&gt;"",M84,MIN(D84,L84))</f>
        <v/>
      </c>
      <c r="P84">
        <f>IF(N84&lt;&gt;"",N84,E84)</f>
        <v/>
      </c>
      <c r="Q84" t="inlineStr">
        <is>
          <t>2026-10-10: Holmgren (quadriceps) won't play in Monday's preseason game against the Hawks, Clemente Almanza of USA Today reports.</t>
        </is>
      </c>
    </row>
    <row r="85">
      <c r="A85" t="inlineStr">
        <is>
          <t>John Collins</t>
        </is>
      </c>
      <c r="B85" t="inlineStr">
        <is>
          <t>DET</t>
        </is>
      </c>
      <c r="C85" t="inlineStr">
        <is>
          <t>PF,C</t>
        </is>
      </c>
      <c r="D85" t="n">
        <v>73</v>
      </c>
      <c r="E85" t="n">
        <v>29.5</v>
      </c>
      <c r="F85" t="n">
        <v>69</v>
      </c>
      <c r="G85" t="n">
        <v>27.1</v>
      </c>
      <c r="H85" s="8">
        <f>IF(G85="","",E85-G85)</f>
        <v/>
      </c>
      <c r="J85" s="9" t="n"/>
      <c r="K85">
        <f>IF(J85="",0,COUNTIFS(Schedule!$B:$B,B85,Schedule!$A:$A,"&lt;"&amp;J85))</f>
        <v/>
      </c>
      <c r="L85">
        <f>82-K85</f>
        <v/>
      </c>
      <c r="M85" s="2" t="n"/>
      <c r="N85" s="2" t="n"/>
      <c r="O85">
        <f>IF(M85&lt;&gt;"",M85,MIN(D85,L85))</f>
        <v/>
      </c>
      <c r="P85">
        <f>IF(N85&lt;&gt;"",N85,E85)</f>
        <v/>
      </c>
    </row>
    <row r="86">
      <c r="A86" t="inlineStr">
        <is>
          <t>Caleb Wilson</t>
        </is>
      </c>
      <c r="B86" t="inlineStr">
        <is>
          <t>CHI</t>
        </is>
      </c>
      <c r="C86" t="inlineStr">
        <is>
          <t>PF,SF</t>
        </is>
      </c>
      <c r="D86" t="n">
        <v>75</v>
      </c>
      <c r="E86" t="n">
        <v>32.2</v>
      </c>
      <c r="H86" s="8">
        <f>IF(G86="","",E86-G86)</f>
        <v/>
      </c>
      <c r="J86" s="9" t="n"/>
      <c r="K86">
        <f>IF(J86="",0,COUNTIFS(Schedule!$B:$B,B86,Schedule!$A:$A,"&lt;"&amp;J86))</f>
        <v/>
      </c>
      <c r="L86">
        <f>82-K86</f>
        <v/>
      </c>
      <c r="M86" s="2" t="n"/>
      <c r="N86" s="2" t="n"/>
      <c r="O86">
        <f>IF(M86&lt;&gt;"",M86,MIN(D86,L86))</f>
        <v/>
      </c>
      <c r="P86">
        <f>IF(N86&lt;&gt;"",N86,E86)</f>
        <v/>
      </c>
      <c r="Q86" t="inlineStr">
        <is>
          <t>Expected 30+ minutes at PF</t>
        </is>
      </c>
    </row>
    <row r="87">
      <c r="A87" t="inlineStr">
        <is>
          <t>Andrew Wiggins</t>
        </is>
      </c>
      <c r="B87" t="inlineStr">
        <is>
          <t>MIA</t>
        </is>
      </c>
      <c r="C87" t="inlineStr">
        <is>
          <t>PF,SF,SG</t>
        </is>
      </c>
      <c r="D87" t="n">
        <v>73</v>
      </c>
      <c r="E87" t="n">
        <v>30.3</v>
      </c>
      <c r="F87" t="n">
        <v>68</v>
      </c>
      <c r="G87" t="n">
        <v>30.3</v>
      </c>
      <c r="H87" s="8">
        <f>IF(G87="","",E87-G87)</f>
        <v/>
      </c>
      <c r="I87" t="inlineStr">
        <is>
          <t>Day-To-Day</t>
        </is>
      </c>
      <c r="J87" s="9" t="n">
        <v>46309</v>
      </c>
      <c r="K87">
        <f>IF(J87="",0,COUNTIFS(Schedule!$B:$B,B87,Schedule!$A:$A,"&lt;"&amp;J87))</f>
        <v/>
      </c>
      <c r="L87">
        <f>82-K87</f>
        <v/>
      </c>
      <c r="M87" s="2" t="n"/>
      <c r="N87" s="2" t="n"/>
      <c r="O87">
        <f>IF(M87&lt;&gt;"",M87,MIN(D87,L87))</f>
        <v/>
      </c>
      <c r="P87">
        <f>IF(N87&lt;&gt;"",N87,E87)</f>
        <v/>
      </c>
      <c r="Q87" t="inlineStr">
        <is>
          <t>2026-10-10: Wiggins (rest) won't play in Saturday's preseason game against the Timberwolves, Eric Nehm of The Athletic reports.</t>
        </is>
      </c>
    </row>
    <row r="88">
      <c r="A88" t="inlineStr">
        <is>
          <t>Ivica Zubac</t>
        </is>
      </c>
      <c r="B88" t="inlineStr">
        <is>
          <t>IND</t>
        </is>
      </c>
      <c r="C88" t="inlineStr">
        <is>
          <t>C</t>
        </is>
      </c>
      <c r="D88" t="n">
        <v>74</v>
      </c>
      <c r="E88" t="n">
        <v>31.2</v>
      </c>
      <c r="F88" t="n">
        <v>48</v>
      </c>
      <c r="G88" t="n">
        <v>30.1</v>
      </c>
      <c r="H88" s="8">
        <f>IF(G88="","",E88-G88)</f>
        <v/>
      </c>
      <c r="J88" s="9" t="n"/>
      <c r="K88">
        <f>IF(J88="",0,COUNTIFS(Schedule!$B:$B,B88,Schedule!$A:$A,"&lt;"&amp;J88))</f>
        <v/>
      </c>
      <c r="L88">
        <f>82-K88</f>
        <v/>
      </c>
      <c r="M88" s="2" t="n"/>
      <c r="N88" s="2" t="n"/>
      <c r="O88">
        <f>IF(M88&lt;&gt;"",M88,MIN(D88,L88))</f>
        <v/>
      </c>
      <c r="P88">
        <f>IF(N88&lt;&gt;"",N88,E88)</f>
        <v/>
      </c>
    </row>
    <row r="89">
      <c r="A89" t="inlineStr">
        <is>
          <t>Collin Sexton</t>
        </is>
      </c>
      <c r="B89" t="inlineStr">
        <is>
          <t>LAL</t>
        </is>
      </c>
      <c r="C89" t="inlineStr">
        <is>
          <t>PG,SG</t>
        </is>
      </c>
      <c r="D89" t="n">
        <v>75</v>
      </c>
      <c r="E89" t="n">
        <v>24.4</v>
      </c>
      <c r="F89" t="n">
        <v>68</v>
      </c>
      <c r="G89" t="n">
        <v>23.7</v>
      </c>
      <c r="H89" s="8">
        <f>IF(G89="","",E89-G89)</f>
        <v/>
      </c>
      <c r="I89" t="inlineStr">
        <is>
          <t>Day-To-Day</t>
        </is>
      </c>
      <c r="J89" s="9" t="n">
        <v>46308</v>
      </c>
      <c r="K89">
        <f>IF(J89="",0,COUNTIFS(Schedule!$B:$B,B89,Schedule!$A:$A,"&lt;"&amp;J89))</f>
        <v/>
      </c>
      <c r="L89">
        <f>82-K89</f>
        <v/>
      </c>
      <c r="M89" s="2" t="n"/>
      <c r="N89" s="2" t="n"/>
      <c r="O89">
        <f>IF(M89&lt;&gt;"",M89,MIN(D89,L89))</f>
        <v/>
      </c>
      <c r="P89">
        <f>IF(N89&lt;&gt;"",N89,E89)</f>
        <v/>
      </c>
      <c r="Q89" t="inlineStr">
        <is>
          <t>2026-10-10: Lakers head coach JJ Redick said Saturday that Sexton is day-to-day due to a lower-leg injury, Jovan Buha of The Athletic reports.</t>
        </is>
      </c>
    </row>
    <row r="90">
      <c r="A90" t="inlineStr">
        <is>
          <t>Mikel Brown Jr.</t>
        </is>
      </c>
      <c r="B90" t="inlineStr">
        <is>
          <t>BKN</t>
        </is>
      </c>
      <c r="C90" t="inlineStr">
        <is>
          <t>PG</t>
        </is>
      </c>
      <c r="D90" t="n">
        <v>75</v>
      </c>
      <c r="E90" t="n">
        <v>31.3</v>
      </c>
      <c r="H90" s="8">
        <f>IF(G90="","",E90-G90)</f>
        <v/>
      </c>
      <c r="I90" t="inlineStr">
        <is>
          <t>Day-To-Day</t>
        </is>
      </c>
      <c r="J90" s="9" t="n">
        <v>46307</v>
      </c>
      <c r="K90">
        <f>IF(J90="",0,COUNTIFS(Schedule!$B:$B,B90,Schedule!$A:$A,"&lt;"&amp;J90))</f>
        <v/>
      </c>
      <c r="L90">
        <f>82-K90</f>
        <v/>
      </c>
      <c r="M90" s="2" t="n"/>
      <c r="N90" s="2" t="n"/>
      <c r="O90">
        <f>IF(M90&lt;&gt;"",M90,MIN(D90,L90))</f>
        <v/>
      </c>
      <c r="P90">
        <f>IF(N90&lt;&gt;"",N90,E90)</f>
        <v/>
      </c>
      <c r="Q90" t="inlineStr">
        <is>
          <t>2026-10-08: Brown (ankle) will miss Thursday's preseason game against Philadelphia, Brian Lewis of the New York Post reports.</t>
        </is>
      </c>
    </row>
    <row r="91">
      <c r="A91" t="inlineStr">
        <is>
          <t>VJ Edgecombe</t>
        </is>
      </c>
      <c r="B91" t="inlineStr">
        <is>
          <t>PHI</t>
        </is>
      </c>
      <c r="C91" t="inlineStr">
        <is>
          <t>PG,SG</t>
        </is>
      </c>
      <c r="D91" t="n">
        <v>75</v>
      </c>
      <c r="E91" t="n">
        <v>34.6</v>
      </c>
      <c r="F91" t="n">
        <v>75</v>
      </c>
      <c r="G91" t="n">
        <v>35</v>
      </c>
      <c r="H91" s="8">
        <f>IF(G91="","",E91-G91)</f>
        <v/>
      </c>
      <c r="J91" s="9" t="n"/>
      <c r="K91">
        <f>IF(J91="",0,COUNTIFS(Schedule!$B:$B,B91,Schedule!$A:$A,"&lt;"&amp;J91))</f>
        <v/>
      </c>
      <c r="L91">
        <f>82-K91</f>
        <v/>
      </c>
      <c r="M91" s="2" t="n"/>
      <c r="N91" s="2" t="n"/>
      <c r="O91">
        <f>IF(M91&lt;&gt;"",M91,MIN(D91,L91))</f>
        <v/>
      </c>
      <c r="P91">
        <f>IF(N91&lt;&gt;"",N91,E91)</f>
        <v/>
      </c>
      <c r="Q91" t="inlineStr">
        <is>
          <t>Role change with LeBron and Brown arrivals (ESPN fade)</t>
        </is>
      </c>
    </row>
    <row r="92">
      <c r="A92" t="inlineStr">
        <is>
          <t>Matas Buzelis</t>
        </is>
      </c>
      <c r="B92" t="inlineStr">
        <is>
          <t>CHI</t>
        </is>
      </c>
      <c r="C92" t="inlineStr">
        <is>
          <t>SF,PF</t>
        </is>
      </c>
      <c r="D92" t="n">
        <v>76</v>
      </c>
      <c r="E92" t="n">
        <v>30.6</v>
      </c>
      <c r="F92" t="n">
        <v>77</v>
      </c>
      <c r="G92" t="n">
        <v>29.2</v>
      </c>
      <c r="H92" s="8">
        <f>IF(G92="","",E92-G92)</f>
        <v/>
      </c>
      <c r="J92" s="9" t="n"/>
      <c r="K92">
        <f>IF(J92="",0,COUNTIFS(Schedule!$B:$B,B92,Schedule!$A:$A,"&lt;"&amp;J92))</f>
        <v/>
      </c>
      <c r="L92">
        <f>82-K92</f>
        <v/>
      </c>
      <c r="M92" s="2" t="n"/>
      <c r="N92" s="2" t="n"/>
      <c r="O92">
        <f>IF(M92&lt;&gt;"",M92,MIN(D92,L92))</f>
        <v/>
      </c>
      <c r="P92">
        <f>IF(N92&lt;&gt;"",N92,E92)</f>
        <v/>
      </c>
    </row>
    <row r="93">
      <c r="A93" t="inlineStr">
        <is>
          <t>Mikal Bridges</t>
        </is>
      </c>
      <c r="B93" t="inlineStr">
        <is>
          <t>NYK</t>
        </is>
      </c>
      <c r="C93" t="inlineStr">
        <is>
          <t>PF,SF,SG</t>
        </is>
      </c>
      <c r="D93" t="n">
        <v>80</v>
      </c>
      <c r="E93" t="n">
        <v>34.7</v>
      </c>
      <c r="F93" t="n">
        <v>82</v>
      </c>
      <c r="G93" t="n">
        <v>32.8</v>
      </c>
      <c r="H93" s="8">
        <f>IF(G93="","",E93-G93)</f>
        <v/>
      </c>
      <c r="J93" s="9" t="n"/>
      <c r="K93">
        <f>IF(J93="",0,COUNTIFS(Schedule!$B:$B,B93,Schedule!$A:$A,"&lt;"&amp;J93))</f>
        <v/>
      </c>
      <c r="L93">
        <f>82-K93</f>
        <v/>
      </c>
      <c r="M93" s="2" t="n"/>
      <c r="N93" s="2" t="n"/>
      <c r="O93">
        <f>IF(M93&lt;&gt;"",M93,MIN(D93,L93))</f>
        <v/>
      </c>
      <c r="P93">
        <f>IF(N93&lt;&gt;"",N93,E93)</f>
        <v/>
      </c>
    </row>
    <row r="94">
      <c r="A94" t="inlineStr">
        <is>
          <t>Jarrett Allen</t>
        </is>
      </c>
      <c r="B94" t="inlineStr">
        <is>
          <t>CLE</t>
        </is>
      </c>
      <c r="C94" t="inlineStr">
        <is>
          <t>C</t>
        </is>
      </c>
      <c r="D94" t="n">
        <v>75</v>
      </c>
      <c r="E94" t="n">
        <v>29.2</v>
      </c>
      <c r="F94" t="n">
        <v>56</v>
      </c>
      <c r="G94" t="n">
        <v>27.1</v>
      </c>
      <c r="H94" s="8">
        <f>IF(G94="","",E94-G94)</f>
        <v/>
      </c>
      <c r="J94" s="9" t="n"/>
      <c r="K94">
        <f>IF(J94="",0,COUNTIFS(Schedule!$B:$B,B94,Schedule!$A:$A,"&lt;"&amp;J94))</f>
        <v/>
      </c>
      <c r="L94">
        <f>82-K94</f>
        <v/>
      </c>
      <c r="M94" s="2" t="n"/>
      <c r="N94" s="2" t="n"/>
      <c r="O94">
        <f>IF(M94&lt;&gt;"",M94,MIN(D94,L94))</f>
        <v/>
      </c>
      <c r="P94">
        <f>IF(N94&lt;&gt;"",N94,E94)</f>
        <v/>
      </c>
    </row>
    <row r="95">
      <c r="A95" t="inlineStr">
        <is>
          <t>Alex Sarr</t>
        </is>
      </c>
      <c r="B95" t="inlineStr">
        <is>
          <t>WAS</t>
        </is>
      </c>
      <c r="C95" t="inlineStr">
        <is>
          <t>C,PF</t>
        </is>
      </c>
      <c r="D95" t="n">
        <v>72</v>
      </c>
      <c r="E95" t="n">
        <v>28</v>
      </c>
      <c r="F95" t="n">
        <v>48</v>
      </c>
      <c r="G95" t="n">
        <v>27.2</v>
      </c>
      <c r="H95" s="8">
        <f>IF(G95="","",E95-G95)</f>
        <v/>
      </c>
      <c r="J95" s="9" t="n"/>
      <c r="K95">
        <f>IF(J95="",0,COUNTIFS(Schedule!$B:$B,B95,Schedule!$A:$A,"&lt;"&amp;J95))</f>
        <v/>
      </c>
      <c r="L95">
        <f>82-K95</f>
        <v/>
      </c>
      <c r="M95" s="2" t="n"/>
      <c r="N95" s="2" t="n"/>
      <c r="O95">
        <f>IF(M95&lt;&gt;"",M95,MIN(D95,L95))</f>
        <v/>
      </c>
      <c r="P95">
        <f>IF(N95&lt;&gt;"",N95,E95)</f>
        <v/>
      </c>
    </row>
    <row r="96">
      <c r="A96" t="inlineStr">
        <is>
          <t>Dylan Harper</t>
        </is>
      </c>
      <c r="B96" t="inlineStr">
        <is>
          <t>SAS</t>
        </is>
      </c>
      <c r="C96" t="inlineStr">
        <is>
          <t>PG,SG</t>
        </is>
      </c>
      <c r="D96" t="n">
        <v>75</v>
      </c>
      <c r="E96" t="n">
        <v>28.9</v>
      </c>
      <c r="F96" t="n">
        <v>69</v>
      </c>
      <c r="G96" t="n">
        <v>22.6</v>
      </c>
      <c r="H96" s="8">
        <f>IF(G96="","",E96-G96)</f>
        <v/>
      </c>
      <c r="J96" s="9" t="n"/>
      <c r="K96">
        <f>IF(J96="",0,COUNTIFS(Schedule!$B:$B,B96,Schedule!$A:$A,"&lt;"&amp;J96))</f>
        <v/>
      </c>
      <c r="L96">
        <f>82-K96</f>
        <v/>
      </c>
      <c r="M96" s="2" t="n"/>
      <c r="N96" s="2" t="n"/>
      <c r="O96">
        <f>IF(M96&lt;&gt;"",M96,MIN(D96,L96))</f>
        <v/>
      </c>
      <c r="P96">
        <f>IF(N96&lt;&gt;"",N96,E96)</f>
        <v/>
      </c>
    </row>
    <row r="97">
      <c r="A97" t="inlineStr">
        <is>
          <t>Aaron Gordon</t>
        </is>
      </c>
      <c r="B97" t="inlineStr">
        <is>
          <t>DEN</t>
        </is>
      </c>
      <c r="C97" t="inlineStr">
        <is>
          <t>PF,C</t>
        </is>
      </c>
      <c r="D97" t="n">
        <v>72</v>
      </c>
      <c r="E97" t="n">
        <v>29.4</v>
      </c>
      <c r="F97" t="n">
        <v>36</v>
      </c>
      <c r="G97" t="n">
        <v>27.9</v>
      </c>
      <c r="H97" s="8">
        <f>IF(G97="","",E97-G97)</f>
        <v/>
      </c>
      <c r="J97" s="9" t="n"/>
      <c r="K97">
        <f>IF(J97="",0,COUNTIFS(Schedule!$B:$B,B97,Schedule!$A:$A,"&lt;"&amp;J97))</f>
        <v/>
      </c>
      <c r="L97">
        <f>82-K97</f>
        <v/>
      </c>
      <c r="M97" s="2" t="n"/>
      <c r="N97" s="2" t="n"/>
      <c r="O97">
        <f>IF(M97&lt;&gt;"",M97,MIN(D97,L97))</f>
        <v/>
      </c>
      <c r="P97">
        <f>IF(N97&lt;&gt;"",N97,E97)</f>
        <v/>
      </c>
    </row>
    <row r="98">
      <c r="A98" t="inlineStr">
        <is>
          <t>Naz Reid</t>
        </is>
      </c>
      <c r="B98" t="inlineStr">
        <is>
          <t>CHA</t>
        </is>
      </c>
      <c r="C98" t="inlineStr">
        <is>
          <t>PF,C</t>
        </is>
      </c>
      <c r="D98" t="n">
        <v>77</v>
      </c>
      <c r="E98" t="n">
        <v>29.1</v>
      </c>
      <c r="F98" t="n">
        <v>77</v>
      </c>
      <c r="G98" t="n">
        <v>26.1</v>
      </c>
      <c r="H98" s="8">
        <f>IF(G98="","",E98-G98)</f>
        <v/>
      </c>
      <c r="J98" s="9" t="n"/>
      <c r="K98">
        <f>IF(J98="",0,COUNTIFS(Schedule!$B:$B,B98,Schedule!$A:$A,"&lt;"&amp;J98))</f>
        <v/>
      </c>
      <c r="L98">
        <f>82-K98</f>
        <v/>
      </c>
      <c r="M98" s="2" t="n"/>
      <c r="N98" s="2" t="n"/>
      <c r="O98">
        <f>IF(M98&lt;&gt;"",M98,MIN(D98,L98))</f>
        <v/>
      </c>
      <c r="P98">
        <f>IF(N98&lt;&gt;"",N98,E98)</f>
        <v/>
      </c>
    </row>
    <row r="99">
      <c r="A99" t="inlineStr">
        <is>
          <t>Jonathan Kuminga</t>
        </is>
      </c>
      <c r="B99" t="inlineStr">
        <is>
          <t>MIN</t>
        </is>
      </c>
      <c r="C99" t="inlineStr">
        <is>
          <t>PF,SF</t>
        </is>
      </c>
      <c r="D99" t="n">
        <v>72</v>
      </c>
      <c r="E99" t="n">
        <v>25.7</v>
      </c>
      <c r="F99" t="n">
        <v>36</v>
      </c>
      <c r="G99" t="n">
        <v>23.1</v>
      </c>
      <c r="H99" s="8">
        <f>IF(G99="","",E99-G99)</f>
        <v/>
      </c>
      <c r="I99" t="inlineStr">
        <is>
          <t>Day-To-Day</t>
        </is>
      </c>
      <c r="J99" s="9" t="n">
        <v>46307</v>
      </c>
      <c r="K99">
        <f>IF(J99="",0,COUNTIFS(Schedule!$B:$B,B99,Schedule!$A:$A,"&lt;"&amp;J99))</f>
        <v/>
      </c>
      <c r="L99">
        <f>82-K99</f>
        <v/>
      </c>
      <c r="M99" s="2" t="n"/>
      <c r="N99" s="2" t="n"/>
      <c r="O99">
        <f>IF(M99&lt;&gt;"",M99,MIN(D99,L99))</f>
        <v/>
      </c>
      <c r="P99">
        <f>IF(N99&lt;&gt;"",N99,E99)</f>
        <v/>
      </c>
      <c r="Q99" t="inlineStr">
        <is>
          <t>2026-10-10: Kuminga (rest) is not available against the Heat on Saturday.</t>
        </is>
      </c>
    </row>
    <row r="100">
      <c r="A100" t="inlineStr">
        <is>
          <t>De'Andre Hunter</t>
        </is>
      </c>
      <c r="B100" t="inlineStr">
        <is>
          <t>SAC</t>
        </is>
      </c>
      <c r="C100" t="inlineStr">
        <is>
          <t>SF,PF</t>
        </is>
      </c>
      <c r="D100" t="n">
        <v>72</v>
      </c>
      <c r="E100" t="n">
        <v>26.9</v>
      </c>
      <c r="F100" t="n">
        <v>45</v>
      </c>
      <c r="G100" t="n">
        <v>26.1</v>
      </c>
      <c r="H100" s="8">
        <f>IF(G100="","",E100-G100)</f>
        <v/>
      </c>
      <c r="J100" s="9" t="n"/>
      <c r="K100">
        <f>IF(J100="",0,COUNTIFS(Schedule!$B:$B,B100,Schedule!$A:$A,"&lt;"&amp;J100))</f>
        <v/>
      </c>
      <c r="L100">
        <f>82-K100</f>
        <v/>
      </c>
      <c r="M100" s="2" t="n"/>
      <c r="N100" s="2" t="n"/>
      <c r="O100">
        <f>IF(M100&lt;&gt;"",M100,MIN(D100,L100))</f>
        <v/>
      </c>
      <c r="P100">
        <f>IF(N100&lt;&gt;"",N100,E100)</f>
        <v/>
      </c>
    </row>
    <row r="101">
      <c r="A101" t="inlineStr">
        <is>
          <t>Jerami Grant</t>
        </is>
      </c>
      <c r="B101" t="inlineStr">
        <is>
          <t>MEM</t>
        </is>
      </c>
      <c r="C101" t="inlineStr">
        <is>
          <t>SF,PF</t>
        </is>
      </c>
      <c r="D101" t="n">
        <v>73</v>
      </c>
      <c r="E101" t="n">
        <v>26.4</v>
      </c>
      <c r="F101" t="n">
        <v>57</v>
      </c>
      <c r="G101" t="n">
        <v>29.7</v>
      </c>
      <c r="H101" s="8">
        <f>IF(G101="","",E101-G101)</f>
        <v/>
      </c>
      <c r="J101" s="9" t="n"/>
      <c r="K101">
        <f>IF(J101="",0,COUNTIFS(Schedule!$B:$B,B101,Schedule!$A:$A,"&lt;"&amp;J101))</f>
        <v/>
      </c>
      <c r="L101">
        <f>82-K101</f>
        <v/>
      </c>
      <c r="M101" s="2" t="n"/>
      <c r="N101" s="2" t="n"/>
      <c r="O101">
        <f>IF(M101&lt;&gt;"",M101,MIN(D101,L101))</f>
        <v/>
      </c>
      <c r="P101">
        <f>IF(N101&lt;&gt;"",N101,E101)</f>
        <v/>
      </c>
    </row>
    <row r="102">
      <c r="A102" t="inlineStr">
        <is>
          <t>Keaton Wagler</t>
        </is>
      </c>
      <c r="B102" t="inlineStr">
        <is>
          <t>LAC</t>
        </is>
      </c>
      <c r="C102" t="inlineStr">
        <is>
          <t>PG,SG</t>
        </is>
      </c>
      <c r="D102" t="n">
        <v>74</v>
      </c>
      <c r="E102" t="n">
        <v>27.2</v>
      </c>
      <c r="H102" s="8">
        <f>IF(G102="","",E102-G102)</f>
        <v/>
      </c>
      <c r="J102" s="9" t="n"/>
      <c r="K102">
        <f>IF(J102="",0,COUNTIFS(Schedule!$B:$B,B102,Schedule!$A:$A,"&lt;"&amp;J102))</f>
        <v/>
      </c>
      <c r="L102">
        <f>82-K102</f>
        <v/>
      </c>
      <c r="M102" s="2" t="n"/>
      <c r="N102" s="2" t="n"/>
      <c r="O102">
        <f>IF(M102&lt;&gt;"",M102,MIN(D102,L102))</f>
        <v/>
      </c>
      <c r="P102">
        <f>IF(N102&lt;&gt;"",N102,E102)</f>
        <v/>
      </c>
    </row>
    <row r="103">
      <c r="A103" t="inlineStr">
        <is>
          <t>Ayo Dosunmu</t>
        </is>
      </c>
      <c r="B103" t="inlineStr">
        <is>
          <t>MIN</t>
        </is>
      </c>
      <c r="C103" t="inlineStr">
        <is>
          <t>PG,SF,SG</t>
        </is>
      </c>
      <c r="D103" t="n">
        <v>75</v>
      </c>
      <c r="E103" t="n">
        <v>29</v>
      </c>
      <c r="F103" t="n">
        <v>69</v>
      </c>
      <c r="G103" t="n">
        <v>27.3</v>
      </c>
      <c r="H103" s="8">
        <f>IF(G103="","",E103-G103)</f>
        <v/>
      </c>
      <c r="I103" t="inlineStr">
        <is>
          <t>Day-To-Day</t>
        </is>
      </c>
      <c r="J103" s="9" t="n">
        <v>46307</v>
      </c>
      <c r="K103">
        <f>IF(J103="",0,COUNTIFS(Schedule!$B:$B,B103,Schedule!$A:$A,"&lt;"&amp;J103))</f>
        <v/>
      </c>
      <c r="L103">
        <f>82-K103</f>
        <v/>
      </c>
      <c r="M103" s="2" t="n"/>
      <c r="N103" s="2" t="n"/>
      <c r="O103">
        <f>IF(M103&lt;&gt;"",M103,MIN(D103,L103))</f>
        <v/>
      </c>
      <c r="P103">
        <f>IF(N103&lt;&gt;"",N103,E103)</f>
        <v/>
      </c>
      <c r="Q103" t="inlineStr">
        <is>
          <t>2026-10-10: Dosunmu (rest) has been ruled out for Saturday's preseason game against Miami.</t>
        </is>
      </c>
    </row>
    <row r="104">
      <c r="A104" t="inlineStr">
        <is>
          <t>Onyeka Okongwu</t>
        </is>
      </c>
      <c r="B104" t="inlineStr">
        <is>
          <t>ATL</t>
        </is>
      </c>
      <c r="C104" t="inlineStr">
        <is>
          <t>C</t>
        </is>
      </c>
      <c r="D104" t="n">
        <v>75</v>
      </c>
      <c r="E104" t="n">
        <v>30.2</v>
      </c>
      <c r="F104" t="n">
        <v>74</v>
      </c>
      <c r="G104" t="n">
        <v>31</v>
      </c>
      <c r="H104" s="8">
        <f>IF(G104="","",E104-G104)</f>
        <v/>
      </c>
      <c r="J104" s="9" t="n"/>
      <c r="K104">
        <f>IF(J104="",0,COUNTIFS(Schedule!$B:$B,B104,Schedule!$A:$A,"&lt;"&amp;J104))</f>
        <v/>
      </c>
      <c r="L104">
        <f>82-K104</f>
        <v/>
      </c>
      <c r="M104" s="2" t="n"/>
      <c r="N104" s="2" t="n"/>
      <c r="O104">
        <f>IF(M104&lt;&gt;"",M104,MIN(D104,L104))</f>
        <v/>
      </c>
      <c r="P104">
        <f>IF(N104&lt;&gt;"",N104,E104)</f>
        <v/>
      </c>
    </row>
    <row r="105">
      <c r="A105" t="inlineStr">
        <is>
          <t>Tobias Harris</t>
        </is>
      </c>
      <c r="B105" t="inlineStr">
        <is>
          <t>SAS</t>
        </is>
      </c>
      <c r="C105" t="inlineStr">
        <is>
          <t>PF,SF</t>
        </is>
      </c>
      <c r="D105" t="n">
        <v>75</v>
      </c>
      <c r="E105" t="n">
        <v>30.4</v>
      </c>
      <c r="F105" t="n">
        <v>63</v>
      </c>
      <c r="G105" t="n">
        <v>27.7</v>
      </c>
      <c r="H105" s="8">
        <f>IF(G105="","",E105-G105)</f>
        <v/>
      </c>
      <c r="I105" t="inlineStr">
        <is>
          <t>Day-To-Day</t>
        </is>
      </c>
      <c r="J105" s="9" t="n">
        <v>46315</v>
      </c>
      <c r="K105">
        <f>IF(J105="",0,COUNTIFS(Schedule!$B:$B,B105,Schedule!$A:$A,"&lt;"&amp;J105))</f>
        <v/>
      </c>
      <c r="L105">
        <f>82-K105</f>
        <v/>
      </c>
      <c r="M105" s="2" t="n"/>
      <c r="N105" s="2" t="n"/>
      <c r="O105">
        <f>IF(M105&lt;&gt;"",M105,MIN(D105,L105))</f>
        <v/>
      </c>
      <c r="P105">
        <f>IF(N105&lt;&gt;"",N105,E105)</f>
        <v/>
      </c>
      <c r="Q105" t="inlineStr">
        <is>
          <t>2026-10-05: Spurs head coach Mitch Johnson said they will not rush Tobias Harris (calf) back to the court, Jared Weiss of The Athletic reports.</t>
        </is>
      </c>
    </row>
    <row r="106">
      <c r="A106" t="inlineStr">
        <is>
          <t>Cedric Coward</t>
        </is>
      </c>
      <c r="B106" t="inlineStr">
        <is>
          <t>MEM</t>
        </is>
      </c>
      <c r="C106" t="inlineStr">
        <is>
          <t>SF,SG</t>
        </is>
      </c>
      <c r="D106" t="n">
        <v>74</v>
      </c>
      <c r="E106" t="n">
        <v>27.3</v>
      </c>
      <c r="F106" t="n">
        <v>62</v>
      </c>
      <c r="G106" t="n">
        <v>25.8</v>
      </c>
      <c r="H106" s="8">
        <f>IF(G106="","",E106-G106)</f>
        <v/>
      </c>
      <c r="J106" s="9" t="n"/>
      <c r="K106">
        <f>IF(J106="",0,COUNTIFS(Schedule!$B:$B,B106,Schedule!$A:$A,"&lt;"&amp;J106))</f>
        <v/>
      </c>
      <c r="L106">
        <f>82-K106</f>
        <v/>
      </c>
      <c r="M106" s="2" t="n"/>
      <c r="N106" s="2" t="n"/>
      <c r="O106">
        <f>IF(M106&lt;&gt;"",M106,MIN(D106,L106))</f>
        <v/>
      </c>
      <c r="P106">
        <f>IF(N106&lt;&gt;"",N106,E106)</f>
        <v/>
      </c>
      <c r="Q106" t="inlineStr">
        <is>
          <t>Year-two step forward, starting guard</t>
        </is>
      </c>
    </row>
    <row r="107">
      <c r="A107" t="inlineStr">
        <is>
          <t>Brandin Podziemski</t>
        </is>
      </c>
      <c r="B107" t="inlineStr">
        <is>
          <t>GSW</t>
        </is>
      </c>
      <c r="C107" t="inlineStr">
        <is>
          <t>PG,SG</t>
        </is>
      </c>
      <c r="D107" t="n">
        <v>79</v>
      </c>
      <c r="E107" t="n">
        <v>29.7</v>
      </c>
      <c r="F107" t="n">
        <v>82</v>
      </c>
      <c r="G107" t="n">
        <v>28.5</v>
      </c>
      <c r="H107" s="8">
        <f>IF(G107="","",E107-G107)</f>
        <v/>
      </c>
      <c r="J107" s="9" t="n"/>
      <c r="K107">
        <f>IF(J107="",0,COUNTIFS(Schedule!$B:$B,B107,Schedule!$A:$A,"&lt;"&amp;J107))</f>
        <v/>
      </c>
      <c r="L107">
        <f>82-K107</f>
        <v/>
      </c>
      <c r="M107" s="2" t="n"/>
      <c r="N107" s="2" t="n"/>
      <c r="O107">
        <f>IF(M107&lt;&gt;"",M107,MIN(D107,L107))</f>
        <v/>
      </c>
      <c r="P107">
        <f>IF(N107&lt;&gt;"",N107,E107)</f>
        <v/>
      </c>
    </row>
    <row r="108">
      <c r="A108" t="inlineStr">
        <is>
          <t>Quentin Grimes</t>
        </is>
      </c>
      <c r="B108" t="inlineStr">
        <is>
          <t>LAL</t>
        </is>
      </c>
      <c r="C108" t="inlineStr">
        <is>
          <t>SG,SF</t>
        </is>
      </c>
      <c r="D108" t="n">
        <v>76</v>
      </c>
      <c r="E108" t="n">
        <v>29.2</v>
      </c>
      <c r="F108" t="n">
        <v>75</v>
      </c>
      <c r="G108" t="n">
        <v>29.4</v>
      </c>
      <c r="H108" s="8">
        <f>IF(G108="","",E108-G108)</f>
        <v/>
      </c>
      <c r="J108" s="9" t="n"/>
      <c r="K108">
        <f>IF(J108="",0,COUNTIFS(Schedule!$B:$B,B108,Schedule!$A:$A,"&lt;"&amp;J108))</f>
        <v/>
      </c>
      <c r="L108">
        <f>82-K108</f>
        <v/>
      </c>
      <c r="M108" s="2" t="n"/>
      <c r="N108" s="2" t="n"/>
      <c r="O108">
        <f>IF(M108&lt;&gt;"",M108,MIN(D108,L108))</f>
        <v/>
      </c>
      <c r="P108">
        <f>IF(N108&lt;&gt;"",N108,E108)</f>
        <v/>
      </c>
    </row>
    <row r="109">
      <c r="A109" t="inlineStr">
        <is>
          <t>Cameron Johnson</t>
        </is>
      </c>
      <c r="B109" t="inlineStr">
        <is>
          <t>DEN</t>
        </is>
      </c>
      <c r="C109" t="inlineStr">
        <is>
          <t>PF,SF</t>
        </is>
      </c>
      <c r="D109" t="n">
        <v>73</v>
      </c>
      <c r="E109" t="n">
        <v>30.2</v>
      </c>
      <c r="F109" t="n">
        <v>54</v>
      </c>
      <c r="G109" t="n">
        <v>30.5</v>
      </c>
      <c r="H109" s="8">
        <f>IF(G109="","",E109-G109)</f>
        <v/>
      </c>
      <c r="J109" s="9" t="n"/>
      <c r="K109">
        <f>IF(J109="",0,COUNTIFS(Schedule!$B:$B,B109,Schedule!$A:$A,"&lt;"&amp;J109))</f>
        <v/>
      </c>
      <c r="L109">
        <f>82-K109</f>
        <v/>
      </c>
      <c r="M109" s="2" t="n"/>
      <c r="N109" s="2" t="n"/>
      <c r="O109">
        <f>IF(M109&lt;&gt;"",M109,MIN(D109,L109))</f>
        <v/>
      </c>
      <c r="P109">
        <f>IF(N109&lt;&gt;"",N109,E109)</f>
        <v/>
      </c>
    </row>
    <row r="110">
      <c r="A110" t="inlineStr">
        <is>
          <t>Bennedict Mathurin</t>
        </is>
      </c>
      <c r="B110" t="inlineStr">
        <is>
          <t>NOR</t>
        </is>
      </c>
      <c r="C110" t="inlineStr">
        <is>
          <t>SG,SF</t>
        </is>
      </c>
      <c r="D110" t="n">
        <v>73</v>
      </c>
      <c r="E110" t="n">
        <v>25.2</v>
      </c>
      <c r="F110" t="n">
        <v>54</v>
      </c>
      <c r="G110" t="n">
        <v>30</v>
      </c>
      <c r="H110" s="8">
        <f>IF(G110="","",E110-G110)</f>
        <v/>
      </c>
      <c r="J110" s="9" t="n"/>
      <c r="K110">
        <f>IF(J110="",0,COUNTIFS(Schedule!$B:$B,B110,Schedule!$A:$A,"&lt;"&amp;J110))</f>
        <v/>
      </c>
      <c r="L110">
        <f>82-K110</f>
        <v/>
      </c>
      <c r="M110" s="2" t="n"/>
      <c r="N110" s="2" t="n"/>
      <c r="O110">
        <f>IF(M110&lt;&gt;"",M110,MIN(D110,L110))</f>
        <v/>
      </c>
      <c r="P110">
        <f>IF(N110&lt;&gt;"",N110,E110)</f>
        <v/>
      </c>
    </row>
    <row r="111">
      <c r="A111" t="inlineStr">
        <is>
          <t>Jabari Smith Jr.</t>
        </is>
      </c>
      <c r="B111" t="inlineStr">
        <is>
          <t>HOU</t>
        </is>
      </c>
      <c r="C111" t="inlineStr">
        <is>
          <t>C,PF</t>
        </is>
      </c>
      <c r="D111" t="n">
        <v>76</v>
      </c>
      <c r="E111" t="n">
        <v>32.3</v>
      </c>
      <c r="F111" t="n">
        <v>77</v>
      </c>
      <c r="G111" t="n">
        <v>35.1</v>
      </c>
      <c r="H111" s="8">
        <f>IF(G111="","",E111-G111)</f>
        <v/>
      </c>
      <c r="J111" s="9" t="n"/>
      <c r="K111">
        <f>IF(J111="",0,COUNTIFS(Schedule!$B:$B,B111,Schedule!$A:$A,"&lt;"&amp;J111))</f>
        <v/>
      </c>
      <c r="L111">
        <f>82-K111</f>
        <v/>
      </c>
      <c r="M111" s="2" t="n"/>
      <c r="N111" s="2" t="n"/>
      <c r="O111">
        <f>IF(M111&lt;&gt;"",M111,MIN(D111,L111))</f>
        <v/>
      </c>
      <c r="P111">
        <f>IF(N111&lt;&gt;"",N111,E111)</f>
        <v/>
      </c>
    </row>
    <row r="112">
      <c r="A112" t="inlineStr">
        <is>
          <t>Jaden McDaniels</t>
        </is>
      </c>
      <c r="B112" t="inlineStr">
        <is>
          <t>MIN</t>
        </is>
      </c>
      <c r="C112" t="inlineStr">
        <is>
          <t>PF,SF</t>
        </is>
      </c>
      <c r="D112" t="n">
        <v>76</v>
      </c>
      <c r="E112" t="n">
        <v>31.8</v>
      </c>
      <c r="F112" t="n">
        <v>73</v>
      </c>
      <c r="G112" t="n">
        <v>31.7</v>
      </c>
      <c r="H112" s="8">
        <f>IF(G112="","",E112-G112)</f>
        <v/>
      </c>
      <c r="I112" t="inlineStr">
        <is>
          <t>Day-To-Day</t>
        </is>
      </c>
      <c r="J112" s="9" t="n">
        <v>46307</v>
      </c>
      <c r="K112">
        <f>IF(J112="",0,COUNTIFS(Schedule!$B:$B,B112,Schedule!$A:$A,"&lt;"&amp;J112))</f>
        <v/>
      </c>
      <c r="L112">
        <f>82-K112</f>
        <v/>
      </c>
      <c r="M112" s="2" t="n"/>
      <c r="N112" s="2" t="n"/>
      <c r="O112">
        <f>IF(M112&lt;&gt;"",M112,MIN(D112,L112))</f>
        <v/>
      </c>
      <c r="P112">
        <f>IF(N112&lt;&gt;"",N112,E112)</f>
        <v/>
      </c>
      <c r="Q112" t="inlineStr">
        <is>
          <t>2026-10-10: McDaniels (rest) has been ruled out for Saturday's game against the Heat.</t>
        </is>
      </c>
    </row>
    <row r="113">
      <c r="A113" t="inlineStr">
        <is>
          <t>Saddiq Bey</t>
        </is>
      </c>
      <c r="B113" t="inlineStr">
        <is>
          <t>NOR</t>
        </is>
      </c>
      <c r="C113" t="inlineStr">
        <is>
          <t>SF,PF</t>
        </is>
      </c>
      <c r="D113" t="n">
        <v>75</v>
      </c>
      <c r="E113" t="n">
        <v>25.1</v>
      </c>
      <c r="F113" t="n">
        <v>72</v>
      </c>
      <c r="G113" t="n">
        <v>31.2</v>
      </c>
      <c r="H113" s="8">
        <f>IF(G113="","",E113-G113)</f>
        <v/>
      </c>
      <c r="J113" s="9" t="n"/>
      <c r="K113">
        <f>IF(J113="",0,COUNTIFS(Schedule!$B:$B,B113,Schedule!$A:$A,"&lt;"&amp;J113))</f>
        <v/>
      </c>
      <c r="L113">
        <f>82-K113</f>
        <v/>
      </c>
      <c r="M113" s="2" t="n"/>
      <c r="N113" s="2" t="n"/>
      <c r="O113">
        <f>IF(M113&lt;&gt;"",M113,MIN(D113,L113))</f>
        <v/>
      </c>
      <c r="P113">
        <f>IF(N113&lt;&gt;"",N113,E113)</f>
        <v/>
      </c>
    </row>
    <row r="114">
      <c r="A114" t="inlineStr">
        <is>
          <t>Ace Bailey</t>
        </is>
      </c>
      <c r="B114" t="inlineStr">
        <is>
          <t>UTH</t>
        </is>
      </c>
      <c r="C114" t="inlineStr">
        <is>
          <t>PF,SF</t>
        </is>
      </c>
      <c r="D114" t="n">
        <v>75</v>
      </c>
      <c r="E114" t="n">
        <v>27.9</v>
      </c>
      <c r="F114" t="n">
        <v>72</v>
      </c>
      <c r="G114" t="n">
        <v>27.6</v>
      </c>
      <c r="H114" s="8">
        <f>IF(G114="","",E114-G114)</f>
        <v/>
      </c>
      <c r="J114" s="9" t="n"/>
      <c r="K114">
        <f>IF(J114="",0,COUNTIFS(Schedule!$B:$B,B114,Schedule!$A:$A,"&lt;"&amp;J114))</f>
        <v/>
      </c>
      <c r="L114">
        <f>82-K114</f>
        <v/>
      </c>
      <c r="M114" s="2" t="n"/>
      <c r="N114" s="2" t="n"/>
      <c r="O114">
        <f>IF(M114&lt;&gt;"",M114,MIN(D114,L114))</f>
        <v/>
      </c>
      <c r="P114">
        <f>IF(N114&lt;&gt;"",N114,E114)</f>
        <v/>
      </c>
    </row>
    <row r="115">
      <c r="A115" t="inlineStr">
        <is>
          <t>Shaedon Sharpe</t>
        </is>
      </c>
      <c r="B115" t="inlineStr">
        <is>
          <t>POR</t>
        </is>
      </c>
      <c r="C115" t="inlineStr">
        <is>
          <t>PG,SF,SG</t>
        </is>
      </c>
      <c r="D115" t="n">
        <v>18</v>
      </c>
      <c r="E115" t="n">
        <v>21.9</v>
      </c>
      <c r="F115" t="n">
        <v>50</v>
      </c>
      <c r="G115" t="n">
        <v>29.4</v>
      </c>
      <c r="H115" s="8">
        <f>IF(G115="","",E115-G115)</f>
        <v/>
      </c>
      <c r="I115" t="inlineStr">
        <is>
          <t>Out</t>
        </is>
      </c>
      <c r="J115" s="9" t="n">
        <v>46448</v>
      </c>
      <c r="K115">
        <f>IF(J115="",0,COUNTIFS(Schedule!$B:$B,B115,Schedule!$A:$A,"&lt;"&amp;J115))</f>
        <v/>
      </c>
      <c r="L115">
        <f>82-K115</f>
        <v/>
      </c>
      <c r="M115" s="2" t="n"/>
      <c r="N115" s="2" t="n"/>
      <c r="O115">
        <f>IF(M115&lt;&gt;"",M115,MIN(D115,L115))</f>
        <v/>
      </c>
      <c r="P115">
        <f>IF(N115&lt;&gt;"",N115,E115)</f>
        <v/>
      </c>
      <c r="Q115" t="inlineStr">
        <is>
          <t>2026-08-24: Sharpe suffered a torn meniscus in his knee and is expected to miss six months, per Shams Charania of ESPN.</t>
        </is>
      </c>
    </row>
    <row r="116">
      <c r="A116" t="inlineStr">
        <is>
          <t>P.J. Washington Jr.</t>
        </is>
      </c>
      <c r="B116" t="inlineStr">
        <is>
          <t>DAL</t>
        </is>
      </c>
      <c r="C116" t="inlineStr">
        <is>
          <t>C,PF,SF</t>
        </is>
      </c>
      <c r="D116" t="n">
        <v>71</v>
      </c>
      <c r="E116" t="n">
        <v>30.4</v>
      </c>
      <c r="F116" t="n">
        <v>56</v>
      </c>
      <c r="G116" t="n">
        <v>31</v>
      </c>
      <c r="H116" s="8">
        <f>IF(G116="","",E116-G116)</f>
        <v/>
      </c>
      <c r="J116" s="9" t="n"/>
      <c r="K116">
        <f>IF(J116="",0,COUNTIFS(Schedule!$B:$B,B116,Schedule!$A:$A,"&lt;"&amp;J116))</f>
        <v/>
      </c>
      <c r="L116">
        <f>82-K116</f>
        <v/>
      </c>
      <c r="M116" s="2" t="n"/>
      <c r="N116" s="2" t="n"/>
      <c r="O116">
        <f>IF(M116&lt;&gt;"",M116,MIN(D116,L116))</f>
        <v/>
      </c>
      <c r="P116">
        <f>IF(N116&lt;&gt;"",N116,E116)</f>
        <v/>
      </c>
    </row>
    <row r="117">
      <c r="A117" t="inlineStr">
        <is>
          <t>Jalen Suggs</t>
        </is>
      </c>
      <c r="B117" t="inlineStr">
        <is>
          <t>ORL</t>
        </is>
      </c>
      <c r="C117" t="inlineStr">
        <is>
          <t>PG,SG</t>
        </is>
      </c>
      <c r="D117" t="n">
        <v>70</v>
      </c>
      <c r="E117" t="n">
        <v>27.5</v>
      </c>
      <c r="F117" t="n">
        <v>57</v>
      </c>
      <c r="G117" t="n">
        <v>27.6</v>
      </c>
      <c r="H117" s="8">
        <f>IF(G117="","",E117-G117)</f>
        <v/>
      </c>
      <c r="I117" t="inlineStr">
        <is>
          <t>Day-To-Day</t>
        </is>
      </c>
      <c r="J117" s="9" t="n">
        <v>46308</v>
      </c>
      <c r="K117">
        <f>IF(J117="",0,COUNTIFS(Schedule!$B:$B,B117,Schedule!$A:$A,"&lt;"&amp;J117))</f>
        <v/>
      </c>
      <c r="L117">
        <f>82-K117</f>
        <v/>
      </c>
      <c r="M117" s="2" t="n"/>
      <c r="N117" s="2" t="n"/>
      <c r="O117">
        <f>IF(M117&lt;&gt;"",M117,MIN(D117,L117))</f>
        <v/>
      </c>
      <c r="P117">
        <f>IF(N117&lt;&gt;"",N117,E117)</f>
        <v/>
      </c>
      <c r="Q117" t="inlineStr">
        <is>
          <t>2026-10-11: Suggs is out for Sunday's preseason game against the Cavaliers, Jason Beede of the Orlando Sentinel reports.</t>
        </is>
      </c>
    </row>
    <row r="118">
      <c r="A118" t="inlineStr">
        <is>
          <t>Andrew Nembhard</t>
        </is>
      </c>
      <c r="B118" t="inlineStr">
        <is>
          <t>IND</t>
        </is>
      </c>
      <c r="C118" t="inlineStr">
        <is>
          <t>PG,SG</t>
        </is>
      </c>
      <c r="D118" t="n">
        <v>75</v>
      </c>
      <c r="E118" t="n">
        <v>32.1</v>
      </c>
      <c r="F118" t="n">
        <v>57</v>
      </c>
      <c r="G118" t="n">
        <v>31.3</v>
      </c>
      <c r="H118" s="8">
        <f>IF(G118="","",E118-G118)</f>
        <v/>
      </c>
      <c r="J118" s="9" t="n"/>
      <c r="K118">
        <f>IF(J118="",0,COUNTIFS(Schedule!$B:$B,B118,Schedule!$A:$A,"&lt;"&amp;J118))</f>
        <v/>
      </c>
      <c r="L118">
        <f>82-K118</f>
        <v/>
      </c>
      <c r="M118" s="2" t="n"/>
      <c r="N118" s="2" t="n"/>
      <c r="O118">
        <f>IF(M118&lt;&gt;"",M118,MIN(D118,L118))</f>
        <v/>
      </c>
      <c r="P118">
        <f>IF(N118&lt;&gt;"",N118,E118)</f>
        <v/>
      </c>
    </row>
    <row r="119">
      <c r="A119" t="inlineStr">
        <is>
          <t>Jaime Jaquez Jr.</t>
        </is>
      </c>
      <c r="B119" t="inlineStr">
        <is>
          <t>MIL</t>
        </is>
      </c>
      <c r="C119" t="inlineStr">
        <is>
          <t>PF,SF,SG</t>
        </is>
      </c>
      <c r="D119" t="n">
        <v>76</v>
      </c>
      <c r="E119" t="n">
        <v>26.9</v>
      </c>
      <c r="F119" t="n">
        <v>75</v>
      </c>
      <c r="G119" t="n">
        <v>28.3</v>
      </c>
      <c r="H119" s="8">
        <f>IF(G119="","",E119-G119)</f>
        <v/>
      </c>
      <c r="J119" s="9" t="n"/>
      <c r="K119">
        <f>IF(J119="",0,COUNTIFS(Schedule!$B:$B,B119,Schedule!$A:$A,"&lt;"&amp;J119))</f>
        <v/>
      </c>
      <c r="L119">
        <f>82-K119</f>
        <v/>
      </c>
      <c r="M119" s="2" t="n"/>
      <c r="N119" s="2" t="n"/>
      <c r="O119">
        <f>IF(M119&lt;&gt;"",M119,MIN(D119,L119))</f>
        <v/>
      </c>
      <c r="P119">
        <f>IF(N119&lt;&gt;"",N119,E119)</f>
        <v/>
      </c>
    </row>
    <row r="120">
      <c r="A120" t="inlineStr">
        <is>
          <t>Jeremiah Fears</t>
        </is>
      </c>
      <c r="B120" t="inlineStr">
        <is>
          <t>NOR</t>
        </is>
      </c>
      <c r="C120" t="inlineStr">
        <is>
          <t>PG,SG</t>
        </is>
      </c>
      <c r="D120" t="n">
        <v>78</v>
      </c>
      <c r="E120" t="n">
        <v>24.2</v>
      </c>
      <c r="F120" t="n">
        <v>82</v>
      </c>
      <c r="G120" t="n">
        <v>25.8</v>
      </c>
      <c r="H120" s="8">
        <f>IF(G120="","",E120-G120)</f>
        <v/>
      </c>
      <c r="J120" s="9" t="n"/>
      <c r="K120">
        <f>IF(J120="",0,COUNTIFS(Schedule!$B:$B,B120,Schedule!$A:$A,"&lt;"&amp;J120))</f>
        <v/>
      </c>
      <c r="L120">
        <f>82-K120</f>
        <v/>
      </c>
      <c r="M120" s="2" t="n"/>
      <c r="N120" s="2" t="n"/>
      <c r="O120">
        <f>IF(M120&lt;&gt;"",M120,MIN(D120,L120))</f>
        <v/>
      </c>
      <c r="P120">
        <f>IF(N120&lt;&gt;"",N120,E120)</f>
        <v/>
      </c>
    </row>
    <row r="121">
      <c r="A121" t="inlineStr">
        <is>
          <t>Devin Vassell</t>
        </is>
      </c>
      <c r="B121" t="inlineStr">
        <is>
          <t>SAS</t>
        </is>
      </c>
      <c r="C121" t="inlineStr">
        <is>
          <t>SG,SF</t>
        </is>
      </c>
      <c r="D121" t="n">
        <v>74</v>
      </c>
      <c r="E121" t="n">
        <v>27.8</v>
      </c>
      <c r="F121" t="n">
        <v>67</v>
      </c>
      <c r="G121" t="n">
        <v>30.5</v>
      </c>
      <c r="H121" s="8">
        <f>IF(G121="","",E121-G121)</f>
        <v/>
      </c>
      <c r="J121" s="9" t="n"/>
      <c r="K121">
        <f>IF(J121="",0,COUNTIFS(Schedule!$B:$B,B121,Schedule!$A:$A,"&lt;"&amp;J121))</f>
        <v/>
      </c>
      <c r="L121">
        <f>82-K121</f>
        <v/>
      </c>
      <c r="M121" s="2" t="n"/>
      <c r="N121" s="2" t="n"/>
      <c r="O121">
        <f>IF(M121&lt;&gt;"",M121,MIN(D121,L121))</f>
        <v/>
      </c>
      <c r="P121">
        <f>IF(N121&lt;&gt;"",N121,E121)</f>
        <v/>
      </c>
    </row>
    <row r="122">
      <c r="A122" t="inlineStr">
        <is>
          <t>Ryan Rollins</t>
        </is>
      </c>
      <c r="B122" t="inlineStr">
        <is>
          <t>MIL</t>
        </is>
      </c>
      <c r="C122" t="inlineStr">
        <is>
          <t>PG,SG</t>
        </is>
      </c>
      <c r="D122" t="n">
        <v>74</v>
      </c>
      <c r="E122" t="n">
        <v>26</v>
      </c>
      <c r="F122" t="n">
        <v>74</v>
      </c>
      <c r="G122" t="n">
        <v>32.1</v>
      </c>
      <c r="H122" s="8">
        <f>IF(G122="","",E122-G122)</f>
        <v/>
      </c>
      <c r="J122" s="9" t="n"/>
      <c r="K122">
        <f>IF(J122="",0,COUNTIFS(Schedule!$B:$B,B122,Schedule!$A:$A,"&lt;"&amp;J122))</f>
        <v/>
      </c>
      <c r="L122">
        <f>82-K122</f>
        <v/>
      </c>
      <c r="M122" s="2" t="n"/>
      <c r="N122" s="2" t="n"/>
      <c r="O122">
        <f>IF(M122&lt;&gt;"",M122,MIN(D122,L122))</f>
        <v/>
      </c>
      <c r="P122">
        <f>IF(N122&lt;&gt;"",N122,E122)</f>
        <v/>
      </c>
      <c r="Q122" t="inlineStr">
        <is>
          <t>Starting PG after the Giannis trade</t>
        </is>
      </c>
    </row>
    <row r="123">
      <c r="A123" t="inlineStr">
        <is>
          <t>Keegan Murray</t>
        </is>
      </c>
      <c r="B123" t="inlineStr">
        <is>
          <t>SAC</t>
        </is>
      </c>
      <c r="C123" t="inlineStr">
        <is>
          <t>SF,PF</t>
        </is>
      </c>
      <c r="D123" t="n">
        <v>75</v>
      </c>
      <c r="E123" t="n">
        <v>34.2</v>
      </c>
      <c r="F123" t="n">
        <v>23</v>
      </c>
      <c r="G123" t="n">
        <v>34.5</v>
      </c>
      <c r="H123" s="8">
        <f>IF(G123="","",E123-G123)</f>
        <v/>
      </c>
      <c r="J123" s="9" t="n"/>
      <c r="K123">
        <f>IF(J123="",0,COUNTIFS(Schedule!$B:$B,B123,Schedule!$A:$A,"&lt;"&amp;J123))</f>
        <v/>
      </c>
      <c r="L123">
        <f>82-K123</f>
        <v/>
      </c>
      <c r="M123" s="2" t="n"/>
      <c r="N123" s="2" t="n"/>
      <c r="O123">
        <f>IF(M123&lt;&gt;"",M123,MIN(D123,L123))</f>
        <v/>
      </c>
      <c r="P123">
        <f>IF(N123&lt;&gt;"",N123,E123)</f>
        <v/>
      </c>
    </row>
    <row r="124">
      <c r="A124" t="inlineStr">
        <is>
          <t>Anfernee Simons</t>
        </is>
      </c>
      <c r="B124" t="inlineStr">
        <is>
          <t>PHI</t>
        </is>
      </c>
      <c r="C124" t="inlineStr">
        <is>
          <t>PG,SG</t>
        </is>
      </c>
      <c r="D124" t="n">
        <v>72</v>
      </c>
      <c r="E124" t="n">
        <v>23.7</v>
      </c>
      <c r="F124" t="n">
        <v>55</v>
      </c>
      <c r="G124" t="n">
        <v>24.9</v>
      </c>
      <c r="H124" s="8">
        <f>IF(G124="","",E124-G124)</f>
        <v/>
      </c>
      <c r="I124" t="inlineStr">
        <is>
          <t>Day-To-Day</t>
        </is>
      </c>
      <c r="J124" s="9" t="n">
        <v>46311</v>
      </c>
      <c r="K124">
        <f>IF(J124="",0,COUNTIFS(Schedule!$B:$B,B124,Schedule!$A:$A,"&lt;"&amp;J124))</f>
        <v/>
      </c>
      <c r="L124">
        <f>82-K124</f>
        <v/>
      </c>
      <c r="M124" s="2" t="n"/>
      <c r="N124" s="2" t="n"/>
      <c r="O124">
        <f>IF(M124&lt;&gt;"",M124,MIN(D124,L124))</f>
        <v/>
      </c>
      <c r="P124">
        <f>IF(N124&lt;&gt;"",N124,E124)</f>
        <v/>
      </c>
      <c r="Q124" t="inlineStr">
        <is>
          <t>2026-10-07: Simons (right hamstring) isn't expected to play in either of Philadelphia's next two preseason games against Brooklyn and Boston, Dave McMenamin of ESPN reports.</t>
        </is>
      </c>
    </row>
    <row r="125">
      <c r="A125" t="inlineStr">
        <is>
          <t>Fred VanVleet</t>
        </is>
      </c>
      <c r="B125" t="inlineStr">
        <is>
          <t>HOU</t>
        </is>
      </c>
      <c r="C125" t="inlineStr">
        <is>
          <t>PG,SG</t>
        </is>
      </c>
      <c r="D125" t="n">
        <v>73</v>
      </c>
      <c r="E125" t="n">
        <v>32.5</v>
      </c>
      <c r="H125" s="8">
        <f>IF(G125="","",E125-G125)</f>
        <v/>
      </c>
      <c r="I125" t="inlineStr">
        <is>
          <t>Day-To-Day</t>
        </is>
      </c>
      <c r="J125" s="9" t="n">
        <v>46310</v>
      </c>
      <c r="K125">
        <f>IF(J125="",0,COUNTIFS(Schedule!$B:$B,B125,Schedule!$A:$A,"&lt;"&amp;J125))</f>
        <v/>
      </c>
      <c r="L125">
        <f>82-K125</f>
        <v/>
      </c>
      <c r="M125" s="2" t="n"/>
      <c r="N125" s="2" t="n"/>
      <c r="O125">
        <f>IF(M125&lt;&gt;"",M125,MIN(D125,L125))</f>
        <v/>
      </c>
      <c r="P125">
        <f>IF(N125&lt;&gt;"",N125,E125)</f>
        <v/>
      </c>
      <c r="Q125" t="inlineStr">
        <is>
          <t>2026-10-11: VanVleet (rest) isn't expected to play in Sunday's preseason game against the Mavericks, Will Guillory of The Athletic reports. · Strong return from ACL: 17 pts, 7 ast, 5 threes</t>
        </is>
      </c>
    </row>
    <row r="126">
      <c r="A126" t="inlineStr">
        <is>
          <t>Peyton Watson</t>
        </is>
      </c>
      <c r="B126" t="inlineStr">
        <is>
          <t>CLE</t>
        </is>
      </c>
      <c r="C126" t="inlineStr">
        <is>
          <t>SF,PF</t>
        </is>
      </c>
      <c r="D126" t="n">
        <v>75</v>
      </c>
      <c r="E126" t="n">
        <v>29.3</v>
      </c>
      <c r="F126" t="n">
        <v>54</v>
      </c>
      <c r="G126" t="n">
        <v>29.6</v>
      </c>
      <c r="H126" s="8">
        <f>IF(G126="","",E126-G126)</f>
        <v/>
      </c>
      <c r="J126" s="9" t="n"/>
      <c r="K126">
        <f>IF(J126="",0,COUNTIFS(Schedule!$B:$B,B126,Schedule!$A:$A,"&lt;"&amp;J126))</f>
        <v/>
      </c>
      <c r="L126">
        <f>82-K126</f>
        <v/>
      </c>
      <c r="M126" s="2" t="n"/>
      <c r="N126" s="2" t="n"/>
      <c r="O126">
        <f>IF(M126&lt;&gt;"",M126,MIN(D126,L126))</f>
        <v/>
      </c>
      <c r="P126">
        <f>IF(N126&lt;&gt;"",N126,E126)</f>
        <v/>
      </c>
    </row>
    <row r="127">
      <c r="A127" t="inlineStr">
        <is>
          <t>Rui Hachimura</t>
        </is>
      </c>
      <c r="B127" t="inlineStr">
        <is>
          <t>LAC</t>
        </is>
      </c>
      <c r="C127" t="inlineStr">
        <is>
          <t>SF,PF</t>
        </is>
      </c>
      <c r="D127" t="n">
        <v>75</v>
      </c>
      <c r="E127" t="n">
        <v>30.3</v>
      </c>
      <c r="F127" t="n">
        <v>68</v>
      </c>
      <c r="G127" t="n">
        <v>28.3</v>
      </c>
      <c r="H127" s="8">
        <f>IF(G127="","",E127-G127)</f>
        <v/>
      </c>
      <c r="J127" s="9" t="n"/>
      <c r="K127">
        <f>IF(J127="",0,COUNTIFS(Schedule!$B:$B,B127,Schedule!$A:$A,"&lt;"&amp;J127))</f>
        <v/>
      </c>
      <c r="L127">
        <f>82-K127</f>
        <v/>
      </c>
      <c r="M127" s="2" t="n"/>
      <c r="N127" s="2" t="n"/>
      <c r="O127">
        <f>IF(M127&lt;&gt;"",M127,MIN(D127,L127))</f>
        <v/>
      </c>
      <c r="P127">
        <f>IF(N127&lt;&gt;"",N127,E127)</f>
        <v/>
      </c>
    </row>
    <row r="128">
      <c r="A128" t="inlineStr">
        <is>
          <t>Klay Thompson</t>
        </is>
      </c>
      <c r="B128" t="inlineStr">
        <is>
          <t>MIA</t>
        </is>
      </c>
      <c r="C128" t="inlineStr">
        <is>
          <t>SG,SF</t>
        </is>
      </c>
      <c r="D128" t="n">
        <v>74</v>
      </c>
      <c r="E128" t="n">
        <v>23.6</v>
      </c>
      <c r="F128" t="n">
        <v>69</v>
      </c>
      <c r="G128" t="n">
        <v>21.7</v>
      </c>
      <c r="H128" s="8">
        <f>IF(G128="","",E128-G128)</f>
        <v/>
      </c>
      <c r="I128" t="inlineStr">
        <is>
          <t>Day-To-Day</t>
        </is>
      </c>
      <c r="J128" s="9" t="n">
        <v>46309</v>
      </c>
      <c r="K128">
        <f>IF(J128="",0,COUNTIFS(Schedule!$B:$B,B128,Schedule!$A:$A,"&lt;"&amp;J128))</f>
        <v/>
      </c>
      <c r="L128">
        <f>82-K128</f>
        <v/>
      </c>
      <c r="M128" s="2" t="n"/>
      <c r="N128" s="2" t="n"/>
      <c r="O128">
        <f>IF(M128&lt;&gt;"",M128,MIN(D128,L128))</f>
        <v/>
      </c>
      <c r="P128">
        <f>IF(N128&lt;&gt;"",N128,E128)</f>
        <v/>
      </c>
      <c r="Q128" t="inlineStr">
        <is>
          <t>2026-10-10: Thompson (rest) is out for Saturday's preseason game against the Timberwolves, Eric Nehm of The Athletic reports.</t>
        </is>
      </c>
    </row>
    <row r="129">
      <c r="A129" t="inlineStr">
        <is>
          <t>Aaron Nesmith</t>
        </is>
      </c>
      <c r="B129" t="inlineStr">
        <is>
          <t>IND</t>
        </is>
      </c>
      <c r="C129" t="inlineStr">
        <is>
          <t>PF,SF,SG</t>
        </is>
      </c>
      <c r="D129" t="n">
        <v>71</v>
      </c>
      <c r="E129" t="n">
        <v>27.9</v>
      </c>
      <c r="F129" t="n">
        <v>45</v>
      </c>
      <c r="G129" t="n">
        <v>29.7</v>
      </c>
      <c r="H129" s="8">
        <f>IF(G129="","",E129-G129)</f>
        <v/>
      </c>
      <c r="J129" s="9" t="n"/>
      <c r="K129">
        <f>IF(J129="",0,COUNTIFS(Schedule!$B:$B,B129,Schedule!$A:$A,"&lt;"&amp;J129))</f>
        <v/>
      </c>
      <c r="L129">
        <f>82-K129</f>
        <v/>
      </c>
      <c r="M129" s="2" t="n"/>
      <c r="N129" s="2" t="n"/>
      <c r="O129">
        <f>IF(M129&lt;&gt;"",M129,MIN(D129,L129))</f>
        <v/>
      </c>
      <c r="P129">
        <f>IF(N129&lt;&gt;"",N129,E129)</f>
        <v/>
      </c>
    </row>
    <row r="130">
      <c r="A130" t="inlineStr">
        <is>
          <t>Malik Monk</t>
        </is>
      </c>
      <c r="B130" t="inlineStr">
        <is>
          <t>SAC</t>
        </is>
      </c>
      <c r="C130" t="inlineStr">
        <is>
          <t>PG,SG</t>
        </is>
      </c>
      <c r="D130" t="n">
        <v>73</v>
      </c>
      <c r="E130" t="n">
        <v>23.1</v>
      </c>
      <c r="F130" t="n">
        <v>62</v>
      </c>
      <c r="G130" t="n">
        <v>22</v>
      </c>
      <c r="H130" s="8">
        <f>IF(G130="","",E130-G130)</f>
        <v/>
      </c>
      <c r="I130" t="inlineStr">
        <is>
          <t>Day-To-Day</t>
        </is>
      </c>
      <c r="J130" s="9" t="n">
        <v>46308</v>
      </c>
      <c r="K130">
        <f>IF(J130="",0,COUNTIFS(Schedule!$B:$B,B130,Schedule!$A:$A,"&lt;"&amp;J130))</f>
        <v/>
      </c>
      <c r="L130">
        <f>82-K130</f>
        <v/>
      </c>
      <c r="M130" s="2" t="n"/>
      <c r="N130" s="2" t="n"/>
      <c r="O130">
        <f>IF(M130&lt;&gt;"",M130,MIN(D130,L130))</f>
        <v/>
      </c>
      <c r="P130">
        <f>IF(N130&lt;&gt;"",N130,E130)</f>
        <v/>
      </c>
      <c r="Q130" t="inlineStr">
        <is>
          <t>2026-10-10: Monk (rest) has been ruled out for Saturday's preseason game against the Warriors, Jason Anderson of The Sacramento Bee reports.</t>
        </is>
      </c>
    </row>
    <row r="131">
      <c r="A131" t="inlineStr">
        <is>
          <t>Bradley Beal</t>
        </is>
      </c>
      <c r="B131" t="inlineStr">
        <is>
          <t>LAC</t>
        </is>
      </c>
      <c r="C131" t="inlineStr">
        <is>
          <t>SF,SG</t>
        </is>
      </c>
      <c r="D131" t="n">
        <v>66</v>
      </c>
      <c r="E131" t="n">
        <v>23.8</v>
      </c>
      <c r="F131" t="n">
        <v>6</v>
      </c>
      <c r="G131" t="n">
        <v>20.2</v>
      </c>
      <c r="H131" s="8">
        <f>IF(G131="","",E131-G131)</f>
        <v/>
      </c>
      <c r="I131" t="inlineStr">
        <is>
          <t>Day-To-Day</t>
        </is>
      </c>
      <c r="J131" s="9" t="n">
        <v>46309</v>
      </c>
      <c r="K131">
        <f>IF(J131="",0,COUNTIFS(Schedule!$B:$B,B131,Schedule!$A:$A,"&lt;"&amp;J131))</f>
        <v/>
      </c>
      <c r="L131">
        <f>82-K131</f>
        <v/>
      </c>
      <c r="M131" s="2" t="n"/>
      <c r="N131" s="2" t="n"/>
      <c r="O131">
        <f>IF(M131&lt;&gt;"",M131,MIN(D131,L131))</f>
        <v/>
      </c>
      <c r="P131">
        <f>IF(N131&lt;&gt;"",N131,E131)</f>
        <v/>
      </c>
      <c r="Q131" t="inlineStr">
        <is>
          <t>2026-10-07: Beal (knee) isn't participating in five-on-five work and is doing individual player development work, Tomer Azarly of ClutchPoints.com reports. Azarly adds that the Clippers said Wednesday that Beal is continuing to have inflammation managed.</t>
        </is>
      </c>
    </row>
    <row r="132">
      <c r="A132" t="inlineStr">
        <is>
          <t>Bobby Portis Jr.</t>
        </is>
      </c>
      <c r="B132" t="inlineStr">
        <is>
          <t>MIA</t>
        </is>
      </c>
      <c r="C132" t="inlineStr">
        <is>
          <t>PF,C</t>
        </is>
      </c>
      <c r="D132" t="n">
        <v>72</v>
      </c>
      <c r="E132" t="n">
        <v>22.6</v>
      </c>
      <c r="F132" t="n">
        <v>67</v>
      </c>
      <c r="G132" t="n">
        <v>24.2</v>
      </c>
      <c r="H132" s="8">
        <f>IF(G132="","",E132-G132)</f>
        <v/>
      </c>
      <c r="J132" s="9" t="n"/>
      <c r="K132">
        <f>IF(J132="",0,COUNTIFS(Schedule!$B:$B,B132,Schedule!$A:$A,"&lt;"&amp;J132))</f>
        <v/>
      </c>
      <c r="L132">
        <f>82-K132</f>
        <v/>
      </c>
      <c r="M132" s="2" t="n"/>
      <c r="N132" s="2" t="n"/>
      <c r="O132">
        <f>IF(M132&lt;&gt;"",M132,MIN(D132,L132))</f>
        <v/>
      </c>
      <c r="P132">
        <f>IF(N132&lt;&gt;"",N132,E132)</f>
        <v/>
      </c>
    </row>
    <row r="133">
      <c r="A133" t="inlineStr">
        <is>
          <t>Myles Turner</t>
        </is>
      </c>
      <c r="B133" t="inlineStr">
        <is>
          <t>MIL</t>
        </is>
      </c>
      <c r="C133" t="inlineStr">
        <is>
          <t>C</t>
        </is>
      </c>
      <c r="D133" t="n">
        <v>75</v>
      </c>
      <c r="E133" t="n">
        <v>27.8</v>
      </c>
      <c r="F133" t="n">
        <v>71</v>
      </c>
      <c r="G133" t="n">
        <v>26.9</v>
      </c>
      <c r="H133" s="8">
        <f>IF(G133="","",E133-G133)</f>
        <v/>
      </c>
      <c r="J133" s="9" t="n"/>
      <c r="K133">
        <f>IF(J133="",0,COUNTIFS(Schedule!$B:$B,B133,Schedule!$A:$A,"&lt;"&amp;J133))</f>
        <v/>
      </c>
      <c r="L133">
        <f>82-K133</f>
        <v/>
      </c>
      <c r="M133" s="2" t="n"/>
      <c r="N133" s="2" t="n"/>
      <c r="O133">
        <f>IF(M133&lt;&gt;"",M133,MIN(D133,L133))</f>
        <v/>
      </c>
      <c r="P133">
        <f>IF(N133&lt;&gt;"",N133,E133)</f>
        <v/>
      </c>
    </row>
    <row r="134">
      <c r="A134" t="inlineStr">
        <is>
          <t>Kingston Flemings</t>
        </is>
      </c>
      <c r="B134" t="inlineStr">
        <is>
          <t>ATL</t>
        </is>
      </c>
      <c r="C134" t="inlineStr">
        <is>
          <t>PG,SG</t>
        </is>
      </c>
      <c r="D134" t="n">
        <v>75</v>
      </c>
      <c r="E134" t="n">
        <v>25.4</v>
      </c>
      <c r="H134" s="8">
        <f>IF(G134="","",E134-G134)</f>
        <v/>
      </c>
      <c r="J134" s="9" t="n"/>
      <c r="K134">
        <f>IF(J134="",0,COUNTIFS(Schedule!$B:$B,B134,Schedule!$A:$A,"&lt;"&amp;J134))</f>
        <v/>
      </c>
      <c r="L134">
        <f>82-K134</f>
        <v/>
      </c>
      <c r="M134" s="2" t="n"/>
      <c r="N134" s="2" t="n"/>
      <c r="O134">
        <f>IF(M134&lt;&gt;"",M134,MIN(D134,L134))</f>
        <v/>
      </c>
      <c r="P134">
        <f>IF(N134&lt;&gt;"",N134,E134)</f>
        <v/>
      </c>
    </row>
    <row r="135">
      <c r="A135" t="inlineStr">
        <is>
          <t>Kyshawn George</t>
        </is>
      </c>
      <c r="B135" t="inlineStr">
        <is>
          <t>WAS</t>
        </is>
      </c>
      <c r="C135" t="inlineStr">
        <is>
          <t>PF,SF,SG</t>
        </is>
      </c>
      <c r="D135" t="n">
        <v>72</v>
      </c>
      <c r="E135" t="n">
        <v>28.5</v>
      </c>
      <c r="F135" t="n">
        <v>48</v>
      </c>
      <c r="G135" t="n">
        <v>29</v>
      </c>
      <c r="H135" s="8">
        <f>IF(G135="","",E135-G135)</f>
        <v/>
      </c>
      <c r="J135" s="9" t="n"/>
      <c r="K135">
        <f>IF(J135="",0,COUNTIFS(Schedule!$B:$B,B135,Schedule!$A:$A,"&lt;"&amp;J135))</f>
        <v/>
      </c>
      <c r="L135">
        <f>82-K135</f>
        <v/>
      </c>
      <c r="M135" s="2" t="n"/>
      <c r="N135" s="2" t="n"/>
      <c r="O135">
        <f>IF(M135&lt;&gt;"",M135,MIN(D135,L135))</f>
        <v/>
      </c>
      <c r="P135">
        <f>IF(N135&lt;&gt;"",N135,E135)</f>
        <v/>
      </c>
    </row>
    <row r="136">
      <c r="A136" t="inlineStr">
        <is>
          <t>Josh Hart</t>
        </is>
      </c>
      <c r="B136" t="inlineStr">
        <is>
          <t>NYK</t>
        </is>
      </c>
      <c r="C136" t="inlineStr">
        <is>
          <t>SF,SG</t>
        </is>
      </c>
      <c r="D136" t="n">
        <v>73</v>
      </c>
      <c r="E136" t="n">
        <v>32.7</v>
      </c>
      <c r="F136" t="n">
        <v>66</v>
      </c>
      <c r="G136" t="n">
        <v>30.2</v>
      </c>
      <c r="H136" s="8">
        <f>IF(G136="","",E136-G136)</f>
        <v/>
      </c>
      <c r="J136" s="9" t="n"/>
      <c r="K136">
        <f>IF(J136="",0,COUNTIFS(Schedule!$B:$B,B136,Schedule!$A:$A,"&lt;"&amp;J136))</f>
        <v/>
      </c>
      <c r="L136">
        <f>82-K136</f>
        <v/>
      </c>
      <c r="M136" s="2" t="n"/>
      <c r="N136" s="2" t="n"/>
      <c r="O136">
        <f>IF(M136&lt;&gt;"",M136,MIN(D136,L136))</f>
        <v/>
      </c>
      <c r="P136">
        <f>IF(N136&lt;&gt;"",N136,E136)</f>
        <v/>
      </c>
    </row>
    <row r="137">
      <c r="A137" t="inlineStr">
        <is>
          <t>Max Christie</t>
        </is>
      </c>
      <c r="B137" t="inlineStr">
        <is>
          <t>DAL</t>
        </is>
      </c>
      <c r="C137" t="inlineStr">
        <is>
          <t>SG,SF</t>
        </is>
      </c>
      <c r="D137" t="n">
        <v>78</v>
      </c>
      <c r="E137" t="n">
        <v>30.8</v>
      </c>
      <c r="F137" t="n">
        <v>77</v>
      </c>
      <c r="G137" t="n">
        <v>29.1</v>
      </c>
      <c r="H137" s="8">
        <f>IF(G137="","",E137-G137)</f>
        <v/>
      </c>
      <c r="J137" s="9" t="n"/>
      <c r="K137">
        <f>IF(J137="",0,COUNTIFS(Schedule!$B:$B,B137,Schedule!$A:$A,"&lt;"&amp;J137))</f>
        <v/>
      </c>
      <c r="L137">
        <f>82-K137</f>
        <v/>
      </c>
      <c r="M137" s="2" t="n"/>
      <c r="N137" s="2" t="n"/>
      <c r="O137">
        <f>IF(M137&lt;&gt;"",M137,MIN(D137,L137))</f>
        <v/>
      </c>
      <c r="P137">
        <f>IF(N137&lt;&gt;"",N137,E137)</f>
        <v/>
      </c>
    </row>
    <row r="138">
      <c r="A138" t="inlineStr">
        <is>
          <t>Christian Braun</t>
        </is>
      </c>
      <c r="B138" t="inlineStr">
        <is>
          <t>DEN</t>
        </is>
      </c>
      <c r="C138" t="inlineStr">
        <is>
          <t>PF,SF,SG</t>
        </is>
      </c>
      <c r="D138" t="n">
        <v>72</v>
      </c>
      <c r="E138" t="n">
        <v>30.4</v>
      </c>
      <c r="F138" t="n">
        <v>44</v>
      </c>
      <c r="G138" t="n">
        <v>31.8</v>
      </c>
      <c r="H138" s="8">
        <f>IF(G138="","",E138-G138)</f>
        <v/>
      </c>
      <c r="J138" s="9" t="n"/>
      <c r="K138">
        <f>IF(J138="",0,COUNTIFS(Schedule!$B:$B,B138,Schedule!$A:$A,"&lt;"&amp;J138))</f>
        <v/>
      </c>
      <c r="L138">
        <f>82-K138</f>
        <v/>
      </c>
      <c r="M138" s="2" t="n"/>
      <c r="N138" s="2" t="n"/>
      <c r="O138">
        <f>IF(M138&lt;&gt;"",M138,MIN(D138,L138))</f>
        <v/>
      </c>
      <c r="P138">
        <f>IF(N138&lt;&gt;"",N138,E138)</f>
        <v/>
      </c>
    </row>
    <row r="139">
      <c r="A139" t="inlineStr">
        <is>
          <t>Jakob Poeltl</t>
        </is>
      </c>
      <c r="B139" t="inlineStr">
        <is>
          <t>TOR</t>
        </is>
      </c>
      <c r="C139" t="inlineStr">
        <is>
          <t>C</t>
        </is>
      </c>
      <c r="D139" t="n">
        <v>72</v>
      </c>
      <c r="E139" t="n">
        <v>27.2</v>
      </c>
      <c r="F139" t="n">
        <v>46</v>
      </c>
      <c r="G139" t="n">
        <v>25</v>
      </c>
      <c r="H139" s="8">
        <f>IF(G139="","",E139-G139)</f>
        <v/>
      </c>
      <c r="J139" s="9" t="n"/>
      <c r="K139">
        <f>IF(J139="",0,COUNTIFS(Schedule!$B:$B,B139,Schedule!$A:$A,"&lt;"&amp;J139))</f>
        <v/>
      </c>
      <c r="L139">
        <f>82-K139</f>
        <v/>
      </c>
      <c r="M139" s="2" t="n"/>
      <c r="N139" s="2" t="n"/>
      <c r="O139">
        <f>IF(M139&lt;&gt;"",M139,MIN(D139,L139))</f>
        <v/>
      </c>
      <c r="P139">
        <f>IF(N139&lt;&gt;"",N139,E139)</f>
        <v/>
      </c>
      <c r="Q139" t="inlineStr">
        <is>
          <t>Murray-Boyles could cut into minutes</t>
        </is>
      </c>
    </row>
    <row r="140">
      <c r="A140" t="inlineStr">
        <is>
          <t>Grayson Allen</t>
        </is>
      </c>
      <c r="B140" t="inlineStr">
        <is>
          <t>CHA</t>
        </is>
      </c>
      <c r="C140" t="inlineStr">
        <is>
          <t>PG,SF,SG</t>
        </is>
      </c>
      <c r="D140" t="n">
        <v>71</v>
      </c>
      <c r="E140" t="n">
        <v>23</v>
      </c>
      <c r="F140" t="n">
        <v>51</v>
      </c>
      <c r="G140" t="n">
        <v>28.8</v>
      </c>
      <c r="H140" s="8">
        <f>IF(G140="","",E140-G140)</f>
        <v/>
      </c>
      <c r="I140" t="inlineStr">
        <is>
          <t>Day-To-Day</t>
        </is>
      </c>
      <c r="J140" s="9" t="n">
        <v>46309</v>
      </c>
      <c r="K140">
        <f>IF(J140="",0,COUNTIFS(Schedule!$B:$B,B140,Schedule!$A:$A,"&lt;"&amp;J140))</f>
        <v/>
      </c>
      <c r="L140">
        <f>82-K140</f>
        <v/>
      </c>
      <c r="M140" s="2" t="n"/>
      <c r="N140" s="2" t="n"/>
      <c r="O140">
        <f>IF(M140&lt;&gt;"",M140,MIN(D140,L140))</f>
        <v/>
      </c>
      <c r="P140">
        <f>IF(N140&lt;&gt;"",N140,E140)</f>
        <v/>
      </c>
      <c r="Q140" t="inlineStr">
        <is>
          <t>2026-10-11: Allen will not play in Sunday's preseason game against the Bucks due to right knee soreness.</t>
        </is>
      </c>
    </row>
    <row r="141">
      <c r="A141" t="inlineStr">
        <is>
          <t>Egor Demin</t>
        </is>
      </c>
      <c r="B141" t="inlineStr">
        <is>
          <t>BKN</t>
        </is>
      </c>
      <c r="C141" t="inlineStr">
        <is>
          <t>PG,SG</t>
        </is>
      </c>
      <c r="D141" t="n">
        <v>75</v>
      </c>
      <c r="E141" t="n">
        <v>28.6</v>
      </c>
      <c r="F141" t="n">
        <v>52</v>
      </c>
      <c r="G141" t="n">
        <v>25.2</v>
      </c>
      <c r="H141" s="8">
        <f>IF(G141="","",E141-G141)</f>
        <v/>
      </c>
      <c r="J141" s="9" t="n"/>
      <c r="K141">
        <f>IF(J141="",0,COUNTIFS(Schedule!$B:$B,B141,Schedule!$A:$A,"&lt;"&amp;J141))</f>
        <v/>
      </c>
      <c r="L141">
        <f>82-K141</f>
        <v/>
      </c>
      <c r="M141" s="2" t="n"/>
      <c r="N141" s="2" t="n"/>
      <c r="O141">
        <f>IF(M141&lt;&gt;"",M141,MIN(D141,L141))</f>
        <v/>
      </c>
      <c r="P141">
        <f>IF(N141&lt;&gt;"",N141,E141)</f>
        <v/>
      </c>
      <c r="Q141" t="inlineStr">
        <is>
          <t>Five assists in both preseason games</t>
        </is>
      </c>
    </row>
    <row r="142">
      <c r="A142" t="inlineStr">
        <is>
          <t>Scoot Henderson</t>
        </is>
      </c>
      <c r="B142" t="inlineStr">
        <is>
          <t>POR</t>
        </is>
      </c>
      <c r="C142" t="inlineStr">
        <is>
          <t>PG,SG</t>
        </is>
      </c>
      <c r="D142" t="n">
        <v>72</v>
      </c>
      <c r="E142" t="n">
        <v>23.6</v>
      </c>
      <c r="F142" t="n">
        <v>30</v>
      </c>
      <c r="G142" t="n">
        <v>24.9</v>
      </c>
      <c r="H142" s="8">
        <f>IF(G142="","",E142-G142)</f>
        <v/>
      </c>
      <c r="J142" s="9" t="n"/>
      <c r="K142">
        <f>IF(J142="",0,COUNTIFS(Schedule!$B:$B,B142,Schedule!$A:$A,"&lt;"&amp;J142))</f>
        <v/>
      </c>
      <c r="L142">
        <f>82-K142</f>
        <v/>
      </c>
      <c r="M142" s="2" t="n"/>
      <c r="N142" s="2" t="n"/>
      <c r="O142">
        <f>IF(M142&lt;&gt;"",M142,MIN(D142,L142))</f>
        <v/>
      </c>
      <c r="P142">
        <f>IF(N142&lt;&gt;"",N142,E142)</f>
        <v/>
      </c>
    </row>
    <row r="143">
      <c r="A143" t="inlineStr">
        <is>
          <t>Dyson Daniels</t>
        </is>
      </c>
      <c r="B143" t="inlineStr">
        <is>
          <t>ATL</t>
        </is>
      </c>
      <c r="C143" t="inlineStr">
        <is>
          <t>PG,SF,SG</t>
        </is>
      </c>
      <c r="D143" t="n">
        <v>77</v>
      </c>
      <c r="E143" t="n">
        <v>32.9</v>
      </c>
      <c r="F143" t="n">
        <v>76</v>
      </c>
      <c r="G143" t="n">
        <v>33.2</v>
      </c>
      <c r="H143" s="8">
        <f>IF(G143="","",E143-G143)</f>
        <v/>
      </c>
      <c r="J143" s="9" t="n"/>
      <c r="K143">
        <f>IF(J143="",0,COUNTIFS(Schedule!$B:$B,B143,Schedule!$A:$A,"&lt;"&amp;J143))</f>
        <v/>
      </c>
      <c r="L143">
        <f>82-K143</f>
        <v/>
      </c>
      <c r="M143" s="2" t="n"/>
      <c r="N143" s="2" t="n"/>
      <c r="O143">
        <f>IF(M143&lt;&gt;"",M143,MIN(D143,L143))</f>
        <v/>
      </c>
      <c r="P143">
        <f>IF(N143&lt;&gt;"",N143,E143)</f>
        <v/>
      </c>
    </row>
    <row r="144">
      <c r="A144" t="inlineStr">
        <is>
          <t>Anthony Black</t>
        </is>
      </c>
      <c r="B144" t="inlineStr">
        <is>
          <t>ORL</t>
        </is>
      </c>
      <c r="C144" t="inlineStr">
        <is>
          <t>PG,SG,SF</t>
        </is>
      </c>
      <c r="D144" t="n">
        <v>74</v>
      </c>
      <c r="E144" t="n">
        <v>25.9</v>
      </c>
      <c r="F144" t="n">
        <v>64</v>
      </c>
      <c r="G144" t="n">
        <v>29.8</v>
      </c>
      <c r="H144" s="8">
        <f>IF(G144="","",E144-G144)</f>
        <v/>
      </c>
      <c r="I144" t="inlineStr">
        <is>
          <t>Day-To-Day</t>
        </is>
      </c>
      <c r="J144" s="9" t="n">
        <v>46308</v>
      </c>
      <c r="K144">
        <f>IF(J144="",0,COUNTIFS(Schedule!$B:$B,B144,Schedule!$A:$A,"&lt;"&amp;J144))</f>
        <v/>
      </c>
      <c r="L144">
        <f>82-K144</f>
        <v/>
      </c>
      <c r="M144" s="2" t="n"/>
      <c r="N144" s="2" t="n"/>
      <c r="O144">
        <f>IF(M144&lt;&gt;"",M144,MIN(D144,L144))</f>
        <v/>
      </c>
      <c r="P144">
        <f>IF(N144&lt;&gt;"",N144,E144)</f>
        <v/>
      </c>
      <c r="Q144" t="inlineStr">
        <is>
          <t>2026-10-11: Black (ankle) is out for Sunday's preseason game against the Cavaliers, Jason Beede of the Orlando Sentinel reports. · Path to 25+ minutes in ORL</t>
        </is>
      </c>
    </row>
    <row r="145">
      <c r="A145" t="inlineStr">
        <is>
          <t>Kyle Kuzma</t>
        </is>
      </c>
      <c r="B145" t="inlineStr">
        <is>
          <t>MIL</t>
        </is>
      </c>
      <c r="C145" t="inlineStr">
        <is>
          <t>SF,PF</t>
        </is>
      </c>
      <c r="D145" t="n">
        <v>73</v>
      </c>
      <c r="E145" t="n">
        <v>24.5</v>
      </c>
      <c r="F145" t="n">
        <v>69</v>
      </c>
      <c r="G145" t="n">
        <v>26.2</v>
      </c>
      <c r="H145" s="8">
        <f>IF(G145="","",E145-G145)</f>
        <v/>
      </c>
      <c r="J145" s="9" t="n"/>
      <c r="K145">
        <f>IF(J145="",0,COUNTIFS(Schedule!$B:$B,B145,Schedule!$A:$A,"&lt;"&amp;J145))</f>
        <v/>
      </c>
      <c r="L145">
        <f>82-K145</f>
        <v/>
      </c>
      <c r="M145" s="2" t="n"/>
      <c r="N145" s="2" t="n"/>
      <c r="O145">
        <f>IF(M145&lt;&gt;"",M145,MIN(D145,L145))</f>
        <v/>
      </c>
      <c r="P145">
        <f>IF(N145&lt;&gt;"",N145,E145)</f>
        <v/>
      </c>
    </row>
    <row r="146">
      <c r="A146" t="inlineStr">
        <is>
          <t>Nic Claxton</t>
        </is>
      </c>
      <c r="B146" t="inlineStr">
        <is>
          <t>CHI</t>
        </is>
      </c>
      <c r="C146" t="inlineStr">
        <is>
          <t>C</t>
        </is>
      </c>
      <c r="D146" t="n">
        <v>74</v>
      </c>
      <c r="E146" t="n">
        <v>27.4</v>
      </c>
      <c r="F146" t="n">
        <v>69</v>
      </c>
      <c r="G146" t="n">
        <v>27.8</v>
      </c>
      <c r="H146" s="8">
        <f>IF(G146="","",E146-G146)</f>
        <v/>
      </c>
      <c r="I146" t="inlineStr">
        <is>
          <t>Day-To-Day</t>
        </is>
      </c>
      <c r="J146" s="9" t="n">
        <v>46316</v>
      </c>
      <c r="K146">
        <f>IF(J146="",0,COUNTIFS(Schedule!$B:$B,B146,Schedule!$A:$A,"&lt;"&amp;J146))</f>
        <v/>
      </c>
      <c r="L146">
        <f>82-K146</f>
        <v/>
      </c>
      <c r="M146" s="2" t="n">
        <v>55</v>
      </c>
      <c r="N146" s="2" t="n"/>
      <c r="O146">
        <f>IF(M146&lt;&gt;"",M146,MIN(D146,L146))</f>
        <v/>
      </c>
      <c r="P146">
        <f>IF(N146&lt;&gt;"",N146,E146)</f>
        <v/>
      </c>
      <c r="Q146" t="inlineStr">
        <is>
          <t>2026-10-05: Claxton tweaked his hamstring and will be re-evaluated in two weeks, Chuck Swirsky of the Bulls Radio Network of the Bulls Radio Network reports. · Hamstring, unlikely for opening night</t>
        </is>
      </c>
    </row>
    <row r="147">
      <c r="A147" t="inlineStr">
        <is>
          <t>Duncan Robinson</t>
        </is>
      </c>
      <c r="B147" t="inlineStr">
        <is>
          <t>DET</t>
        </is>
      </c>
      <c r="C147" t="inlineStr">
        <is>
          <t>SG,SF</t>
        </is>
      </c>
      <c r="D147" t="n">
        <v>77</v>
      </c>
      <c r="E147" t="n">
        <v>25.6</v>
      </c>
      <c r="F147" t="n">
        <v>77</v>
      </c>
      <c r="G147" t="n">
        <v>27.4</v>
      </c>
      <c r="H147" s="8">
        <f>IF(G147="","",E147-G147)</f>
        <v/>
      </c>
      <c r="J147" s="9" t="n"/>
      <c r="K147">
        <f>IF(J147="",0,COUNTIFS(Schedule!$B:$B,B147,Schedule!$A:$A,"&lt;"&amp;J147))</f>
        <v/>
      </c>
      <c r="L147">
        <f>82-K147</f>
        <v/>
      </c>
      <c r="M147" s="2" t="n"/>
      <c r="N147" s="2" t="n"/>
      <c r="O147">
        <f>IF(M147&lt;&gt;"",M147,MIN(D147,L147))</f>
        <v/>
      </c>
      <c r="P147">
        <f>IF(N147&lt;&gt;"",N147,E147)</f>
        <v/>
      </c>
    </row>
    <row r="148">
      <c r="A148" t="inlineStr">
        <is>
          <t>Kelly Oubre Jr.</t>
        </is>
      </c>
      <c r="B148" t="inlineStr">
        <is>
          <t>IND</t>
        </is>
      </c>
      <c r="C148" t="inlineStr">
        <is>
          <t>PF,SF,SG</t>
        </is>
      </c>
      <c r="D148" t="n">
        <v>73</v>
      </c>
      <c r="E148" t="n">
        <v>25.6</v>
      </c>
      <c r="F148" t="n">
        <v>50</v>
      </c>
      <c r="G148" t="n">
        <v>31.5</v>
      </c>
      <c r="H148" s="8">
        <f>IF(G148="","",E148-G148)</f>
        <v/>
      </c>
      <c r="J148" s="9" t="n"/>
      <c r="K148">
        <f>IF(J148="",0,COUNTIFS(Schedule!$B:$B,B148,Schedule!$A:$A,"&lt;"&amp;J148))</f>
        <v/>
      </c>
      <c r="L148">
        <f>82-K148</f>
        <v/>
      </c>
      <c r="M148" s="2" t="n"/>
      <c r="N148" s="2" t="n"/>
      <c r="O148">
        <f>IF(M148&lt;&gt;"",M148,MIN(D148,L148))</f>
        <v/>
      </c>
      <c r="P148">
        <f>IF(N148&lt;&gt;"",N148,E148)</f>
        <v/>
      </c>
    </row>
    <row r="149">
      <c r="A149" t="inlineStr">
        <is>
          <t>Zach Edey</t>
        </is>
      </c>
      <c r="B149" t="inlineStr">
        <is>
          <t>MEM</t>
        </is>
      </c>
      <c r="C149" t="inlineStr">
        <is>
          <t>C</t>
        </is>
      </c>
      <c r="D149" t="n">
        <v>70</v>
      </c>
      <c r="E149" t="n">
        <v>25.9</v>
      </c>
      <c r="F149" t="n">
        <v>11</v>
      </c>
      <c r="G149" t="n">
        <v>25.8</v>
      </c>
      <c r="H149" s="8">
        <f>IF(G149="","",E149-G149)</f>
        <v/>
      </c>
      <c r="J149" s="9" t="n"/>
      <c r="K149">
        <f>IF(J149="",0,COUNTIFS(Schedule!$B:$B,B149,Schedule!$A:$A,"&lt;"&amp;J149))</f>
        <v/>
      </c>
      <c r="L149">
        <f>82-K149</f>
        <v/>
      </c>
      <c r="M149" s="2" t="n"/>
      <c r="N149" s="2" t="n"/>
      <c r="O149">
        <f>IF(M149&lt;&gt;"",M149,MIN(D149,L149))</f>
        <v/>
      </c>
      <c r="P149">
        <f>IF(N149&lt;&gt;"",N149,E149)</f>
        <v/>
      </c>
    </row>
    <row r="150">
      <c r="A150" t="inlineStr">
        <is>
          <t>Nikola Vucevic</t>
        </is>
      </c>
      <c r="B150" t="inlineStr">
        <is>
          <t>ORL</t>
        </is>
      </c>
      <c r="C150" t="inlineStr">
        <is>
          <t>C</t>
        </is>
      </c>
      <c r="D150" t="n">
        <v>75</v>
      </c>
      <c r="E150" t="n">
        <v>22.6</v>
      </c>
      <c r="F150" t="n">
        <v>64</v>
      </c>
      <c r="G150" t="n">
        <v>28.4</v>
      </c>
      <c r="H150" s="8">
        <f>IF(G150="","",E150-G150)</f>
        <v/>
      </c>
      <c r="J150" s="9" t="n"/>
      <c r="K150">
        <f>IF(J150="",0,COUNTIFS(Schedule!$B:$B,B150,Schedule!$A:$A,"&lt;"&amp;J150))</f>
        <v/>
      </c>
      <c r="L150">
        <f>82-K150</f>
        <v/>
      </c>
      <c r="M150" s="2" t="n"/>
      <c r="N150" s="2" t="n"/>
      <c r="O150">
        <f>IF(M150&lt;&gt;"",M150,MIN(D150,L150))</f>
        <v/>
      </c>
      <c r="P150">
        <f>IF(N150&lt;&gt;"",N150,E150)</f>
        <v/>
      </c>
    </row>
    <row r="151">
      <c r="A151" t="inlineStr">
        <is>
          <t>De'Anthony Melton</t>
        </is>
      </c>
      <c r="B151" t="inlineStr">
        <is>
          <t>GSW</t>
        </is>
      </c>
      <c r="C151" t="inlineStr">
        <is>
          <t>PG,SG</t>
        </is>
      </c>
      <c r="D151" t="n">
        <v>72</v>
      </c>
      <c r="E151" t="n">
        <v>21.9</v>
      </c>
      <c r="F151" t="n">
        <v>49</v>
      </c>
      <c r="G151" t="n">
        <v>23</v>
      </c>
      <c r="H151" s="8">
        <f>IF(G151="","",E151-G151)</f>
        <v/>
      </c>
      <c r="J151" s="9" t="n"/>
      <c r="K151">
        <f>IF(J151="",0,COUNTIFS(Schedule!$B:$B,B151,Schedule!$A:$A,"&lt;"&amp;J151))</f>
        <v/>
      </c>
      <c r="L151">
        <f>82-K151</f>
        <v/>
      </c>
      <c r="M151" s="2" t="n"/>
      <c r="N151" s="2" t="n"/>
      <c r="O151">
        <f>IF(M151&lt;&gt;"",M151,MIN(D151,L151))</f>
        <v/>
      </c>
      <c r="P151">
        <f>IF(N151&lt;&gt;"",N151,E151)</f>
        <v/>
      </c>
    </row>
    <row r="152">
      <c r="A152" t="inlineStr">
        <is>
          <t>Walker Kessler</t>
        </is>
      </c>
      <c r="B152" t="inlineStr">
        <is>
          <t>LAL</t>
        </is>
      </c>
      <c r="C152" t="inlineStr">
        <is>
          <t>C</t>
        </is>
      </c>
      <c r="D152" t="n">
        <v>72</v>
      </c>
      <c r="E152" t="n">
        <v>30.7</v>
      </c>
      <c r="F152" t="n">
        <v>5</v>
      </c>
      <c r="G152" t="n">
        <v>30.8</v>
      </c>
      <c r="H152" s="8">
        <f>IF(G152="","",E152-G152)</f>
        <v/>
      </c>
      <c r="I152" t="inlineStr">
        <is>
          <t>Day-To-Day</t>
        </is>
      </c>
      <c r="J152" s="9" t="n">
        <v>46308</v>
      </c>
      <c r="K152">
        <f>IF(J152="",0,COUNTIFS(Schedule!$B:$B,B152,Schedule!$A:$A,"&lt;"&amp;J152))</f>
        <v/>
      </c>
      <c r="L152">
        <f>82-K152</f>
        <v/>
      </c>
      <c r="M152" s="2" t="n">
        <v>55</v>
      </c>
      <c r="N152" s="2" t="n"/>
      <c r="O152">
        <f>IF(M152&lt;&gt;"",M152,MIN(D152,L152))</f>
        <v/>
      </c>
      <c r="P152">
        <f>IF(N152&lt;&gt;"",N152,E152)</f>
        <v/>
      </c>
      <c r="Q152" t="inlineStr">
        <is>
          <t>2026-10-11: Kessler (finger) was a full participant in Sunday's practice, Law Murray of The Athletic reports. · Finger injury, has not debuted</t>
        </is>
      </c>
    </row>
    <row r="153">
      <c r="A153" t="inlineStr">
        <is>
          <t>Tim Hardaway Jr.</t>
        </is>
      </c>
      <c r="B153" t="inlineStr">
        <is>
          <t>MIA</t>
        </is>
      </c>
      <c r="C153" t="inlineStr">
        <is>
          <t>SG,SF</t>
        </is>
      </c>
      <c r="D153" t="n">
        <v>79</v>
      </c>
      <c r="E153" t="n">
        <v>25.1</v>
      </c>
      <c r="F153" t="n">
        <v>80</v>
      </c>
      <c r="G153" t="n">
        <v>26.6</v>
      </c>
      <c r="H153" s="8">
        <f>IF(G153="","",E153-G153)</f>
        <v/>
      </c>
      <c r="J153" s="9" t="n"/>
      <c r="K153">
        <f>IF(J153="",0,COUNTIFS(Schedule!$B:$B,B153,Schedule!$A:$A,"&lt;"&amp;J153))</f>
        <v/>
      </c>
      <c r="L153">
        <f>82-K153</f>
        <v/>
      </c>
      <c r="M153" s="2" t="n"/>
      <c r="N153" s="2" t="n"/>
      <c r="O153">
        <f>IF(M153&lt;&gt;"",M153,MIN(D153,L153))</f>
        <v/>
      </c>
      <c r="P153">
        <f>IF(N153&lt;&gt;"",N153,E153)</f>
        <v/>
      </c>
    </row>
    <row r="154">
      <c r="A154" t="inlineStr">
        <is>
          <t>Brice Sensabaugh</t>
        </is>
      </c>
      <c r="B154" t="inlineStr">
        <is>
          <t>UTH</t>
        </is>
      </c>
      <c r="C154" t="inlineStr">
        <is>
          <t>PF,SF,SG</t>
        </is>
      </c>
      <c r="D154" t="n">
        <v>75</v>
      </c>
      <c r="E154" t="n">
        <v>19.8</v>
      </c>
      <c r="F154" t="n">
        <v>75</v>
      </c>
      <c r="G154" t="n">
        <v>23.5</v>
      </c>
      <c r="H154" s="8">
        <f>IF(G154="","",E154-G154)</f>
        <v/>
      </c>
      <c r="I154" t="inlineStr">
        <is>
          <t>Day-To-Day</t>
        </is>
      </c>
      <c r="J154" s="9" t="n">
        <v>46307</v>
      </c>
      <c r="K154">
        <f>IF(J154="",0,COUNTIFS(Schedule!$B:$B,B154,Schedule!$A:$A,"&lt;"&amp;J154))</f>
        <v/>
      </c>
      <c r="L154">
        <f>82-K154</f>
        <v/>
      </c>
      <c r="M154" s="2" t="n"/>
      <c r="N154" s="2" t="n"/>
      <c r="O154">
        <f>IF(M154&lt;&gt;"",M154,MIN(D154,L154))</f>
        <v/>
      </c>
      <c r="P154">
        <f>IF(N154&lt;&gt;"",N154,E154)</f>
        <v/>
      </c>
      <c r="Q154" t="inlineStr">
        <is>
          <t>2026-10-07: Sensabaugh (hip) won't play in Tuesday's preseason game against the Nuggets.</t>
        </is>
      </c>
    </row>
    <row r="155">
      <c r="A155" t="inlineStr">
        <is>
          <t>Derik Queen</t>
        </is>
      </c>
      <c r="B155" t="inlineStr">
        <is>
          <t>NOR</t>
        </is>
      </c>
      <c r="C155" t="inlineStr">
        <is>
          <t>C,PF</t>
        </is>
      </c>
      <c r="D155" t="n">
        <v>77</v>
      </c>
      <c r="E155" t="n">
        <v>24.9</v>
      </c>
      <c r="F155" t="n">
        <v>81</v>
      </c>
      <c r="G155" t="n">
        <v>25</v>
      </c>
      <c r="H155" s="8">
        <f>IF(G155="","",E155-G155)</f>
        <v/>
      </c>
      <c r="J155" s="9" t="n"/>
      <c r="K155">
        <f>IF(J155="",0,COUNTIFS(Schedule!$B:$B,B155,Schedule!$A:$A,"&lt;"&amp;J155))</f>
        <v/>
      </c>
      <c r="L155">
        <f>82-K155</f>
        <v/>
      </c>
      <c r="M155" s="2" t="n"/>
      <c r="N155" s="2" t="n"/>
      <c r="O155">
        <f>IF(M155&lt;&gt;"",M155,MIN(D155,L155))</f>
        <v/>
      </c>
      <c r="P155">
        <f>IF(N155&lt;&gt;"",N155,E155)</f>
        <v/>
      </c>
    </row>
    <row r="156">
      <c r="A156" t="inlineStr">
        <is>
          <t>Rudy Gobert</t>
        </is>
      </c>
      <c r="B156" t="inlineStr">
        <is>
          <t>MIN</t>
        </is>
      </c>
      <c r="C156" t="inlineStr">
        <is>
          <t>C</t>
        </is>
      </c>
      <c r="D156" t="n">
        <v>75</v>
      </c>
      <c r="E156" t="n">
        <v>32.1</v>
      </c>
      <c r="F156" t="n">
        <v>76</v>
      </c>
      <c r="G156" t="n">
        <v>31.3</v>
      </c>
      <c r="H156" s="8">
        <f>IF(G156="","",E156-G156)</f>
        <v/>
      </c>
      <c r="I156" t="inlineStr">
        <is>
          <t>Day-To-Day</t>
        </is>
      </c>
      <c r="J156" s="9" t="n">
        <v>46307</v>
      </c>
      <c r="K156">
        <f>IF(J156="",0,COUNTIFS(Schedule!$B:$B,B156,Schedule!$A:$A,"&lt;"&amp;J156))</f>
        <v/>
      </c>
      <c r="L156">
        <f>82-K156</f>
        <v/>
      </c>
      <c r="M156" s="2" t="n"/>
      <c r="N156" s="2" t="n"/>
      <c r="O156">
        <f>IF(M156&lt;&gt;"",M156,MIN(D156,L156))</f>
        <v/>
      </c>
      <c r="P156">
        <f>IF(N156&lt;&gt;"",N156,E156)</f>
        <v/>
      </c>
      <c r="Q156" t="inlineStr">
        <is>
          <t>2026-10-10: Gobert (rest) has been ruled out for Saturday's game against the Heat.</t>
        </is>
      </c>
    </row>
    <row r="157">
      <c r="A157" t="inlineStr">
        <is>
          <t>Kevin Porter Jr.</t>
        </is>
      </c>
      <c r="B157" t="inlineStr">
        <is>
          <t>MIL</t>
        </is>
      </c>
      <c r="C157" t="inlineStr">
        <is>
          <t>PG,SG</t>
        </is>
      </c>
      <c r="D157" t="n">
        <v>72</v>
      </c>
      <c r="E157" t="n">
        <v>22.5</v>
      </c>
      <c r="F157" t="n">
        <v>38</v>
      </c>
      <c r="G157" t="n">
        <v>33.2</v>
      </c>
      <c r="H157" s="8">
        <f>IF(G157="","",E157-G157)</f>
        <v/>
      </c>
      <c r="J157" s="9" t="n"/>
      <c r="K157">
        <f>IF(J157="",0,COUNTIFS(Schedule!$B:$B,B157,Schedule!$A:$A,"&lt;"&amp;J157))</f>
        <v/>
      </c>
      <c r="L157">
        <f>82-K157</f>
        <v/>
      </c>
      <c r="M157" s="2" t="n"/>
      <c r="N157" s="2" t="n"/>
      <c r="O157">
        <f>IF(M157&lt;&gt;"",M157,MIN(D157,L157))</f>
        <v/>
      </c>
      <c r="P157">
        <f>IF(N157&lt;&gt;"",N157,E157)</f>
        <v/>
      </c>
    </row>
    <row r="158">
      <c r="A158" t="inlineStr">
        <is>
          <t>Keldon Johnson</t>
        </is>
      </c>
      <c r="B158" t="inlineStr">
        <is>
          <t>SAS</t>
        </is>
      </c>
      <c r="C158" t="inlineStr">
        <is>
          <t>PF,SF</t>
        </is>
      </c>
      <c r="D158" t="n">
        <v>78</v>
      </c>
      <c r="E158" t="n">
        <v>20.9</v>
      </c>
      <c r="F158" t="n">
        <v>82</v>
      </c>
      <c r="G158" t="n">
        <v>23.3</v>
      </c>
      <c r="H158" s="8">
        <f>IF(G158="","",E158-G158)</f>
        <v/>
      </c>
      <c r="J158" s="9" t="n"/>
      <c r="K158">
        <f>IF(J158="",0,COUNTIFS(Schedule!$B:$B,B158,Schedule!$A:$A,"&lt;"&amp;J158))</f>
        <v/>
      </c>
      <c r="L158">
        <f>82-K158</f>
        <v/>
      </c>
      <c r="M158" s="2" t="n"/>
      <c r="N158" s="2" t="n"/>
      <c r="O158">
        <f>IF(M158&lt;&gt;"",M158,MIN(D158,L158))</f>
        <v/>
      </c>
      <c r="P158">
        <f>IF(N158&lt;&gt;"",N158,E158)</f>
        <v/>
      </c>
    </row>
    <row r="159">
      <c r="A159" t="inlineStr">
        <is>
          <t>Jordan Poole</t>
        </is>
      </c>
      <c r="B159" t="inlineStr">
        <is>
          <t>NOR</t>
        </is>
      </c>
      <c r="C159" t="inlineStr">
        <is>
          <t>PG,SG</t>
        </is>
      </c>
      <c r="D159" t="n">
        <v>47</v>
      </c>
      <c r="E159" t="n">
        <v>19.6</v>
      </c>
      <c r="F159" t="n">
        <v>39</v>
      </c>
      <c r="G159" t="n">
        <v>23.9</v>
      </c>
      <c r="H159" s="8">
        <f>IF(G159="","",E159-G159)</f>
        <v/>
      </c>
      <c r="J159" s="9" t="n"/>
      <c r="K159">
        <f>IF(J159="",0,COUNTIFS(Schedule!$B:$B,B159,Schedule!$A:$A,"&lt;"&amp;J159))</f>
        <v/>
      </c>
      <c r="L159">
        <f>82-K159</f>
        <v/>
      </c>
      <c r="M159" s="2" t="n"/>
      <c r="N159" s="2" t="n"/>
      <c r="O159">
        <f>IF(M159&lt;&gt;"",M159,MIN(D159,L159))</f>
        <v/>
      </c>
      <c r="P159">
        <f>IF(N159&lt;&gt;"",N159,E159)</f>
        <v/>
      </c>
    </row>
    <row r="160">
      <c r="A160" t="inlineStr">
        <is>
          <t>Jaylon Tyson</t>
        </is>
      </c>
      <c r="B160" t="inlineStr">
        <is>
          <t>CLE</t>
        </is>
      </c>
      <c r="C160" t="inlineStr">
        <is>
          <t>PF,SF,SG</t>
        </is>
      </c>
      <c r="D160" t="n">
        <v>70</v>
      </c>
      <c r="E160" t="n">
        <v>23.5</v>
      </c>
      <c r="F160" t="n">
        <v>66</v>
      </c>
      <c r="G160" t="n">
        <v>26.9</v>
      </c>
      <c r="H160" s="8">
        <f>IF(G160="","",E160-G160)</f>
        <v/>
      </c>
      <c r="J160" s="9" t="n"/>
      <c r="K160">
        <f>IF(J160="",0,COUNTIFS(Schedule!$B:$B,B160,Schedule!$A:$A,"&lt;"&amp;J160))</f>
        <v/>
      </c>
      <c r="L160">
        <f>82-K160</f>
        <v/>
      </c>
      <c r="M160" s="2" t="n"/>
      <c r="N160" s="2" t="n"/>
      <c r="O160">
        <f>IF(M160&lt;&gt;"",M160,MIN(D160,L160))</f>
        <v/>
      </c>
      <c r="P160">
        <f>IF(N160&lt;&gt;"",N160,E160)</f>
        <v/>
      </c>
    </row>
    <row r="161">
      <c r="A161" t="inlineStr">
        <is>
          <t>Toumani Camara</t>
        </is>
      </c>
      <c r="B161" t="inlineStr">
        <is>
          <t>POR</t>
        </is>
      </c>
      <c r="C161" t="inlineStr">
        <is>
          <t>PF,SF</t>
        </is>
      </c>
      <c r="D161" t="n">
        <v>77</v>
      </c>
      <c r="E161" t="n">
        <v>30.9</v>
      </c>
      <c r="F161" t="n">
        <v>82</v>
      </c>
      <c r="G161" t="n">
        <v>33.3</v>
      </c>
      <c r="H161" s="8">
        <f>IF(G161="","",E161-G161)</f>
        <v/>
      </c>
      <c r="J161" s="9" t="n"/>
      <c r="K161">
        <f>IF(J161="",0,COUNTIFS(Schedule!$B:$B,B161,Schedule!$A:$A,"&lt;"&amp;J161))</f>
        <v/>
      </c>
      <c r="L161">
        <f>82-K161</f>
        <v/>
      </c>
      <c r="M161" s="2" t="n"/>
      <c r="N161" s="2" t="n"/>
      <c r="O161">
        <f>IF(M161&lt;&gt;"",M161,MIN(D161,L161))</f>
        <v/>
      </c>
      <c r="P161">
        <f>IF(N161&lt;&gt;"",N161,E161)</f>
        <v/>
      </c>
    </row>
    <row r="162">
      <c r="A162" t="inlineStr">
        <is>
          <t>Jaylen Wells</t>
        </is>
      </c>
      <c r="B162" t="inlineStr">
        <is>
          <t>MEM</t>
        </is>
      </c>
      <c r="C162" t="inlineStr">
        <is>
          <t>SF,SG</t>
        </is>
      </c>
      <c r="D162" t="n">
        <v>75</v>
      </c>
      <c r="E162" t="n">
        <v>25.5</v>
      </c>
      <c r="F162" t="n">
        <v>69</v>
      </c>
      <c r="G162" t="n">
        <v>26.4</v>
      </c>
      <c r="H162" s="8">
        <f>IF(G162="","",E162-G162)</f>
        <v/>
      </c>
      <c r="J162" s="9" t="n"/>
      <c r="K162">
        <f>IF(J162="",0,COUNTIFS(Schedule!$B:$B,B162,Schedule!$A:$A,"&lt;"&amp;J162))</f>
        <v/>
      </c>
      <c r="L162">
        <f>82-K162</f>
        <v/>
      </c>
      <c r="M162" s="2" t="n"/>
      <c r="N162" s="2" t="n"/>
      <c r="O162">
        <f>IF(M162&lt;&gt;"",M162,MIN(D162,L162))</f>
        <v/>
      </c>
      <c r="P162">
        <f>IF(N162&lt;&gt;"",N162,E162)</f>
        <v/>
      </c>
    </row>
    <row r="163">
      <c r="A163" t="inlineStr">
        <is>
          <t>Morez Johnson Jr.</t>
        </is>
      </c>
      <c r="B163" t="inlineStr">
        <is>
          <t>DAL</t>
        </is>
      </c>
      <c r="C163" t="inlineStr">
        <is>
          <t>C,PF</t>
        </is>
      </c>
      <c r="D163" t="n">
        <v>75</v>
      </c>
      <c r="E163" t="n">
        <v>25.4</v>
      </c>
      <c r="H163" s="8">
        <f>IF(G163="","",E163-G163)</f>
        <v/>
      </c>
      <c r="I163" t="inlineStr">
        <is>
          <t>Day-To-Day</t>
        </is>
      </c>
      <c r="J163" s="9" t="n">
        <v>46309</v>
      </c>
      <c r="K163">
        <f>IF(J163="",0,COUNTIFS(Schedule!$B:$B,B163,Schedule!$A:$A,"&lt;"&amp;J163))</f>
        <v/>
      </c>
      <c r="L163">
        <f>82-K163</f>
        <v/>
      </c>
      <c r="M163" s="2" t="n"/>
      <c r="N163" s="2" t="n"/>
      <c r="O163">
        <f>IF(M163&lt;&gt;"",M163,MIN(D163,L163))</f>
        <v/>
      </c>
      <c r="P163">
        <f>IF(N163&lt;&gt;"",N163,E163)</f>
        <v/>
      </c>
      <c r="Q163" t="inlineStr">
        <is>
          <t>2026-10-11: Johnson (rest) won't play in Sunday's preseason game against the Rockets, Grant Afseth of DallasHoopsJournal.com reports.</t>
        </is>
      </c>
    </row>
    <row r="164">
      <c r="A164" t="inlineStr">
        <is>
          <t>Mark Williams</t>
        </is>
      </c>
      <c r="B164" t="inlineStr">
        <is>
          <t>PHO</t>
        </is>
      </c>
      <c r="C164" t="inlineStr">
        <is>
          <t>C</t>
        </is>
      </c>
      <c r="D164" t="n">
        <v>29</v>
      </c>
      <c r="E164" t="n">
        <v>20.8</v>
      </c>
      <c r="F164" t="n">
        <v>60</v>
      </c>
      <c r="G164" t="n">
        <v>23.6</v>
      </c>
      <c r="H164" s="8">
        <f>IF(G164="","",E164-G164)</f>
        <v/>
      </c>
      <c r="I164" t="inlineStr">
        <is>
          <t>Out</t>
        </is>
      </c>
      <c r="J164" s="9" t="n">
        <v>46421</v>
      </c>
      <c r="K164">
        <f>IF(J164="",0,COUNTIFS(Schedule!$B:$B,B164,Schedule!$A:$A,"&lt;"&amp;J164))</f>
        <v/>
      </c>
      <c r="L164">
        <f>82-K164</f>
        <v/>
      </c>
      <c r="M164" s="2" t="n">
        <v>25</v>
      </c>
      <c r="N164" s="2" t="n"/>
      <c r="O164">
        <f>IF(M164&lt;&gt;"",M164,MIN(D164,L164))</f>
        <v/>
      </c>
      <c r="P164">
        <f>IF(N164&lt;&gt;"",N164,E164)</f>
        <v/>
      </c>
      <c r="Q164" t="inlineStr">
        <is>
          <t>2026-09-11: Williams underwent surgery Thursday to repair a torn labrum in his left shoulder and will miss an extended period of time, Shams Charania of ESPN reports. · Out until at least February (shoulder surgery)</t>
        </is>
      </c>
    </row>
    <row r="165">
      <c r="A165" t="inlineStr">
        <is>
          <t>Naji Marshall</t>
        </is>
      </c>
      <c r="B165" t="inlineStr">
        <is>
          <t>DAL</t>
        </is>
      </c>
      <c r="C165" t="inlineStr">
        <is>
          <t>PF,SF,SG</t>
        </is>
      </c>
      <c r="D165" t="n">
        <v>74</v>
      </c>
      <c r="E165" t="n">
        <v>22.7</v>
      </c>
      <c r="F165" t="n">
        <v>74</v>
      </c>
      <c r="G165" t="n">
        <v>29.5</v>
      </c>
      <c r="H165" s="8">
        <f>IF(G165="","",E165-G165)</f>
        <v/>
      </c>
      <c r="J165" s="9" t="n"/>
      <c r="K165">
        <f>IF(J165="",0,COUNTIFS(Schedule!$B:$B,B165,Schedule!$A:$A,"&lt;"&amp;J165))</f>
        <v/>
      </c>
      <c r="L165">
        <f>82-K165</f>
        <v/>
      </c>
      <c r="M165" s="2" t="n"/>
      <c r="N165" s="2" t="n"/>
      <c r="O165">
        <f>IF(M165&lt;&gt;"",M165,MIN(D165,L165))</f>
        <v/>
      </c>
      <c r="P165">
        <f>IF(N165&lt;&gt;"",N165,E165)</f>
        <v/>
      </c>
    </row>
    <row r="166">
      <c r="A166" t="inlineStr">
        <is>
          <t>Jrue Holiday</t>
        </is>
      </c>
      <c r="B166" t="inlineStr">
        <is>
          <t>POR</t>
        </is>
      </c>
      <c r="C166" t="inlineStr">
        <is>
          <t>PG,SG</t>
        </is>
      </c>
      <c r="D166" t="n">
        <v>73</v>
      </c>
      <c r="E166" t="n">
        <v>25.7</v>
      </c>
      <c r="F166" t="n">
        <v>53</v>
      </c>
      <c r="G166" t="n">
        <v>29.4</v>
      </c>
      <c r="H166" s="8">
        <f>IF(G166="","",E166-G166)</f>
        <v/>
      </c>
      <c r="J166" s="9" t="n"/>
      <c r="K166">
        <f>IF(J166="",0,COUNTIFS(Schedule!$B:$B,B166,Schedule!$A:$A,"&lt;"&amp;J166))</f>
        <v/>
      </c>
      <c r="L166">
        <f>82-K166</f>
        <v/>
      </c>
      <c r="M166" s="2" t="n"/>
      <c r="N166" s="2" t="n"/>
      <c r="O166">
        <f>IF(M166&lt;&gt;"",M166,MIN(D166,L166))</f>
        <v/>
      </c>
      <c r="P166">
        <f>IF(N166&lt;&gt;"",N166,E166)</f>
        <v/>
      </c>
    </row>
    <row r="167">
      <c r="A167" t="inlineStr">
        <is>
          <t>Yaxel Lendeborg</t>
        </is>
      </c>
      <c r="B167" t="inlineStr">
        <is>
          <t>GSW</t>
        </is>
      </c>
      <c r="C167" t="inlineStr">
        <is>
          <t>PF,SF</t>
        </is>
      </c>
      <c r="D167" t="n">
        <v>75</v>
      </c>
      <c r="E167" t="n">
        <v>25</v>
      </c>
      <c r="H167" s="8">
        <f>IF(G167="","",E167-G167)</f>
        <v/>
      </c>
      <c r="J167" s="9" t="n"/>
      <c r="K167">
        <f>IF(J167="",0,COUNTIFS(Schedule!$B:$B,B167,Schedule!$A:$A,"&lt;"&amp;J167))</f>
        <v/>
      </c>
      <c r="L167">
        <f>82-K167</f>
        <v/>
      </c>
      <c r="M167" s="2" t="n"/>
      <c r="N167" s="2" t="n"/>
      <c r="O167">
        <f>IF(M167&lt;&gt;"",M167,MIN(D167,L167))</f>
        <v/>
      </c>
      <c r="P167">
        <f>IF(N167&lt;&gt;"",N167,E167)</f>
        <v/>
      </c>
    </row>
    <row r="168">
      <c r="A168" t="inlineStr">
        <is>
          <t>Kel'el Ware</t>
        </is>
      </c>
      <c r="B168" t="inlineStr">
        <is>
          <t>MIL</t>
        </is>
      </c>
      <c r="C168" t="inlineStr">
        <is>
          <t>C</t>
        </is>
      </c>
      <c r="D168" t="n">
        <v>75</v>
      </c>
      <c r="E168" t="n">
        <v>23.4</v>
      </c>
      <c r="F168" t="n">
        <v>77</v>
      </c>
      <c r="G168" t="n">
        <v>22.1</v>
      </c>
      <c r="H168" s="8">
        <f>IF(G168="","",E168-G168)</f>
        <v/>
      </c>
      <c r="J168" s="9" t="n"/>
      <c r="K168">
        <f>IF(J168="",0,COUNTIFS(Schedule!$B:$B,B168,Schedule!$A:$A,"&lt;"&amp;J168))</f>
        <v/>
      </c>
      <c r="L168">
        <f>82-K168</f>
        <v/>
      </c>
      <c r="M168" s="2" t="n"/>
      <c r="N168" s="2" t="n"/>
      <c r="O168">
        <f>IF(M168&lt;&gt;"",M168,MIN(D168,L168))</f>
        <v/>
      </c>
      <c r="P168">
        <f>IF(N168&lt;&gt;"",N168,E168)</f>
        <v/>
      </c>
      <c r="Q168" t="inlineStr">
        <is>
          <t>Producing in blocks, threes, FG%</t>
        </is>
      </c>
    </row>
    <row r="169">
      <c r="A169" t="inlineStr">
        <is>
          <t>Moses Moody</t>
        </is>
      </c>
      <c r="B169" t="inlineStr">
        <is>
          <t>GSW</t>
        </is>
      </c>
      <c r="C169" t="inlineStr">
        <is>
          <t>PF,SF,SG</t>
        </is>
      </c>
      <c r="D169" t="n">
        <v>36</v>
      </c>
      <c r="E169" t="n">
        <v>22.7</v>
      </c>
      <c r="F169" t="n">
        <v>60</v>
      </c>
      <c r="G169" t="n">
        <v>25.7</v>
      </c>
      <c r="H169" s="8">
        <f>IF(G169="","",E169-G169)</f>
        <v/>
      </c>
      <c r="I169" t="inlineStr">
        <is>
          <t>Out</t>
        </is>
      </c>
      <c r="J169" s="9" t="n">
        <v>46357</v>
      </c>
      <c r="K169">
        <f>IF(J169="",0,COUNTIFS(Schedule!$B:$B,B169,Schedule!$A:$A,"&lt;"&amp;J169))</f>
        <v/>
      </c>
      <c r="L169">
        <f>82-K169</f>
        <v/>
      </c>
      <c r="M169" s="2" t="n"/>
      <c r="N169" s="2" t="n"/>
      <c r="O169">
        <f>IF(M169&lt;&gt;"",M169,MIN(D169,L169))</f>
        <v/>
      </c>
      <c r="P169">
        <f>IF(N169&lt;&gt;"",N169,E169)</f>
        <v/>
      </c>
      <c r="Q169" t="inlineStr">
        <is>
          <t>2026-09-28: Moody has progressed to light on-court activities as he continues his recovery from a ruptured left patellar tendon, Evan Webeck of The Mercury News reports.</t>
        </is>
      </c>
    </row>
    <row r="170">
      <c r="A170" t="inlineStr">
        <is>
          <t>Jared McCain</t>
        </is>
      </c>
      <c r="B170" t="inlineStr">
        <is>
          <t>OKC</t>
        </is>
      </c>
      <c r="C170" t="inlineStr">
        <is>
          <t>PG,SG</t>
        </is>
      </c>
      <c r="D170" t="n">
        <v>74</v>
      </c>
      <c r="E170" t="n">
        <v>20.3</v>
      </c>
      <c r="F170" t="n">
        <v>67</v>
      </c>
      <c r="G170" t="n">
        <v>17.3</v>
      </c>
      <c r="H170" s="8">
        <f>IF(G170="","",E170-G170)</f>
        <v/>
      </c>
      <c r="I170" t="inlineStr">
        <is>
          <t>Day-To-Day</t>
        </is>
      </c>
      <c r="J170" s="9" t="n">
        <v>46308</v>
      </c>
      <c r="K170">
        <f>IF(J170="",0,COUNTIFS(Schedule!$B:$B,B170,Schedule!$A:$A,"&lt;"&amp;J170))</f>
        <v/>
      </c>
      <c r="L170">
        <f>82-K170</f>
        <v/>
      </c>
      <c r="M170" s="2" t="n"/>
      <c r="N170" s="2" t="n"/>
      <c r="O170">
        <f>IF(M170&lt;&gt;"",M170,MIN(D170,L170))</f>
        <v/>
      </c>
      <c r="P170">
        <f>IF(N170&lt;&gt;"",N170,E170)</f>
        <v/>
      </c>
      <c r="Q170" t="inlineStr">
        <is>
          <t>2026-10-10: McCain (rest) has been ruled out for Monday's game against the Hawks, Clemente Almanza of USA Today reports.</t>
        </is>
      </c>
    </row>
    <row r="171">
      <c r="A171" t="inlineStr">
        <is>
          <t>Reed Sheppard</t>
        </is>
      </c>
      <c r="B171" t="inlineStr">
        <is>
          <t>HOU</t>
        </is>
      </c>
      <c r="C171" t="inlineStr">
        <is>
          <t>PG,SG</t>
        </is>
      </c>
      <c r="D171" t="n">
        <v>77</v>
      </c>
      <c r="E171" t="n">
        <v>21.4</v>
      </c>
      <c r="F171" t="n">
        <v>82</v>
      </c>
      <c r="G171" t="n">
        <v>26.2</v>
      </c>
      <c r="H171" s="8">
        <f>IF(G171="","",E171-G171)</f>
        <v/>
      </c>
      <c r="J171" s="9" t="n"/>
      <c r="K171">
        <f>IF(J171="",0,COUNTIFS(Schedule!$B:$B,B171,Schedule!$A:$A,"&lt;"&amp;J171))</f>
        <v/>
      </c>
      <c r="L171">
        <f>82-K171</f>
        <v/>
      </c>
      <c r="M171" s="2" t="n"/>
      <c r="N171" s="2" t="n"/>
      <c r="O171">
        <f>IF(M171&lt;&gt;"",M171,MIN(D171,L171))</f>
        <v/>
      </c>
      <c r="P171">
        <f>IF(N171&lt;&gt;"",N171,E171)</f>
        <v/>
      </c>
    </row>
    <row r="172">
      <c r="A172" t="inlineStr">
        <is>
          <t>Wendell Carter Jr.</t>
        </is>
      </c>
      <c r="B172" t="inlineStr">
        <is>
          <t>ORL</t>
        </is>
      </c>
      <c r="C172" t="inlineStr">
        <is>
          <t>C</t>
        </is>
      </c>
      <c r="D172" t="n">
        <v>75</v>
      </c>
      <c r="E172" t="n">
        <v>26.9</v>
      </c>
      <c r="F172" t="n">
        <v>78</v>
      </c>
      <c r="G172" t="n">
        <v>29.3</v>
      </c>
      <c r="H172" s="8">
        <f>IF(G172="","",E172-G172)</f>
        <v/>
      </c>
      <c r="J172" s="9" t="n"/>
      <c r="K172">
        <f>IF(J172="",0,COUNTIFS(Schedule!$B:$B,B172,Schedule!$A:$A,"&lt;"&amp;J172))</f>
        <v/>
      </c>
      <c r="L172">
        <f>82-K172</f>
        <v/>
      </c>
      <c r="M172" s="2" t="n"/>
      <c r="N172" s="2" t="n"/>
      <c r="O172">
        <f>IF(M172&lt;&gt;"",M172,MIN(D172,L172))</f>
        <v/>
      </c>
      <c r="P172">
        <f>IF(N172&lt;&gt;"",N172,E172)</f>
        <v/>
      </c>
    </row>
    <row r="173">
      <c r="A173" t="inlineStr">
        <is>
          <t>Isaiah Joe</t>
        </is>
      </c>
      <c r="B173" t="inlineStr">
        <is>
          <t>DET</t>
        </is>
      </c>
      <c r="C173" t="inlineStr">
        <is>
          <t>SF,SG</t>
        </is>
      </c>
      <c r="D173" t="n">
        <v>75</v>
      </c>
      <c r="E173" t="n">
        <v>21.7</v>
      </c>
      <c r="F173" t="n">
        <v>71</v>
      </c>
      <c r="G173" t="n">
        <v>21.2</v>
      </c>
      <c r="H173" s="8">
        <f>IF(G173="","",E173-G173)</f>
        <v/>
      </c>
      <c r="J173" s="9" t="n"/>
      <c r="K173">
        <f>IF(J173="",0,COUNTIFS(Schedule!$B:$B,B173,Schedule!$A:$A,"&lt;"&amp;J173))</f>
        <v/>
      </c>
      <c r="L173">
        <f>82-K173</f>
        <v/>
      </c>
      <c r="M173" s="2" t="n"/>
      <c r="N173" s="2" t="n"/>
      <c r="O173">
        <f>IF(M173&lt;&gt;"",M173,MIN(D173,L173))</f>
        <v/>
      </c>
      <c r="P173">
        <f>IF(N173&lt;&gt;"",N173,E173)</f>
        <v/>
      </c>
    </row>
    <row r="174">
      <c r="A174" t="inlineStr">
        <is>
          <t>Donovan Clingan</t>
        </is>
      </c>
      <c r="B174" t="inlineStr">
        <is>
          <t>POR</t>
        </is>
      </c>
      <c r="C174" t="inlineStr">
        <is>
          <t>C</t>
        </is>
      </c>
      <c r="D174" t="n">
        <v>76</v>
      </c>
      <c r="E174" t="n">
        <v>25.1</v>
      </c>
      <c r="F174" t="n">
        <v>77</v>
      </c>
      <c r="G174" t="n">
        <v>27.2</v>
      </c>
      <c r="H174" s="8">
        <f>IF(G174="","",E174-G174)</f>
        <v/>
      </c>
      <c r="J174" s="9" t="n"/>
      <c r="K174">
        <f>IF(J174="",0,COUNTIFS(Schedule!$B:$B,B174,Schedule!$A:$A,"&lt;"&amp;J174))</f>
        <v/>
      </c>
      <c r="L174">
        <f>82-K174</f>
        <v/>
      </c>
      <c r="M174" s="2" t="n"/>
      <c r="N174" s="2" t="n"/>
      <c r="O174">
        <f>IF(M174&lt;&gt;"",M174,MIN(D174,L174))</f>
        <v/>
      </c>
      <c r="P174">
        <f>IF(N174&lt;&gt;"",N174,E174)</f>
        <v/>
      </c>
    </row>
    <row r="175">
      <c r="A175" t="inlineStr">
        <is>
          <t>Deandre Ayton</t>
        </is>
      </c>
      <c r="B175" t="inlineStr">
        <is>
          <t>WAS</t>
        </is>
      </c>
      <c r="C175" t="inlineStr">
        <is>
          <t>C</t>
        </is>
      </c>
      <c r="D175" t="n">
        <v>71</v>
      </c>
      <c r="E175" t="n">
        <v>22.5</v>
      </c>
      <c r="F175" t="n">
        <v>72</v>
      </c>
      <c r="G175" t="n">
        <v>27.2</v>
      </c>
      <c r="H175" s="8">
        <f>IF(G175="","",E175-G175)</f>
        <v/>
      </c>
      <c r="J175" s="9" t="n"/>
      <c r="K175">
        <f>IF(J175="",0,COUNTIFS(Schedule!$B:$B,B175,Schedule!$A:$A,"&lt;"&amp;J175))</f>
        <v/>
      </c>
      <c r="L175">
        <f>82-K175</f>
        <v/>
      </c>
      <c r="M175" s="2" t="n"/>
      <c r="N175" s="2" t="n"/>
      <c r="O175">
        <f>IF(M175&lt;&gt;"",M175,MIN(D175,L175))</f>
        <v/>
      </c>
      <c r="P175">
        <f>IF(N175&lt;&gt;"",N175,E175)</f>
        <v/>
      </c>
    </row>
    <row r="176">
      <c r="A176" t="inlineStr">
        <is>
          <t>Ajay Mitchell</t>
        </is>
      </c>
      <c r="B176" t="inlineStr">
        <is>
          <t>OKC</t>
        </is>
      </c>
      <c r="C176" t="inlineStr">
        <is>
          <t>PG,SG</t>
        </is>
      </c>
      <c r="D176" t="n">
        <v>67</v>
      </c>
      <c r="E176" t="n">
        <v>19.6</v>
      </c>
      <c r="F176" t="n">
        <v>57</v>
      </c>
      <c r="G176" t="n">
        <v>25.8</v>
      </c>
      <c r="H176" s="8">
        <f>IF(G176="","",E176-G176)</f>
        <v/>
      </c>
      <c r="I176" t="inlineStr">
        <is>
          <t>Day-To-Day</t>
        </is>
      </c>
      <c r="J176" s="9" t="n">
        <v>46308</v>
      </c>
      <c r="K176">
        <f>IF(J176="",0,COUNTIFS(Schedule!$B:$B,B176,Schedule!$A:$A,"&lt;"&amp;J176))</f>
        <v/>
      </c>
      <c r="L176">
        <f>82-K176</f>
        <v/>
      </c>
      <c r="M176" s="2" t="n"/>
      <c r="N176" s="2" t="n"/>
      <c r="O176">
        <f>IF(M176&lt;&gt;"",M176,MIN(D176,L176))</f>
        <v/>
      </c>
      <c r="P176">
        <f>IF(N176&lt;&gt;"",N176,E176)</f>
        <v/>
      </c>
      <c r="Q176" t="inlineStr">
        <is>
          <t>2026-10-10: Mitchell (rest) won't play in Monday's preseason game against the Hawks, Clemente Almanza of USA Today reports.</t>
        </is>
      </c>
    </row>
    <row r="177">
      <c r="A177" t="inlineStr">
        <is>
          <t>Jalen Smith</t>
        </is>
      </c>
      <c r="B177" t="inlineStr">
        <is>
          <t>CHI</t>
        </is>
      </c>
      <c r="C177" t="inlineStr">
        <is>
          <t>PF,C</t>
        </is>
      </c>
      <c r="D177" t="n">
        <v>72</v>
      </c>
      <c r="E177" t="n">
        <v>20.8</v>
      </c>
      <c r="F177" t="n">
        <v>53</v>
      </c>
      <c r="G177" t="n">
        <v>20.7</v>
      </c>
      <c r="H177" s="8">
        <f>IF(G177="","",E177-G177)</f>
        <v/>
      </c>
      <c r="J177" s="9" t="n"/>
      <c r="K177">
        <f>IF(J177="",0,COUNTIFS(Schedule!$B:$B,B177,Schedule!$A:$A,"&lt;"&amp;J177))</f>
        <v/>
      </c>
      <c r="L177">
        <f>82-K177</f>
        <v/>
      </c>
      <c r="M177" s="2" t="n"/>
      <c r="N177" s="2" t="n"/>
      <c r="O177">
        <f>IF(M177&lt;&gt;"",M177,MIN(D177,L177))</f>
        <v/>
      </c>
      <c r="P177">
        <f>IF(N177&lt;&gt;"",N177,E177)</f>
        <v/>
      </c>
    </row>
    <row r="178">
      <c r="A178" t="inlineStr">
        <is>
          <t>Santi Aldama</t>
        </is>
      </c>
      <c r="B178" t="inlineStr">
        <is>
          <t>DAL</t>
        </is>
      </c>
      <c r="C178" t="inlineStr">
        <is>
          <t>PF,SF</t>
        </is>
      </c>
      <c r="D178" t="n">
        <v>72</v>
      </c>
      <c r="E178" t="n">
        <v>21.9</v>
      </c>
      <c r="F178" t="n">
        <v>43</v>
      </c>
      <c r="G178" t="n">
        <v>27.9</v>
      </c>
      <c r="H178" s="8">
        <f>IF(G178="","",E178-G178)</f>
        <v/>
      </c>
      <c r="I178" t="inlineStr">
        <is>
          <t>Day-To-Day</t>
        </is>
      </c>
      <c r="J178" s="9" t="n">
        <v>46309</v>
      </c>
      <c r="K178">
        <f>IF(J178="",0,COUNTIFS(Schedule!$B:$B,B178,Schedule!$A:$A,"&lt;"&amp;J178))</f>
        <v/>
      </c>
      <c r="L178">
        <f>82-K178</f>
        <v/>
      </c>
      <c r="M178" s="2" t="n"/>
      <c r="N178" s="2" t="n"/>
      <c r="O178">
        <f>IF(M178&lt;&gt;"",M178,MIN(D178,L178))</f>
        <v/>
      </c>
      <c r="P178">
        <f>IF(N178&lt;&gt;"",N178,E178)</f>
        <v/>
      </c>
      <c r="Q178" t="inlineStr">
        <is>
          <t>2026-10-11: Aldama (knee) won't play in Sunday's preseason game against the Rockets, Grant Afseth of DallasHoopsJournal.com reports.</t>
        </is>
      </c>
    </row>
    <row r="179">
      <c r="A179" t="inlineStr">
        <is>
          <t>Ausar Thompson</t>
        </is>
      </c>
      <c r="B179" t="inlineStr">
        <is>
          <t>DET</t>
        </is>
      </c>
      <c r="C179" t="inlineStr">
        <is>
          <t>PF,SF,SG</t>
        </is>
      </c>
      <c r="D179" t="n">
        <v>74</v>
      </c>
      <c r="E179" t="n">
        <v>26.1</v>
      </c>
      <c r="F179" t="n">
        <v>73</v>
      </c>
      <c r="G179" t="n">
        <v>26</v>
      </c>
      <c r="H179" s="8">
        <f>IF(G179="","",E179-G179)</f>
        <v/>
      </c>
      <c r="J179" s="9" t="n"/>
      <c r="K179">
        <f>IF(J179="",0,COUNTIFS(Schedule!$B:$B,B179,Schedule!$A:$A,"&lt;"&amp;J179))</f>
        <v/>
      </c>
      <c r="L179">
        <f>82-K179</f>
        <v/>
      </c>
      <c r="M179" s="2" t="n"/>
      <c r="N179" s="2" t="n"/>
      <c r="O179">
        <f>IF(M179&lt;&gt;"",M179,MIN(D179,L179))</f>
        <v/>
      </c>
      <c r="P179">
        <f>IF(N179&lt;&gt;"",N179,E179)</f>
        <v/>
      </c>
      <c r="Q179" t="inlineStr">
        <is>
          <t>Signed long-term; minutes up</t>
        </is>
      </c>
    </row>
    <row r="180">
      <c r="A180" t="inlineStr">
        <is>
          <t>Collin Gillespie</t>
        </is>
      </c>
      <c r="B180" t="inlineStr">
        <is>
          <t>PHO</t>
        </is>
      </c>
      <c r="C180" t="inlineStr">
        <is>
          <t>PG,SG</t>
        </is>
      </c>
      <c r="D180" t="n">
        <v>76</v>
      </c>
      <c r="E180" t="n">
        <v>22.9</v>
      </c>
      <c r="F180" t="n">
        <v>80</v>
      </c>
      <c r="G180" t="n">
        <v>28.5</v>
      </c>
      <c r="H180" s="8">
        <f>IF(G180="","",E180-G180)</f>
        <v/>
      </c>
      <c r="J180" s="9" t="n"/>
      <c r="K180">
        <f>IF(J180="",0,COUNTIFS(Schedule!$B:$B,B180,Schedule!$A:$A,"&lt;"&amp;J180))</f>
        <v/>
      </c>
      <c r="L180">
        <f>82-K180</f>
        <v/>
      </c>
      <c r="M180" s="2" t="n"/>
      <c r="N180" s="2" t="n"/>
      <c r="O180">
        <f>IF(M180&lt;&gt;"",M180,MIN(D180,L180))</f>
        <v/>
      </c>
      <c r="P180">
        <f>IF(N180&lt;&gt;"",N180,E180)</f>
        <v/>
      </c>
    </row>
    <row r="181">
      <c r="A181" t="inlineStr">
        <is>
          <t>Derrick Jones Jr.</t>
        </is>
      </c>
      <c r="B181" t="inlineStr">
        <is>
          <t>LAC</t>
        </is>
      </c>
      <c r="C181" t="inlineStr">
        <is>
          <t>SF,PF</t>
        </is>
      </c>
      <c r="D181" t="n">
        <v>73</v>
      </c>
      <c r="E181" t="n">
        <v>25.4</v>
      </c>
      <c r="F181" t="n">
        <v>50</v>
      </c>
      <c r="G181" t="n">
        <v>27</v>
      </c>
      <c r="H181" s="8">
        <f>IF(G181="","",E181-G181)</f>
        <v/>
      </c>
      <c r="J181" s="9" t="n"/>
      <c r="K181">
        <f>IF(J181="",0,COUNTIFS(Schedule!$B:$B,B181,Schedule!$A:$A,"&lt;"&amp;J181))</f>
        <v/>
      </c>
      <c r="L181">
        <f>82-K181</f>
        <v/>
      </c>
      <c r="M181" s="2" t="n"/>
      <c r="N181" s="2" t="n"/>
      <c r="O181">
        <f>IF(M181&lt;&gt;"",M181,MIN(D181,L181))</f>
        <v/>
      </c>
      <c r="P181">
        <f>IF(N181&lt;&gt;"",N181,E181)</f>
        <v/>
      </c>
    </row>
    <row r="182">
      <c r="A182" t="inlineStr">
        <is>
          <t>Obi Toppin</t>
        </is>
      </c>
      <c r="B182" t="inlineStr">
        <is>
          <t>IND</t>
        </is>
      </c>
      <c r="C182" t="inlineStr">
        <is>
          <t>PF,SF</t>
        </is>
      </c>
      <c r="D182" t="n">
        <v>71</v>
      </c>
      <c r="E182" t="n">
        <v>18.4</v>
      </c>
      <c r="F182" t="n">
        <v>24</v>
      </c>
      <c r="G182" t="n">
        <v>17.7</v>
      </c>
      <c r="H182" s="8">
        <f>IF(G182="","",E182-G182)</f>
        <v/>
      </c>
      <c r="J182" s="9" t="n"/>
      <c r="K182">
        <f>IF(J182="",0,COUNTIFS(Schedule!$B:$B,B182,Schedule!$A:$A,"&lt;"&amp;J182))</f>
        <v/>
      </c>
      <c r="L182">
        <f>82-K182</f>
        <v/>
      </c>
      <c r="M182" s="2" t="n"/>
      <c r="N182" s="2" t="n"/>
      <c r="O182">
        <f>IF(M182&lt;&gt;"",M182,MIN(D182,L182))</f>
        <v/>
      </c>
      <c r="P182">
        <f>IF(N182&lt;&gt;"",N182,E182)</f>
        <v/>
      </c>
    </row>
    <row r="183">
      <c r="A183" t="inlineStr">
        <is>
          <t>Isaiah Hartenstein</t>
        </is>
      </c>
      <c r="B183" t="inlineStr">
        <is>
          <t>OKC</t>
        </is>
      </c>
      <c r="C183" t="inlineStr">
        <is>
          <t>C</t>
        </is>
      </c>
      <c r="D183" t="n">
        <v>71</v>
      </c>
      <c r="E183" t="n">
        <v>25.2</v>
      </c>
      <c r="F183" t="n">
        <v>47</v>
      </c>
      <c r="G183" t="n">
        <v>24.2</v>
      </c>
      <c r="H183" s="8">
        <f>IF(G183="","",E183-G183)</f>
        <v/>
      </c>
      <c r="I183" t="inlineStr">
        <is>
          <t>Day-To-Day</t>
        </is>
      </c>
      <c r="J183" s="9" t="n">
        <v>46308</v>
      </c>
      <c r="K183">
        <f>IF(J183="",0,COUNTIFS(Schedule!$B:$B,B183,Schedule!$A:$A,"&lt;"&amp;J183))</f>
        <v/>
      </c>
      <c r="L183">
        <f>82-K183</f>
        <v/>
      </c>
      <c r="M183" s="2" t="n"/>
      <c r="N183" s="2" t="n"/>
      <c r="O183">
        <f>IF(M183&lt;&gt;"",M183,MIN(D183,L183))</f>
        <v/>
      </c>
      <c r="P183">
        <f>IF(N183&lt;&gt;"",N183,E183)</f>
        <v/>
      </c>
      <c r="Q183" t="inlineStr">
        <is>
          <t>2026-10-10: Hartenstein (ankle) won't play in Monday's preseason game against the Hawks, Clemente Almanza of USA Today reports.</t>
        </is>
      </c>
    </row>
    <row r="184">
      <c r="A184" t="inlineStr">
        <is>
          <t>Sam Merrill</t>
        </is>
      </c>
      <c r="B184" t="inlineStr">
        <is>
          <t>CLE</t>
        </is>
      </c>
      <c r="C184" t="inlineStr">
        <is>
          <t>SF,SG</t>
        </is>
      </c>
      <c r="D184" t="n">
        <v>70</v>
      </c>
      <c r="E184" t="n">
        <v>22.6</v>
      </c>
      <c r="F184" t="n">
        <v>52</v>
      </c>
      <c r="G184" t="n">
        <v>26.5</v>
      </c>
      <c r="H184" s="8">
        <f>IF(G184="","",E184-G184)</f>
        <v/>
      </c>
      <c r="J184" s="9" t="n"/>
      <c r="K184">
        <f>IF(J184="",0,COUNTIFS(Schedule!$B:$B,B184,Schedule!$A:$A,"&lt;"&amp;J184))</f>
        <v/>
      </c>
      <c r="L184">
        <f>82-K184</f>
        <v/>
      </c>
      <c r="M184" s="2" t="n"/>
      <c r="N184" s="2" t="n"/>
      <c r="O184">
        <f>IF(M184&lt;&gt;"",M184,MIN(D184,L184))</f>
        <v/>
      </c>
      <c r="P184">
        <f>IF(N184&lt;&gt;"",N184,E184)</f>
        <v/>
      </c>
    </row>
    <row r="185">
      <c r="A185" t="inlineStr">
        <is>
          <t>Scotty Pippen Jr.</t>
        </is>
      </c>
      <c r="B185" t="inlineStr">
        <is>
          <t>MEM</t>
        </is>
      </c>
      <c r="C185" t="inlineStr">
        <is>
          <t>PG,SG</t>
        </is>
      </c>
      <c r="D185" t="n">
        <v>71</v>
      </c>
      <c r="E185" t="n">
        <v>20.9</v>
      </c>
      <c r="F185" t="n">
        <v>10</v>
      </c>
      <c r="G185" t="n">
        <v>21.2</v>
      </c>
      <c r="H185" s="8">
        <f>IF(G185="","",E185-G185)</f>
        <v/>
      </c>
      <c r="J185" s="9" t="n"/>
      <c r="K185">
        <f>IF(J185="",0,COUNTIFS(Schedule!$B:$B,B185,Schedule!$A:$A,"&lt;"&amp;J185))</f>
        <v/>
      </c>
      <c r="L185">
        <f>82-K185</f>
        <v/>
      </c>
      <c r="M185" s="2" t="n"/>
      <c r="N185" s="2" t="n"/>
      <c r="O185">
        <f>IF(M185&lt;&gt;"",M185,MIN(D185,L185))</f>
        <v/>
      </c>
      <c r="P185">
        <f>IF(N185&lt;&gt;"",N185,E185)</f>
        <v/>
      </c>
    </row>
    <row r="186">
      <c r="A186" t="inlineStr">
        <is>
          <t>Dennis Schroder</t>
        </is>
      </c>
      <c r="B186" t="inlineStr">
        <is>
          <t>CHA</t>
        </is>
      </c>
      <c r="C186" t="inlineStr">
        <is>
          <t>PG,SG</t>
        </is>
      </c>
      <c r="D186" t="n">
        <v>75</v>
      </c>
      <c r="E186" t="n">
        <v>21.9</v>
      </c>
      <c r="F186" t="n">
        <v>70</v>
      </c>
      <c r="G186" t="n">
        <v>24.2</v>
      </c>
      <c r="H186" s="8">
        <f>IF(G186="","",E186-G186)</f>
        <v/>
      </c>
      <c r="J186" s="9" t="n"/>
      <c r="K186">
        <f>IF(J186="",0,COUNTIFS(Schedule!$B:$B,B186,Schedule!$A:$A,"&lt;"&amp;J186))</f>
        <v/>
      </c>
      <c r="L186">
        <f>82-K186</f>
        <v/>
      </c>
      <c r="M186" s="2" t="n"/>
      <c r="N186" s="2" t="n"/>
      <c r="O186">
        <f>IF(M186&lt;&gt;"",M186,MIN(D186,L186))</f>
        <v/>
      </c>
      <c r="P186">
        <f>IF(N186&lt;&gt;"",N186,E186)</f>
        <v/>
      </c>
    </row>
    <row r="187">
      <c r="A187" t="inlineStr">
        <is>
          <t>Tre Jones</t>
        </is>
      </c>
      <c r="B187" t="inlineStr">
        <is>
          <t>CHI</t>
        </is>
      </c>
      <c r="C187" t="inlineStr">
        <is>
          <t>PG,SG</t>
        </is>
      </c>
      <c r="D187" t="n">
        <v>73</v>
      </c>
      <c r="E187" t="n">
        <v>20.2</v>
      </c>
      <c r="F187" t="n">
        <v>65</v>
      </c>
      <c r="G187" t="n">
        <v>27</v>
      </c>
      <c r="H187" s="8">
        <f>IF(G187="","",E187-G187)</f>
        <v/>
      </c>
      <c r="I187" t="inlineStr">
        <is>
          <t>Day-To-Day</t>
        </is>
      </c>
      <c r="J187" s="9" t="n">
        <v>46306</v>
      </c>
      <c r="K187">
        <f>IF(J187="",0,COUNTIFS(Schedule!$B:$B,B187,Schedule!$A:$A,"&lt;"&amp;J187))</f>
        <v/>
      </c>
      <c r="L187">
        <f>82-K187</f>
        <v/>
      </c>
      <c r="M187" s="2" t="n"/>
      <c r="N187" s="2" t="n"/>
      <c r="O187">
        <f>IF(M187&lt;&gt;"",M187,MIN(D187,L187))</f>
        <v/>
      </c>
      <c r="P187">
        <f>IF(N187&lt;&gt;"",N187,E187)</f>
        <v/>
      </c>
      <c r="Q187" t="inlineStr">
        <is>
          <t>2026-10-09: Jones (hip) has been ruled out for Friday's preseason game against the Grizzlies, K.C. Johnson of Chicago Sports Network reports.</t>
        </is>
      </c>
    </row>
    <row r="188">
      <c r="A188" t="inlineStr">
        <is>
          <t>Sam Hauser</t>
        </is>
      </c>
      <c r="B188" t="inlineStr">
        <is>
          <t>BOS</t>
        </is>
      </c>
      <c r="C188" t="inlineStr">
        <is>
          <t>SF,PF</t>
        </is>
      </c>
      <c r="D188" t="n">
        <v>78</v>
      </c>
      <c r="E188" t="n">
        <v>24.1</v>
      </c>
      <c r="F188" t="n">
        <v>78</v>
      </c>
      <c r="G188" t="n">
        <v>24.8</v>
      </c>
      <c r="H188" s="8">
        <f>IF(G188="","",E188-G188)</f>
        <v/>
      </c>
      <c r="J188" s="9" t="n"/>
      <c r="K188">
        <f>IF(J188="",0,COUNTIFS(Schedule!$B:$B,B188,Schedule!$A:$A,"&lt;"&amp;J188))</f>
        <v/>
      </c>
      <c r="L188">
        <f>82-K188</f>
        <v/>
      </c>
      <c r="M188" s="2" t="n"/>
      <c r="N188" s="2" t="n"/>
      <c r="O188">
        <f>IF(M188&lt;&gt;"",M188,MIN(D188,L188))</f>
        <v/>
      </c>
      <c r="P188">
        <f>IF(N188&lt;&gt;"",N188,E188)</f>
        <v/>
      </c>
    </row>
    <row r="189">
      <c r="A189" t="inlineStr">
        <is>
          <t>Jusuf Nurkic</t>
        </is>
      </c>
      <c r="B189" t="inlineStr">
        <is>
          <t>UTH</t>
        </is>
      </c>
      <c r="C189" t="inlineStr">
        <is>
          <t>C</t>
        </is>
      </c>
      <c r="D189" t="n">
        <v>68</v>
      </c>
      <c r="E189" t="n">
        <v>22.9</v>
      </c>
      <c r="F189" t="n">
        <v>41</v>
      </c>
      <c r="G189" t="n">
        <v>26.4</v>
      </c>
      <c r="H189" s="8">
        <f>IF(G189="","",E189-G189)</f>
        <v/>
      </c>
      <c r="I189" t="inlineStr">
        <is>
          <t>Out</t>
        </is>
      </c>
      <c r="J189" s="9" t="n">
        <v>46330</v>
      </c>
      <c r="K189">
        <f>IF(J189="",0,COUNTIFS(Schedule!$B:$B,B189,Schedule!$A:$A,"&lt;"&amp;J189))</f>
        <v/>
      </c>
      <c r="L189">
        <f>82-K189</f>
        <v/>
      </c>
      <c r="M189" s="2" t="n">
        <v>70</v>
      </c>
      <c r="N189" s="2" t="n"/>
      <c r="O189">
        <f>IF(M189&lt;&gt;"",M189,MIN(D189,L189))</f>
        <v/>
      </c>
      <c r="P189">
        <f>IF(N189&lt;&gt;"",N189,E189)</f>
        <v/>
      </c>
      <c r="Q189" t="inlineStr">
        <is>
          <t>2026-10-07: Nurkic will miss at least the next four weeks due to a partial plantar plate tear of second toe in right foot, Chris Haynes of NBA TV reports. · Plantar plate tear, out about a month</t>
        </is>
      </c>
    </row>
    <row r="190">
      <c r="A190" t="inlineStr">
        <is>
          <t>Bilal Coulibaly</t>
        </is>
      </c>
      <c r="B190" t="inlineStr">
        <is>
          <t>WAS</t>
        </is>
      </c>
      <c r="C190" t="inlineStr">
        <is>
          <t>SG,SF</t>
        </is>
      </c>
      <c r="D190" t="n">
        <v>73</v>
      </c>
      <c r="E190" t="n">
        <v>23.1</v>
      </c>
      <c r="F190" t="n">
        <v>56</v>
      </c>
      <c r="G190" t="n">
        <v>26.2</v>
      </c>
      <c r="H190" s="8">
        <f>IF(G190="","",E190-G190)</f>
        <v/>
      </c>
      <c r="J190" s="9" t="n"/>
      <c r="K190">
        <f>IF(J190="",0,COUNTIFS(Schedule!$B:$B,B190,Schedule!$A:$A,"&lt;"&amp;J190))</f>
        <v/>
      </c>
      <c r="L190">
        <f>82-K190</f>
        <v/>
      </c>
      <c r="M190" s="2" t="n"/>
      <c r="N190" s="2" t="n"/>
      <c r="O190">
        <f>IF(M190&lt;&gt;"",M190,MIN(D190,L190))</f>
        <v/>
      </c>
      <c r="P190">
        <f>IF(N190&lt;&gt;"",N190,E190)</f>
        <v/>
      </c>
    </row>
    <row r="191">
      <c r="A191" t="inlineStr">
        <is>
          <t>Brook Lopez</t>
        </is>
      </c>
      <c r="B191" t="inlineStr">
        <is>
          <t>LAC</t>
        </is>
      </c>
      <c r="C191" t="inlineStr">
        <is>
          <t>C</t>
        </is>
      </c>
      <c r="D191" t="n">
        <v>75</v>
      </c>
      <c r="E191" t="n">
        <v>23.5</v>
      </c>
      <c r="F191" t="n">
        <v>75</v>
      </c>
      <c r="G191" t="n">
        <v>21.8</v>
      </c>
      <c r="H191" s="8">
        <f>IF(G191="","",E191-G191)</f>
        <v/>
      </c>
      <c r="J191" s="9" t="n"/>
      <c r="K191">
        <f>IF(J191="",0,COUNTIFS(Schedule!$B:$B,B191,Schedule!$A:$A,"&lt;"&amp;J191))</f>
        <v/>
      </c>
      <c r="L191">
        <f>82-K191</f>
        <v/>
      </c>
      <c r="M191" s="2" t="n"/>
      <c r="N191" s="2" t="n"/>
      <c r="O191">
        <f>IF(M191&lt;&gt;"",M191,MIN(D191,L191))</f>
        <v/>
      </c>
      <c r="P191">
        <f>IF(N191&lt;&gt;"",N191,E191)</f>
        <v/>
      </c>
    </row>
    <row r="192">
      <c r="A192" t="inlineStr">
        <is>
          <t>Danny Wolf</t>
        </is>
      </c>
      <c r="B192" t="inlineStr">
        <is>
          <t>BKN</t>
        </is>
      </c>
      <c r="C192" t="inlineStr">
        <is>
          <t>C,PF</t>
        </is>
      </c>
      <c r="D192" t="n">
        <v>75</v>
      </c>
      <c r="E192" t="n">
        <v>20.9</v>
      </c>
      <c r="F192" t="n">
        <v>57</v>
      </c>
      <c r="G192" t="n">
        <v>20.8</v>
      </c>
      <c r="H192" s="8">
        <f>IF(G192="","",E192-G192)</f>
        <v/>
      </c>
      <c r="J192" s="9" t="n"/>
      <c r="K192">
        <f>IF(J192="",0,COUNTIFS(Schedule!$B:$B,B192,Schedule!$A:$A,"&lt;"&amp;J192))</f>
        <v/>
      </c>
      <c r="L192">
        <f>82-K192</f>
        <v/>
      </c>
      <c r="M192" s="2" t="n"/>
      <c r="N192" s="2" t="n"/>
      <c r="O192">
        <f>IF(M192&lt;&gt;"",M192,MIN(D192,L192))</f>
        <v/>
      </c>
      <c r="P192">
        <f>IF(N192&lt;&gt;"",N192,E192)</f>
        <v/>
      </c>
    </row>
    <row r="193">
      <c r="A193" t="inlineStr">
        <is>
          <t>Kyle Filipowski</t>
        </is>
      </c>
      <c r="B193" t="inlineStr">
        <is>
          <t>UTH</t>
        </is>
      </c>
      <c r="C193" t="inlineStr">
        <is>
          <t>C,PF</t>
        </is>
      </c>
      <c r="D193" t="n">
        <v>76</v>
      </c>
      <c r="E193" t="n">
        <v>19.9</v>
      </c>
      <c r="F193" t="n">
        <v>77</v>
      </c>
      <c r="G193" t="n">
        <v>23.4</v>
      </c>
      <c r="H193" s="8">
        <f>IF(G193="","",E193-G193)</f>
        <v/>
      </c>
      <c r="I193" t="inlineStr">
        <is>
          <t>Day-To-Day</t>
        </is>
      </c>
      <c r="J193" s="9" t="n">
        <v>46316</v>
      </c>
      <c r="K193">
        <f>IF(J193="",0,COUNTIFS(Schedule!$B:$B,B193,Schedule!$A:$A,"&lt;"&amp;J193))</f>
        <v/>
      </c>
      <c r="L193">
        <f>82-K193</f>
        <v/>
      </c>
      <c r="M193" s="2" t="n"/>
      <c r="N193" s="2" t="n"/>
      <c r="O193">
        <f>IF(M193&lt;&gt;"",M193,MIN(D193,L193))</f>
        <v/>
      </c>
      <c r="P193">
        <f>IF(N193&lt;&gt;"",N193,E193)</f>
        <v/>
      </c>
      <c r="Q193" t="inlineStr">
        <is>
          <t>2026-10-10: Jazz head coach Will Hardy said Saturday that Filipowski is progressing well and doing the necessary steps to get back on the court, but the big man doesn't have a return timeline, Shreyas Laddha of The Salt Lake Tribune reports.</t>
        </is>
      </c>
    </row>
    <row r="194">
      <c r="A194" t="inlineStr">
        <is>
          <t>Daniel Gafford</t>
        </is>
      </c>
      <c r="B194" t="inlineStr">
        <is>
          <t>DAL</t>
        </is>
      </c>
      <c r="C194" t="inlineStr">
        <is>
          <t>C</t>
        </is>
      </c>
      <c r="D194" t="n">
        <v>73</v>
      </c>
      <c r="E194" t="n">
        <v>19.2</v>
      </c>
      <c r="F194" t="n">
        <v>55</v>
      </c>
      <c r="G194" t="n">
        <v>21.7</v>
      </c>
      <c r="H194" s="8">
        <f>IF(G194="","",E194-G194)</f>
        <v/>
      </c>
      <c r="J194" s="9" t="n"/>
      <c r="K194">
        <f>IF(J194="",0,COUNTIFS(Schedule!$B:$B,B194,Schedule!$A:$A,"&lt;"&amp;J194))</f>
        <v/>
      </c>
      <c r="L194">
        <f>82-K194</f>
        <v/>
      </c>
      <c r="M194" s="2" t="n"/>
      <c r="N194" s="2" t="n"/>
      <c r="O194">
        <f>IF(M194&lt;&gt;"",M194,MIN(D194,L194))</f>
        <v/>
      </c>
      <c r="P194">
        <f>IF(N194&lt;&gt;"",N194,E194)</f>
        <v/>
      </c>
    </row>
    <row r="195">
      <c r="A195" t="inlineStr">
        <is>
          <t>Kevin Huerter</t>
        </is>
      </c>
      <c r="B195" t="inlineStr">
        <is>
          <t>DET</t>
        </is>
      </c>
      <c r="C195" t="inlineStr">
        <is>
          <t>SG,SF</t>
        </is>
      </c>
      <c r="D195" t="n">
        <v>74</v>
      </c>
      <c r="E195" t="n">
        <v>22.2</v>
      </c>
      <c r="F195" t="n">
        <v>69</v>
      </c>
      <c r="G195" t="n">
        <v>22.4</v>
      </c>
      <c r="H195" s="8">
        <f>IF(G195="","",E195-G195)</f>
        <v/>
      </c>
      <c r="J195" s="9" t="n"/>
      <c r="K195">
        <f>IF(J195="",0,COUNTIFS(Schedule!$B:$B,B195,Schedule!$A:$A,"&lt;"&amp;J195))</f>
        <v/>
      </c>
      <c r="L195">
        <f>82-K195</f>
        <v/>
      </c>
      <c r="M195" s="2" t="n"/>
      <c r="N195" s="2" t="n"/>
      <c r="O195">
        <f>IF(M195&lt;&gt;"",M195,MIN(D195,L195))</f>
        <v/>
      </c>
      <c r="P195">
        <f>IF(N195&lt;&gt;"",N195,E195)</f>
        <v/>
      </c>
    </row>
    <row r="196">
      <c r="A196" t="inlineStr">
        <is>
          <t>Tari Eason</t>
        </is>
      </c>
      <c r="B196" t="inlineStr">
        <is>
          <t>HOU</t>
        </is>
      </c>
      <c r="C196" t="inlineStr">
        <is>
          <t>PF,SF,SG</t>
        </is>
      </c>
      <c r="D196" t="n">
        <v>72</v>
      </c>
      <c r="E196" t="n">
        <v>22</v>
      </c>
      <c r="F196" t="n">
        <v>60</v>
      </c>
      <c r="G196" t="n">
        <v>25.8</v>
      </c>
      <c r="H196" s="8">
        <f>IF(G196="","",E196-G196)</f>
        <v/>
      </c>
      <c r="J196" s="9" t="n"/>
      <c r="K196">
        <f>IF(J196="",0,COUNTIFS(Schedule!$B:$B,B196,Schedule!$A:$A,"&lt;"&amp;J196))</f>
        <v/>
      </c>
      <c r="L196">
        <f>82-K196</f>
        <v/>
      </c>
      <c r="M196" s="2" t="n"/>
      <c r="N196" s="2" t="n"/>
      <c r="O196">
        <f>IF(M196&lt;&gt;"",M196,MIN(D196,L196))</f>
        <v/>
      </c>
      <c r="P196">
        <f>IF(N196&lt;&gt;"",N196,E196)</f>
        <v/>
      </c>
    </row>
    <row r="197">
      <c r="A197" t="inlineStr">
        <is>
          <t>Neemias Queta</t>
        </is>
      </c>
      <c r="B197" t="inlineStr">
        <is>
          <t>BOS</t>
        </is>
      </c>
      <c r="C197" t="inlineStr">
        <is>
          <t>C</t>
        </is>
      </c>
      <c r="D197" t="n">
        <v>75</v>
      </c>
      <c r="E197" t="n">
        <v>21.9</v>
      </c>
      <c r="F197" t="n">
        <v>76</v>
      </c>
      <c r="G197" t="n">
        <v>25.3</v>
      </c>
      <c r="H197" s="8">
        <f>IF(G197="","",E197-G197)</f>
        <v/>
      </c>
      <c r="J197" s="9" t="n"/>
      <c r="K197">
        <f>IF(J197="",0,COUNTIFS(Schedule!$B:$B,B197,Schedule!$A:$A,"&lt;"&amp;J197))</f>
        <v/>
      </c>
      <c r="L197">
        <f>82-K197</f>
        <v/>
      </c>
      <c r="M197" s="2" t="n"/>
      <c r="N197" s="2" t="n"/>
      <c r="O197">
        <f>IF(M197&lt;&gt;"",M197,MIN(D197,L197))</f>
        <v/>
      </c>
      <c r="P197">
        <f>IF(N197&lt;&gt;"",N197,E197)</f>
        <v/>
      </c>
    </row>
    <row r="198">
      <c r="A198" t="inlineStr">
        <is>
          <t>Julian Champagnie</t>
        </is>
      </c>
      <c r="B198" t="inlineStr">
        <is>
          <t>SAS</t>
        </is>
      </c>
      <c r="C198" t="inlineStr">
        <is>
          <t>PF,SF,SG</t>
        </is>
      </c>
      <c r="D198" t="n">
        <v>80</v>
      </c>
      <c r="E198" t="n">
        <v>23.4</v>
      </c>
      <c r="F198" t="n">
        <v>82</v>
      </c>
      <c r="G198" t="n">
        <v>27.6</v>
      </c>
      <c r="H198" s="8">
        <f>IF(G198="","",E198-G198)</f>
        <v/>
      </c>
      <c r="J198" s="9" t="n"/>
      <c r="K198">
        <f>IF(J198="",0,COUNTIFS(Schedule!$B:$B,B198,Schedule!$A:$A,"&lt;"&amp;J198))</f>
        <v/>
      </c>
      <c r="L198">
        <f>82-K198</f>
        <v/>
      </c>
      <c r="M198" s="2" t="n"/>
      <c r="N198" s="2" t="n"/>
      <c r="O198">
        <f>IF(M198&lt;&gt;"",M198,MIN(D198,L198))</f>
        <v/>
      </c>
      <c r="P198">
        <f>IF(N198&lt;&gt;"",N198,E198)</f>
        <v/>
      </c>
    </row>
    <row r="199">
      <c r="A199" t="inlineStr">
        <is>
          <t>Isaiah Collier</t>
        </is>
      </c>
      <c r="B199" t="inlineStr">
        <is>
          <t>UTH</t>
        </is>
      </c>
      <c r="C199" t="inlineStr">
        <is>
          <t>PG,SG</t>
        </is>
      </c>
      <c r="D199" t="n">
        <v>73</v>
      </c>
      <c r="E199" t="n">
        <v>22.8</v>
      </c>
      <c r="F199" t="n">
        <v>59</v>
      </c>
      <c r="G199" t="n">
        <v>25.7</v>
      </c>
      <c r="H199" s="8">
        <f>IF(G199="","",E199-G199)</f>
        <v/>
      </c>
      <c r="J199" s="9" t="n"/>
      <c r="K199">
        <f>IF(J199="",0,COUNTIFS(Schedule!$B:$B,B199,Schedule!$A:$A,"&lt;"&amp;J199))</f>
        <v/>
      </c>
      <c r="L199">
        <f>82-K199</f>
        <v/>
      </c>
      <c r="M199" s="2" t="n"/>
      <c r="N199" s="2" t="n"/>
      <c r="O199">
        <f>IF(M199&lt;&gt;"",M199,MIN(D199,L199))</f>
        <v/>
      </c>
      <c r="P199">
        <f>IF(N199&lt;&gt;"",N199,E199)</f>
        <v/>
      </c>
    </row>
    <row r="200">
      <c r="A200" t="inlineStr">
        <is>
          <t>Luguentz Dort</t>
        </is>
      </c>
      <c r="B200" t="inlineStr">
        <is>
          <t>ATL</t>
        </is>
      </c>
      <c r="C200" t="inlineStr">
        <is>
          <t>SG,SF</t>
        </is>
      </c>
      <c r="D200" t="n">
        <v>75</v>
      </c>
      <c r="E200" t="n">
        <v>27.9</v>
      </c>
      <c r="F200" t="n">
        <v>69</v>
      </c>
      <c r="G200" t="n">
        <v>26.8</v>
      </c>
      <c r="H200" s="8">
        <f>IF(G200="","",E200-G200)</f>
        <v/>
      </c>
      <c r="J200" s="9" t="n"/>
      <c r="K200">
        <f>IF(J200="",0,COUNTIFS(Schedule!$B:$B,B200,Schedule!$A:$A,"&lt;"&amp;J200))</f>
        <v/>
      </c>
      <c r="L200">
        <f>82-K200</f>
        <v/>
      </c>
      <c r="M200" s="2" t="n"/>
      <c r="N200" s="2" t="n"/>
      <c r="O200">
        <f>IF(M200&lt;&gt;"",M200,MIN(D200,L200))</f>
        <v/>
      </c>
      <c r="P200">
        <f>IF(N200&lt;&gt;"",N200,E200)</f>
        <v/>
      </c>
    </row>
    <row r="201">
      <c r="A201" t="inlineStr">
        <is>
          <t>Dereck Lively II</t>
        </is>
      </c>
      <c r="B201" t="inlineStr">
        <is>
          <t>DAL</t>
        </is>
      </c>
      <c r="C201" t="inlineStr">
        <is>
          <t>C</t>
        </is>
      </c>
      <c r="D201" t="n">
        <v>72</v>
      </c>
      <c r="E201" t="n">
        <v>23.3</v>
      </c>
      <c r="F201" t="n">
        <v>7</v>
      </c>
      <c r="G201" t="n">
        <v>16.4</v>
      </c>
      <c r="H201" s="8">
        <f>IF(G201="","",E201-G201)</f>
        <v/>
      </c>
      <c r="I201" t="inlineStr">
        <is>
          <t>Day-To-Day</t>
        </is>
      </c>
      <c r="J201" s="9" t="n">
        <v>46309</v>
      </c>
      <c r="K201">
        <f>IF(J201="",0,COUNTIFS(Schedule!$B:$B,B201,Schedule!$A:$A,"&lt;"&amp;J201))</f>
        <v/>
      </c>
      <c r="L201">
        <f>82-K201</f>
        <v/>
      </c>
      <c r="M201" s="2" t="n"/>
      <c r="N201" s="2" t="n"/>
      <c r="O201">
        <f>IF(M201&lt;&gt;"",M201,MIN(D201,L201))</f>
        <v/>
      </c>
      <c r="P201">
        <f>IF(N201&lt;&gt;"",N201,E201)</f>
        <v/>
      </c>
      <c r="Q201" t="inlineStr">
        <is>
          <t>2026-10-11: Lively (foot) won't play in Sunday's preseason game against the Rockets, Grant Afseth of DallasHoopsJournal.com reports. · Minutes if healthy; shares with Gafford</t>
        </is>
      </c>
    </row>
    <row r="202">
      <c r="A202" t="inlineStr">
        <is>
          <t>Davion Mitchell</t>
        </is>
      </c>
      <c r="B202" t="inlineStr">
        <is>
          <t>MIA</t>
        </is>
      </c>
      <c r="C202" t="inlineStr">
        <is>
          <t>PG</t>
        </is>
      </c>
      <c r="D202" t="n">
        <v>75</v>
      </c>
      <c r="E202" t="n">
        <v>27.9</v>
      </c>
      <c r="F202" t="n">
        <v>70</v>
      </c>
      <c r="G202" t="n">
        <v>28.6</v>
      </c>
      <c r="H202" s="8">
        <f>IF(G202="","",E202-G202)</f>
        <v/>
      </c>
      <c r="I202" t="inlineStr">
        <is>
          <t>Day-To-Day</t>
        </is>
      </c>
      <c r="J202" s="9" t="n">
        <v>46309</v>
      </c>
      <c r="K202">
        <f>IF(J202="",0,COUNTIFS(Schedule!$B:$B,B202,Schedule!$A:$A,"&lt;"&amp;J202))</f>
        <v/>
      </c>
      <c r="L202">
        <f>82-K202</f>
        <v/>
      </c>
      <c r="M202" s="2" t="n"/>
      <c r="N202" s="2" t="n"/>
      <c r="O202">
        <f>IF(M202&lt;&gt;"",M202,MIN(D202,L202))</f>
        <v/>
      </c>
      <c r="P202">
        <f>IF(N202&lt;&gt;"",N202,E202)</f>
        <v/>
      </c>
      <c r="Q202" t="inlineStr">
        <is>
          <t>2026-10-10: Mitchell (rest) won't suit up for Saturday's exhibition against the Timberwolves, Eric Nehm of The Athletic reports.</t>
        </is>
      </c>
    </row>
    <row r="203">
      <c r="A203" t="inlineStr">
        <is>
          <t>Day'Ron Sharpe</t>
        </is>
      </c>
      <c r="B203" t="inlineStr">
        <is>
          <t>BKN</t>
        </is>
      </c>
      <c r="C203" t="inlineStr">
        <is>
          <t>C</t>
        </is>
      </c>
      <c r="D203" t="n">
        <v>74</v>
      </c>
      <c r="E203" t="n">
        <v>20.3</v>
      </c>
      <c r="F203" t="n">
        <v>62</v>
      </c>
      <c r="G203" t="n">
        <v>18.7</v>
      </c>
      <c r="H203" s="8">
        <f>IF(G203="","",E203-G203)</f>
        <v/>
      </c>
      <c r="I203" t="inlineStr">
        <is>
          <t>Day-To-Day</t>
        </is>
      </c>
      <c r="J203" s="9" t="n">
        <v>46307</v>
      </c>
      <c r="K203">
        <f>IF(J203="",0,COUNTIFS(Schedule!$B:$B,B203,Schedule!$A:$A,"&lt;"&amp;J203))</f>
        <v/>
      </c>
      <c r="L203">
        <f>82-K203</f>
        <v/>
      </c>
      <c r="M203" s="2" t="n"/>
      <c r="N203" s="2" t="n"/>
      <c r="O203">
        <f>IF(M203&lt;&gt;"",M203,MIN(D203,L203))</f>
        <v/>
      </c>
      <c r="P203">
        <f>IF(N203&lt;&gt;"",N203,E203)</f>
        <v/>
      </c>
      <c r="Q203" t="inlineStr">
        <is>
          <t>2026-10-08: Sharpe has been ruled out for Thursday's preseason matchup against Philadelphia due to left shoulder soreness, Brian Lewis of the New York Post reports.</t>
        </is>
      </c>
    </row>
    <row r="204">
      <c r="A204" t="inlineStr">
        <is>
          <t>Herbert Jones</t>
        </is>
      </c>
      <c r="B204" t="inlineStr">
        <is>
          <t>NOR</t>
        </is>
      </c>
      <c r="C204" t="inlineStr">
        <is>
          <t>PF,SF,SG</t>
        </is>
      </c>
      <c r="D204" t="n">
        <v>71</v>
      </c>
      <c r="E204" t="n">
        <v>28.1</v>
      </c>
      <c r="F204" t="n">
        <v>56</v>
      </c>
      <c r="G204" t="n">
        <v>28.4</v>
      </c>
      <c r="H204" s="8">
        <f>IF(G204="","",E204-G204)</f>
        <v/>
      </c>
      <c r="J204" s="9" t="n"/>
      <c r="K204">
        <f>IF(J204="",0,COUNTIFS(Schedule!$B:$B,B204,Schedule!$A:$A,"&lt;"&amp;J204))</f>
        <v/>
      </c>
      <c r="L204">
        <f>82-K204</f>
        <v/>
      </c>
      <c r="M204" s="2" t="n"/>
      <c r="N204" s="2" t="n"/>
      <c r="O204">
        <f>IF(M204&lt;&gt;"",M204,MIN(D204,L204))</f>
        <v/>
      </c>
      <c r="P204">
        <f>IF(N204&lt;&gt;"",N204,E204)</f>
        <v/>
      </c>
    </row>
    <row r="205">
      <c r="A205" t="inlineStr">
        <is>
          <t>Khris Middleton</t>
        </is>
      </c>
      <c r="B205" t="inlineStr">
        <is>
          <t>WAS</t>
        </is>
      </c>
      <c r="C205" t="inlineStr">
        <is>
          <t>PF,SF,SG</t>
        </is>
      </c>
      <c r="D205" t="n">
        <v>66</v>
      </c>
      <c r="E205" t="n">
        <v>18.5</v>
      </c>
      <c r="F205" t="n">
        <v>63</v>
      </c>
      <c r="G205" t="n">
        <v>22.8</v>
      </c>
      <c r="H205" s="8">
        <f>IF(G205="","",E205-G205)</f>
        <v/>
      </c>
      <c r="I205" t="inlineStr">
        <is>
          <t>Day-To-Day</t>
        </is>
      </c>
      <c r="J205" s="9" t="n">
        <v>46307</v>
      </c>
      <c r="K205">
        <f>IF(J205="",0,COUNTIFS(Schedule!$B:$B,B205,Schedule!$A:$A,"&lt;"&amp;J205))</f>
        <v/>
      </c>
      <c r="L205">
        <f>82-K205</f>
        <v/>
      </c>
      <c r="M205" s="2" t="n"/>
      <c r="N205" s="2" t="n"/>
      <c r="O205">
        <f>IF(M205&lt;&gt;"",M205,MIN(D205,L205))</f>
        <v/>
      </c>
      <c r="P205">
        <f>IF(N205&lt;&gt;"",N205,E205)</f>
        <v/>
      </c>
      <c r="Q205" t="inlineStr">
        <is>
          <t>2026-10-11: Middleton did not leave the bench during Saturday's 114-108 preseason win over the Pistons.</t>
        </is>
      </c>
    </row>
    <row r="206">
      <c r="A206" t="inlineStr">
        <is>
          <t>T.J. McConnell</t>
        </is>
      </c>
      <c r="B206" t="inlineStr">
        <is>
          <t>IND</t>
        </is>
      </c>
      <c r="C206" t="inlineStr">
        <is>
          <t>PG</t>
        </is>
      </c>
      <c r="D206" t="n">
        <v>74</v>
      </c>
      <c r="E206" t="n">
        <v>16.3</v>
      </c>
      <c r="F206" t="n">
        <v>56</v>
      </c>
      <c r="G206" t="n">
        <v>17.2</v>
      </c>
      <c r="H206" s="8">
        <f>IF(G206="","",E206-G206)</f>
        <v/>
      </c>
      <c r="I206" t="inlineStr">
        <is>
          <t>Day-To-Day</t>
        </is>
      </c>
      <c r="J206" s="9" t="n">
        <v>46308</v>
      </c>
      <c r="K206">
        <f>IF(J206="",0,COUNTIFS(Schedule!$B:$B,B206,Schedule!$A:$A,"&lt;"&amp;J206))</f>
        <v/>
      </c>
      <c r="L206">
        <f>82-K206</f>
        <v/>
      </c>
      <c r="M206" s="2" t="n"/>
      <c r="N206" s="2" t="n"/>
      <c r="O206">
        <f>IF(M206&lt;&gt;"",M206,MIN(D206,L206))</f>
        <v/>
      </c>
      <c r="P206">
        <f>IF(N206&lt;&gt;"",N206,E206)</f>
        <v/>
      </c>
      <c r="Q206" t="inlineStr">
        <is>
          <t>2026-10-11: McConnell (undisclosed) did not play during Saturday's 119-117 preseason loss to the Hawks.</t>
        </is>
      </c>
    </row>
    <row r="207">
      <c r="A207" t="inlineStr">
        <is>
          <t>Aaron Wiggins</t>
        </is>
      </c>
      <c r="B207" t="inlineStr">
        <is>
          <t>ATL</t>
        </is>
      </c>
      <c r="C207" t="inlineStr">
        <is>
          <t>SG,SF</t>
        </is>
      </c>
      <c r="D207" t="n">
        <v>75</v>
      </c>
      <c r="E207" t="n">
        <v>17.6</v>
      </c>
      <c r="F207" t="n">
        <v>65</v>
      </c>
      <c r="G207" t="n">
        <v>21.8</v>
      </c>
      <c r="H207" s="8">
        <f>IF(G207="","",E207-G207)</f>
        <v/>
      </c>
      <c r="J207" s="9" t="n"/>
      <c r="K207">
        <f>IF(J207="",0,COUNTIFS(Schedule!$B:$B,B207,Schedule!$A:$A,"&lt;"&amp;J207))</f>
        <v/>
      </c>
      <c r="L207">
        <f>82-K207</f>
        <v/>
      </c>
      <c r="M207" s="2" t="n"/>
      <c r="N207" s="2" t="n"/>
      <c r="O207">
        <f>IF(M207&lt;&gt;"",M207,MIN(D207,L207))</f>
        <v/>
      </c>
      <c r="P207">
        <f>IF(N207&lt;&gt;"",N207,E207)</f>
        <v/>
      </c>
    </row>
    <row r="208">
      <c r="A208" t="inlineStr">
        <is>
          <t>Draymond Green</t>
        </is>
      </c>
      <c r="B208" t="inlineStr">
        <is>
          <t>GSW</t>
        </is>
      </c>
      <c r="C208" t="inlineStr">
        <is>
          <t>PF,C</t>
        </is>
      </c>
      <c r="D208" t="n">
        <v>72</v>
      </c>
      <c r="E208" t="n">
        <v>26.9</v>
      </c>
      <c r="F208" t="n">
        <v>68</v>
      </c>
      <c r="G208" t="n">
        <v>27.5</v>
      </c>
      <c r="H208" s="8">
        <f>IF(G208="","",E208-G208)</f>
        <v/>
      </c>
      <c r="J208" s="9" t="n"/>
      <c r="K208">
        <f>IF(J208="",0,COUNTIFS(Schedule!$B:$B,B208,Schedule!$A:$A,"&lt;"&amp;J208))</f>
        <v/>
      </c>
      <c r="L208">
        <f>82-K208</f>
        <v/>
      </c>
      <c r="M208" s="2" t="n"/>
      <c r="N208" s="2" t="n"/>
      <c r="O208">
        <f>IF(M208&lt;&gt;"",M208,MIN(D208,L208))</f>
        <v/>
      </c>
      <c r="P208">
        <f>IF(N208&lt;&gt;"",N208,E208)</f>
        <v/>
      </c>
    </row>
    <row r="209">
      <c r="A209" t="inlineStr">
        <is>
          <t>Max Strus</t>
        </is>
      </c>
      <c r="B209" t="inlineStr">
        <is>
          <t>LAC</t>
        </is>
      </c>
      <c r="C209" t="inlineStr">
        <is>
          <t>PF,SF</t>
        </is>
      </c>
      <c r="D209" t="n">
        <v>70</v>
      </c>
      <c r="E209" t="n">
        <v>22.3</v>
      </c>
      <c r="F209" t="n">
        <v>12</v>
      </c>
      <c r="G209" t="n">
        <v>24</v>
      </c>
      <c r="H209" s="8">
        <f>IF(G209="","",E209-G209)</f>
        <v/>
      </c>
      <c r="I209" t="inlineStr">
        <is>
          <t>Out</t>
        </is>
      </c>
      <c r="J209" s="9" t="n">
        <v>46328</v>
      </c>
      <c r="K209">
        <f>IF(J209="",0,COUNTIFS(Schedule!$B:$B,B209,Schedule!$A:$A,"&lt;"&amp;J209))</f>
        <v/>
      </c>
      <c r="L209">
        <f>82-K209</f>
        <v/>
      </c>
      <c r="M209" s="2" t="n"/>
      <c r="N209" s="2" t="n"/>
      <c r="O209">
        <f>IF(M209&lt;&gt;"",M209,MIN(D209,L209))</f>
        <v/>
      </c>
      <c r="P209">
        <f>IF(N209&lt;&gt;"",N209,E209)</f>
        <v/>
      </c>
      <c r="Q209" t="inlineStr">
        <is>
          <t>2026-10-05: Strus has been diagnosed with a partially torn plantar fascia in his right foot and he will be re-evaluated in four weeks, Ohm Youngmisuk of ESPN.com reports.</t>
        </is>
      </c>
    </row>
    <row r="210">
      <c r="A210" t="inlineStr">
        <is>
          <t>Cason Wallace</t>
        </is>
      </c>
      <c r="B210" t="inlineStr">
        <is>
          <t>OKC</t>
        </is>
      </c>
      <c r="C210" t="inlineStr">
        <is>
          <t>PG,SF,SG</t>
        </is>
      </c>
      <c r="D210" t="n">
        <v>77</v>
      </c>
      <c r="E210" t="n">
        <v>26.3</v>
      </c>
      <c r="F210" t="n">
        <v>77</v>
      </c>
      <c r="G210" t="n">
        <v>26.6</v>
      </c>
      <c r="H210" s="8">
        <f>IF(G210="","",E210-G210)</f>
        <v/>
      </c>
      <c r="I210" t="inlineStr">
        <is>
          <t>Day-To-Day</t>
        </is>
      </c>
      <c r="J210" s="9" t="n">
        <v>46308</v>
      </c>
      <c r="K210">
        <f>IF(J210="",0,COUNTIFS(Schedule!$B:$B,B210,Schedule!$A:$A,"&lt;"&amp;J210))</f>
        <v/>
      </c>
      <c r="L210">
        <f>82-K210</f>
        <v/>
      </c>
      <c r="M210" s="2" t="n"/>
      <c r="N210" s="2" t="n"/>
      <c r="O210">
        <f>IF(M210&lt;&gt;"",M210,MIN(D210,L210))</f>
        <v/>
      </c>
      <c r="P210">
        <f>IF(N210&lt;&gt;"",N210,E210)</f>
        <v/>
      </c>
      <c r="Q210" t="inlineStr">
        <is>
          <t>2026-10-10: Wallace (rest) won't play in Monday's preseason game against the Hawks, Clemente Almanza of USA Today reports. · Confirmed OKC starter</t>
        </is>
      </c>
    </row>
    <row r="211">
      <c r="A211" t="inlineStr">
        <is>
          <t>Al Horford</t>
        </is>
      </c>
      <c r="B211" t="inlineStr">
        <is>
          <t>GSW</t>
        </is>
      </c>
      <c r="C211" t="inlineStr">
        <is>
          <t>PF,C</t>
        </is>
      </c>
      <c r="D211" t="n">
        <v>68</v>
      </c>
      <c r="E211" t="n">
        <v>23.9</v>
      </c>
      <c r="F211" t="n">
        <v>45</v>
      </c>
      <c r="G211" t="n">
        <v>21.5</v>
      </c>
      <c r="H211" s="8">
        <f>IF(G211="","",E211-G211)</f>
        <v/>
      </c>
      <c r="J211" s="9" t="n"/>
      <c r="K211">
        <f>IF(J211="",0,COUNTIFS(Schedule!$B:$B,B211,Schedule!$A:$A,"&lt;"&amp;J211))</f>
        <v/>
      </c>
      <c r="L211">
        <f>82-K211</f>
        <v/>
      </c>
      <c r="M211" s="2" t="n"/>
      <c r="N211" s="2" t="n"/>
      <c r="O211">
        <f>IF(M211&lt;&gt;"",M211,MIN(D211,L211))</f>
        <v/>
      </c>
      <c r="P211">
        <f>IF(N211&lt;&gt;"",N211,E211)</f>
        <v/>
      </c>
    </row>
    <row r="212">
      <c r="A212" t="inlineStr">
        <is>
          <t>Precious Achiuwa</t>
        </is>
      </c>
      <c r="B212" t="inlineStr">
        <is>
          <t>SAC</t>
        </is>
      </c>
      <c r="C212" t="inlineStr">
        <is>
          <t>PF,C</t>
        </is>
      </c>
      <c r="D212" t="n">
        <v>75</v>
      </c>
      <c r="E212" t="n">
        <v>21</v>
      </c>
      <c r="F212" t="n">
        <v>73</v>
      </c>
      <c r="G212" t="n">
        <v>23.9</v>
      </c>
      <c r="H212" s="8">
        <f>IF(G212="","",E212-G212)</f>
        <v/>
      </c>
      <c r="J212" s="9" t="n"/>
      <c r="K212">
        <f>IF(J212="",0,COUNTIFS(Schedule!$B:$B,B212,Schedule!$A:$A,"&lt;"&amp;J212))</f>
        <v/>
      </c>
      <c r="L212">
        <f>82-K212</f>
        <v/>
      </c>
      <c r="M212" s="2" t="n"/>
      <c r="N212" s="2" t="n"/>
      <c r="O212">
        <f>IF(M212&lt;&gt;"",M212,MIN(D212,L212))</f>
        <v/>
      </c>
      <c r="P212">
        <f>IF(N212&lt;&gt;"",N212,E212)</f>
        <v/>
      </c>
    </row>
    <row r="213">
      <c r="A213" t="inlineStr">
        <is>
          <t>Noah Clowney</t>
        </is>
      </c>
      <c r="B213" t="inlineStr">
        <is>
          <t>BKN</t>
        </is>
      </c>
      <c r="C213" t="inlineStr">
        <is>
          <t>C,PF</t>
        </is>
      </c>
      <c r="D213" t="n">
        <v>74</v>
      </c>
      <c r="E213" t="n">
        <v>19.2</v>
      </c>
      <c r="F213" t="n">
        <v>66</v>
      </c>
      <c r="G213" t="n">
        <v>27</v>
      </c>
      <c r="H213" s="8">
        <f>IF(G213="","",E213-G213)</f>
        <v/>
      </c>
      <c r="J213" s="9" t="n"/>
      <c r="K213">
        <f>IF(J213="",0,COUNTIFS(Schedule!$B:$B,B213,Schedule!$A:$A,"&lt;"&amp;J213))</f>
        <v/>
      </c>
      <c r="L213">
        <f>82-K213</f>
        <v/>
      </c>
      <c r="M213" s="2" t="n"/>
      <c r="N213" s="2" t="n"/>
      <c r="O213">
        <f>IF(M213&lt;&gt;"",M213,MIN(D213,L213))</f>
        <v/>
      </c>
      <c r="P213">
        <f>IF(N213&lt;&gt;"",N213,E213)</f>
        <v/>
      </c>
    </row>
    <row r="214">
      <c r="A214" t="inlineStr">
        <is>
          <t>Bub Carrington</t>
        </is>
      </c>
      <c r="B214" t="inlineStr">
        <is>
          <t>WAS</t>
        </is>
      </c>
      <c r="C214" t="inlineStr">
        <is>
          <t>PG,SG</t>
        </is>
      </c>
      <c r="D214" t="n">
        <v>80</v>
      </c>
      <c r="E214" t="n">
        <v>23.6</v>
      </c>
      <c r="F214" t="n">
        <v>82</v>
      </c>
      <c r="G214" t="n">
        <v>27.7</v>
      </c>
      <c r="H214" s="8">
        <f>IF(G214="","",E214-G214)</f>
        <v/>
      </c>
      <c r="J214" s="9" t="n"/>
      <c r="K214">
        <f>IF(J214="",0,COUNTIFS(Schedule!$B:$B,B214,Schedule!$A:$A,"&lt;"&amp;J214))</f>
        <v/>
      </c>
      <c r="L214">
        <f>82-K214</f>
        <v/>
      </c>
      <c r="M214" s="2" t="n"/>
      <c r="N214" s="2" t="n"/>
      <c r="O214">
        <f>IF(M214&lt;&gt;"",M214,MIN(D214,L214))</f>
        <v/>
      </c>
      <c r="P214">
        <f>IF(N214&lt;&gt;"",N214,E214)</f>
        <v/>
      </c>
    </row>
    <row r="215">
      <c r="A215" t="inlineStr">
        <is>
          <t>Marvin Bagley III</t>
        </is>
      </c>
      <c r="B215" t="inlineStr">
        <is>
          <t>DEN</t>
        </is>
      </c>
      <c r="C215" t="inlineStr">
        <is>
          <t>PF,C</t>
        </is>
      </c>
      <c r="D215" t="n">
        <v>70</v>
      </c>
      <c r="E215" t="n">
        <v>15.3</v>
      </c>
      <c r="F215" t="n">
        <v>60</v>
      </c>
      <c r="G215" t="n">
        <v>20</v>
      </c>
      <c r="H215" s="8">
        <f>IF(G215="","",E215-G215)</f>
        <v/>
      </c>
      <c r="J215" s="9" t="n"/>
      <c r="K215">
        <f>IF(J215="",0,COUNTIFS(Schedule!$B:$B,B215,Schedule!$A:$A,"&lt;"&amp;J215))</f>
        <v/>
      </c>
      <c r="L215">
        <f>82-K215</f>
        <v/>
      </c>
      <c r="M215" s="2" t="n"/>
      <c r="N215" s="2" t="n"/>
      <c r="O215">
        <f>IF(M215&lt;&gt;"",M215,MIN(D215,L215))</f>
        <v/>
      </c>
      <c r="P215">
        <f>IF(N215&lt;&gt;"",N215,E215)</f>
        <v/>
      </c>
    </row>
    <row r="216">
      <c r="A216" t="inlineStr">
        <is>
          <t>Yves Missi</t>
        </is>
      </c>
      <c r="B216" t="inlineStr">
        <is>
          <t>NOR</t>
        </is>
      </c>
      <c r="C216" t="inlineStr">
        <is>
          <t>C</t>
        </is>
      </c>
      <c r="D216" t="n">
        <v>73</v>
      </c>
      <c r="E216" t="n">
        <v>25.1</v>
      </c>
      <c r="F216" t="n">
        <v>66</v>
      </c>
      <c r="G216" t="n">
        <v>19.7</v>
      </c>
      <c r="H216" s="8">
        <f>IF(G216="","",E216-G216)</f>
        <v/>
      </c>
      <c r="J216" s="9" t="n"/>
      <c r="K216">
        <f>IF(J216="",0,COUNTIFS(Schedule!$B:$B,B216,Schedule!$A:$A,"&lt;"&amp;J216))</f>
        <v/>
      </c>
      <c r="L216">
        <f>82-K216</f>
        <v/>
      </c>
      <c r="M216" s="2" t="n"/>
      <c r="N216" s="2" t="n"/>
      <c r="O216">
        <f>IF(M216&lt;&gt;"",M216,MIN(D216,L216))</f>
        <v/>
      </c>
      <c r="P216">
        <f>IF(N216&lt;&gt;"",N216,E216)</f>
        <v/>
      </c>
    </row>
    <row r="217">
      <c r="A217" t="inlineStr">
        <is>
          <t>Royce O'Neale</t>
        </is>
      </c>
      <c r="B217" t="inlineStr">
        <is>
          <t>CHA</t>
        </is>
      </c>
      <c r="C217" t="inlineStr">
        <is>
          <t>SF,PF</t>
        </is>
      </c>
      <c r="D217" t="n">
        <v>77</v>
      </c>
      <c r="E217" t="n">
        <v>22.3</v>
      </c>
      <c r="F217" t="n">
        <v>78</v>
      </c>
      <c r="G217" t="n">
        <v>28.4</v>
      </c>
      <c r="H217" s="8">
        <f>IF(G217="","",E217-G217)</f>
        <v/>
      </c>
      <c r="J217" s="9" t="n"/>
      <c r="K217">
        <f>IF(J217="",0,COUNTIFS(Schedule!$B:$B,B217,Schedule!$A:$A,"&lt;"&amp;J217))</f>
        <v/>
      </c>
      <c r="L217">
        <f>82-K217</f>
        <v/>
      </c>
      <c r="M217" s="2" t="n"/>
      <c r="N217" s="2" t="n"/>
      <c r="O217">
        <f>IF(M217&lt;&gt;"",M217,MIN(D217,L217))</f>
        <v/>
      </c>
      <c r="P217">
        <f>IF(N217&lt;&gt;"",N217,E217)</f>
        <v/>
      </c>
    </row>
    <row r="218">
      <c r="A218" t="inlineStr">
        <is>
          <t>Luke Kennard</t>
        </is>
      </c>
      <c r="B218" t="inlineStr">
        <is>
          <t>PHO</t>
        </is>
      </c>
      <c r="C218" t="inlineStr">
        <is>
          <t>PG,SF,SG</t>
        </is>
      </c>
      <c r="D218" t="n">
        <v>76</v>
      </c>
      <c r="E218" t="n">
        <v>21.2</v>
      </c>
      <c r="F218" t="n">
        <v>78</v>
      </c>
      <c r="G218" t="n">
        <v>21.6</v>
      </c>
      <c r="H218" s="8">
        <f>IF(G218="","",E218-G218)</f>
        <v/>
      </c>
      <c r="J218" s="9" t="n"/>
      <c r="K218">
        <f>IF(J218="",0,COUNTIFS(Schedule!$B:$B,B218,Schedule!$A:$A,"&lt;"&amp;J218))</f>
        <v/>
      </c>
      <c r="L218">
        <f>82-K218</f>
        <v/>
      </c>
      <c r="M218" s="2" t="n"/>
      <c r="N218" s="2" t="n"/>
      <c r="O218">
        <f>IF(M218&lt;&gt;"",M218,MIN(D218,L218))</f>
        <v/>
      </c>
      <c r="P218">
        <f>IF(N218&lt;&gt;"",N218,E218)</f>
        <v/>
      </c>
    </row>
    <row r="219">
      <c r="A219" t="inlineStr">
        <is>
          <t>Collin Murray-Boyles</t>
        </is>
      </c>
      <c r="B219" t="inlineStr">
        <is>
          <t>TOR</t>
        </is>
      </c>
      <c r="C219" t="inlineStr">
        <is>
          <t>C,PF</t>
        </is>
      </c>
      <c r="D219" t="n">
        <v>72</v>
      </c>
      <c r="E219" t="n">
        <v>19.9</v>
      </c>
      <c r="F219" t="n">
        <v>57</v>
      </c>
      <c r="G219" t="n">
        <v>21.9</v>
      </c>
      <c r="H219" s="8">
        <f>IF(G219="","",E219-G219)</f>
        <v/>
      </c>
      <c r="J219" s="9" t="n"/>
      <c r="K219">
        <f>IF(J219="",0,COUNTIFS(Schedule!$B:$B,B219,Schedule!$A:$A,"&lt;"&amp;J219))</f>
        <v/>
      </c>
      <c r="L219">
        <f>82-K219</f>
        <v/>
      </c>
      <c r="M219" s="2" t="n"/>
      <c r="N219" s="2" t="n"/>
      <c r="O219">
        <f>IF(M219&lt;&gt;"",M219,MIN(D219,L219))</f>
        <v/>
      </c>
      <c r="P219">
        <f>IF(N219&lt;&gt;"",N219,E219)</f>
        <v/>
      </c>
    </row>
    <row r="220">
      <c r="A220" t="inlineStr">
        <is>
          <t>Nate Ament</t>
        </is>
      </c>
      <c r="B220" t="inlineStr">
        <is>
          <t>MIL</t>
        </is>
      </c>
      <c r="C220" t="inlineStr">
        <is>
          <t>PF,SF</t>
        </is>
      </c>
      <c r="D220" t="n">
        <v>74</v>
      </c>
      <c r="E220" t="n">
        <v>21.5</v>
      </c>
      <c r="H220" s="8">
        <f>IF(G220="","",E220-G220)</f>
        <v/>
      </c>
      <c r="I220" t="inlineStr">
        <is>
          <t>Day-To-Day</t>
        </is>
      </c>
      <c r="J220" s="9" t="n">
        <v>46309</v>
      </c>
      <c r="K220">
        <f>IF(J220="",0,COUNTIFS(Schedule!$B:$B,B220,Schedule!$A:$A,"&lt;"&amp;J220))</f>
        <v/>
      </c>
      <c r="L220">
        <f>82-K220</f>
        <v/>
      </c>
      <c r="M220" s="2" t="n"/>
      <c r="N220" s="2" t="n"/>
      <c r="O220">
        <f>IF(M220&lt;&gt;"",M220,MIN(D220,L220))</f>
        <v/>
      </c>
      <c r="P220">
        <f>IF(N220&lt;&gt;"",N220,E220)</f>
        <v/>
      </c>
      <c r="Q220" t="inlineStr">
        <is>
          <t>2026-10-11: Ament (ankle) is out for Sunday's preseason game against the Hornets, Justin Garcia of the Milwaukee Bucks Radio Networkreports.</t>
        </is>
      </c>
    </row>
    <row r="221">
      <c r="A221" t="inlineStr">
        <is>
          <t>Jake LaRavia</t>
        </is>
      </c>
      <c r="B221" t="inlineStr">
        <is>
          <t>LAL</t>
        </is>
      </c>
      <c r="C221" t="inlineStr">
        <is>
          <t>SF,PF</t>
        </is>
      </c>
      <c r="D221" t="n">
        <v>78</v>
      </c>
      <c r="E221" t="n">
        <v>24.7</v>
      </c>
      <c r="F221" t="n">
        <v>82</v>
      </c>
      <c r="G221" t="n">
        <v>25.1</v>
      </c>
      <c r="H221" s="8">
        <f>IF(G221="","",E221-G221)</f>
        <v/>
      </c>
      <c r="J221" s="9" t="n"/>
      <c r="K221">
        <f>IF(J221="",0,COUNTIFS(Schedule!$B:$B,B221,Schedule!$A:$A,"&lt;"&amp;J221))</f>
        <v/>
      </c>
      <c r="L221">
        <f>82-K221</f>
        <v/>
      </c>
      <c r="M221" s="2" t="n"/>
      <c r="N221" s="2" t="n"/>
      <c r="O221">
        <f>IF(M221&lt;&gt;"",M221,MIN(D221,L221))</f>
        <v/>
      </c>
      <c r="P221">
        <f>IF(N221&lt;&gt;"",N221,E221)</f>
        <v/>
      </c>
    </row>
    <row r="222">
      <c r="A222" t="inlineStr">
        <is>
          <t>Tristan Vukcevic</t>
        </is>
      </c>
      <c r="B222" t="inlineStr">
        <is>
          <t>WAS</t>
        </is>
      </c>
      <c r="C222" t="inlineStr">
        <is>
          <t>PF,C</t>
        </is>
      </c>
      <c r="D222" t="n">
        <v>67</v>
      </c>
      <c r="E222" t="n">
        <v>12.1</v>
      </c>
      <c r="F222" t="n">
        <v>49</v>
      </c>
      <c r="G222" t="n">
        <v>13.7</v>
      </c>
      <c r="H222" s="8">
        <f>IF(G222="","",E222-G222)</f>
        <v/>
      </c>
      <c r="I222" t="inlineStr">
        <is>
          <t>Out</t>
        </is>
      </c>
      <c r="J222" s="9" t="n">
        <v>46328</v>
      </c>
      <c r="K222">
        <f>IF(J222="",0,COUNTIFS(Schedule!$B:$B,B222,Schedule!$A:$A,"&lt;"&amp;J222))</f>
        <v/>
      </c>
      <c r="L222">
        <f>82-K222</f>
        <v/>
      </c>
      <c r="M222" s="2" t="n"/>
      <c r="N222" s="2" t="n"/>
      <c r="O222">
        <f>IF(M222&lt;&gt;"",M222,MIN(D222,L222))</f>
        <v/>
      </c>
      <c r="P222">
        <f>IF(N222&lt;&gt;"",N222,E222)</f>
        <v/>
      </c>
      <c r="Q222" t="inlineStr">
        <is>
          <t>2026-10-01: The Wizards announced Thursday that Vukcevic (hip) will be re-evaluated in four weeks.</t>
        </is>
      </c>
    </row>
    <row r="223">
      <c r="A223" t="inlineStr">
        <is>
          <t>Isaiah Stewart</t>
        </is>
      </c>
      <c r="B223" t="inlineStr">
        <is>
          <t>MEM</t>
        </is>
      </c>
      <c r="C223" t="inlineStr">
        <is>
          <t>C,PF</t>
        </is>
      </c>
      <c r="D223" t="n">
        <v>74</v>
      </c>
      <c r="E223" t="n">
        <v>19.7</v>
      </c>
      <c r="F223" t="n">
        <v>58</v>
      </c>
      <c r="G223" t="n">
        <v>22.7</v>
      </c>
      <c r="H223" s="8">
        <f>IF(G223="","",E223-G223)</f>
        <v/>
      </c>
      <c r="I223" t="inlineStr">
        <is>
          <t>Out</t>
        </is>
      </c>
      <c r="J223" s="9" t="n">
        <v>46318</v>
      </c>
      <c r="K223">
        <f>IF(J223="",0,COUNTIFS(Schedule!$B:$B,B223,Schedule!$A:$A,"&lt;"&amp;J223))</f>
        <v/>
      </c>
      <c r="L223">
        <f>82-K223</f>
        <v/>
      </c>
      <c r="M223" s="2" t="n"/>
      <c r="N223" s="2" t="n"/>
      <c r="O223">
        <f>IF(M223&lt;&gt;"",M223,MIN(D223,L223))</f>
        <v/>
      </c>
      <c r="P223">
        <f>IF(N223&lt;&gt;"",N223,E223)</f>
        <v/>
      </c>
      <c r="Q223" t="inlineStr">
        <is>
          <t>2026-10-09: The Grizzlies announced Friday that Stewart (ankle) will miss at least two weeks.</t>
        </is>
      </c>
    </row>
    <row r="224">
      <c r="A224" t="inlineStr">
        <is>
          <t>Hannes Steinbach</t>
        </is>
      </c>
      <c r="B224" t="inlineStr">
        <is>
          <t>CHA</t>
        </is>
      </c>
      <c r="C224" t="inlineStr">
        <is>
          <t>PF</t>
        </is>
      </c>
      <c r="D224" t="n">
        <v>75</v>
      </c>
      <c r="E224" t="n">
        <v>20.4</v>
      </c>
      <c r="H224" s="8">
        <f>IF(G224="","",E224-G224)</f>
        <v/>
      </c>
      <c r="J224" s="9" t="n"/>
      <c r="K224">
        <f>IF(J224="",0,COUNTIFS(Schedule!$B:$B,B224,Schedule!$A:$A,"&lt;"&amp;J224))</f>
        <v/>
      </c>
      <c r="L224">
        <f>82-K224</f>
        <v/>
      </c>
      <c r="M224" s="2" t="n"/>
      <c r="N224" s="2" t="n"/>
      <c r="O224">
        <f>IF(M224&lt;&gt;"",M224,MIN(D224,L224))</f>
        <v/>
      </c>
      <c r="P224">
        <f>IF(N224&lt;&gt;"",N224,E224)</f>
        <v/>
      </c>
    </row>
    <row r="225">
      <c r="A225" t="inlineStr">
        <is>
          <t>Nikola Jovic</t>
        </is>
      </c>
      <c r="B225" t="inlineStr">
        <is>
          <t>MIA</t>
        </is>
      </c>
      <c r="C225" t="inlineStr">
        <is>
          <t>C,PF</t>
        </is>
      </c>
      <c r="D225" t="n">
        <v>50</v>
      </c>
      <c r="E225" t="n">
        <v>17.1</v>
      </c>
      <c r="F225" t="n">
        <v>47</v>
      </c>
      <c r="G225" t="n">
        <v>17.2</v>
      </c>
      <c r="H225" s="8">
        <f>IF(G225="","",E225-G225)</f>
        <v/>
      </c>
      <c r="J225" s="9" t="n"/>
      <c r="K225">
        <f>IF(J225="",0,COUNTIFS(Schedule!$B:$B,B225,Schedule!$A:$A,"&lt;"&amp;J225))</f>
        <v/>
      </c>
      <c r="L225">
        <f>82-K225</f>
        <v/>
      </c>
      <c r="M225" s="2" t="n"/>
      <c r="N225" s="2" t="n"/>
      <c r="O225">
        <f>IF(M225&lt;&gt;"",M225,MIN(D225,L225))</f>
        <v/>
      </c>
      <c r="P225">
        <f>IF(N225&lt;&gt;"",N225,E225)</f>
        <v/>
      </c>
    </row>
    <row r="226">
      <c r="A226" t="inlineStr">
        <is>
          <t>Tristan da Silva</t>
        </is>
      </c>
      <c r="B226" t="inlineStr">
        <is>
          <t>ORL</t>
        </is>
      </c>
      <c r="C226" t="inlineStr">
        <is>
          <t>SF,PF</t>
        </is>
      </c>
      <c r="D226" t="n">
        <v>78</v>
      </c>
      <c r="E226" t="n">
        <v>19.1</v>
      </c>
      <c r="F226" t="n">
        <v>77</v>
      </c>
      <c r="G226" t="n">
        <v>24.7</v>
      </c>
      <c r="H226" s="8">
        <f>IF(G226="","",E226-G226)</f>
        <v/>
      </c>
      <c r="J226" s="9" t="n"/>
      <c r="K226">
        <f>IF(J226="",0,COUNTIFS(Schedule!$B:$B,B226,Schedule!$A:$A,"&lt;"&amp;J226))</f>
        <v/>
      </c>
      <c r="L226">
        <f>82-K226</f>
        <v/>
      </c>
      <c r="M226" s="2" t="n"/>
      <c r="N226" s="2" t="n"/>
      <c r="O226">
        <f>IF(M226&lt;&gt;"",M226,MIN(D226,L226))</f>
        <v/>
      </c>
      <c r="P226">
        <f>IF(N226&lt;&gt;"",N226,E226)</f>
        <v/>
      </c>
    </row>
    <row r="227">
      <c r="A227" t="inlineStr">
        <is>
          <t>Moussa Diabate</t>
        </is>
      </c>
      <c r="B227" t="inlineStr">
        <is>
          <t>CHA</t>
        </is>
      </c>
      <c r="C227" t="inlineStr">
        <is>
          <t>PF,C</t>
        </is>
      </c>
      <c r="D227" t="n">
        <v>74</v>
      </c>
      <c r="E227" t="n">
        <v>24.4</v>
      </c>
      <c r="F227" t="n">
        <v>73</v>
      </c>
      <c r="G227" t="n">
        <v>26</v>
      </c>
      <c r="H227" s="8">
        <f>IF(G227="","",E227-G227)</f>
        <v/>
      </c>
      <c r="J227" s="9" t="n"/>
      <c r="K227">
        <f>IF(J227="",0,COUNTIFS(Schedule!$B:$B,B227,Schedule!$A:$A,"&lt;"&amp;J227))</f>
        <v/>
      </c>
      <c r="L227">
        <f>82-K227</f>
        <v/>
      </c>
      <c r="M227" s="2" t="n"/>
      <c r="N227" s="2" t="n"/>
      <c r="O227">
        <f>IF(M227&lt;&gt;"",M227,MIN(D227,L227))</f>
        <v/>
      </c>
      <c r="P227">
        <f>IF(N227&lt;&gt;"",N227,E227)</f>
        <v/>
      </c>
    </row>
    <row r="228">
      <c r="A228" t="inlineStr">
        <is>
          <t>Isaiah Jackson</t>
        </is>
      </c>
      <c r="B228" t="inlineStr">
        <is>
          <t>LAC</t>
        </is>
      </c>
      <c r="C228" t="inlineStr">
        <is>
          <t>PF,C</t>
        </is>
      </c>
      <c r="D228" t="n">
        <v>73</v>
      </c>
      <c r="E228" t="n">
        <v>17.5</v>
      </c>
      <c r="F228" t="n">
        <v>55</v>
      </c>
      <c r="G228" t="n">
        <v>16.5</v>
      </c>
      <c r="H228" s="8">
        <f>IF(G228="","",E228-G228)</f>
        <v/>
      </c>
      <c r="J228" s="9" t="n"/>
      <c r="K228">
        <f>IF(J228="",0,COUNTIFS(Schedule!$B:$B,B228,Schedule!$A:$A,"&lt;"&amp;J228))</f>
        <v/>
      </c>
      <c r="L228">
        <f>82-K228</f>
        <v/>
      </c>
      <c r="M228" s="2" t="n"/>
      <c r="N228" s="2" t="n"/>
      <c r="O228">
        <f>IF(M228&lt;&gt;"",M228,MIN(D228,L228))</f>
        <v/>
      </c>
      <c r="P228">
        <f>IF(N228&lt;&gt;"",N228,E228)</f>
        <v/>
      </c>
    </row>
    <row r="229">
      <c r="A229" t="inlineStr">
        <is>
          <t>Jose Alvarado</t>
        </is>
      </c>
      <c r="B229" t="inlineStr">
        <is>
          <t>NYK</t>
        </is>
      </c>
      <c r="C229" t="inlineStr">
        <is>
          <t>PG</t>
        </is>
      </c>
      <c r="D229" t="n">
        <v>72</v>
      </c>
      <c r="E229" t="n">
        <v>17.6</v>
      </c>
      <c r="F229" t="n">
        <v>69</v>
      </c>
      <c r="G229" t="n">
        <v>19.9</v>
      </c>
      <c r="H229" s="8">
        <f>IF(G229="","",E229-G229)</f>
        <v/>
      </c>
      <c r="J229" s="9" t="n"/>
      <c r="K229">
        <f>IF(J229="",0,COUNTIFS(Schedule!$B:$B,B229,Schedule!$A:$A,"&lt;"&amp;J229))</f>
        <v/>
      </c>
      <c r="L229">
        <f>82-K229</f>
        <v/>
      </c>
      <c r="M229" s="2" t="n"/>
      <c r="N229" s="2" t="n"/>
      <c r="O229">
        <f>IF(M229&lt;&gt;"",M229,MIN(D229,L229))</f>
        <v/>
      </c>
      <c r="P229">
        <f>IF(N229&lt;&gt;"",N229,E229)</f>
        <v/>
      </c>
    </row>
    <row r="230">
      <c r="A230" t="inlineStr">
        <is>
          <t>Jarace Walker</t>
        </is>
      </c>
      <c r="B230" t="inlineStr">
        <is>
          <t>IND</t>
        </is>
      </c>
      <c r="C230" t="inlineStr">
        <is>
          <t>PF,SF</t>
        </is>
      </c>
      <c r="D230" t="n">
        <v>71</v>
      </c>
      <c r="E230" t="n">
        <v>16.6</v>
      </c>
      <c r="F230" t="n">
        <v>76</v>
      </c>
      <c r="G230" t="n">
        <v>25.7</v>
      </c>
      <c r="H230" s="8">
        <f>IF(G230="","",E230-G230)</f>
        <v/>
      </c>
      <c r="J230" s="9" t="n"/>
      <c r="K230">
        <f>IF(J230="",0,COUNTIFS(Schedule!$B:$B,B230,Schedule!$A:$A,"&lt;"&amp;J230))</f>
        <v/>
      </c>
      <c r="L230">
        <f>82-K230</f>
        <v/>
      </c>
      <c r="M230" s="2" t="n"/>
      <c r="N230" s="2" t="n"/>
      <c r="O230">
        <f>IF(M230&lt;&gt;"",M230,MIN(D230,L230))</f>
        <v/>
      </c>
      <c r="P230">
        <f>IF(N230&lt;&gt;"",N230,E230)</f>
        <v/>
      </c>
    </row>
    <row r="231">
      <c r="A231" t="inlineStr">
        <is>
          <t>Gui Santos</t>
        </is>
      </c>
      <c r="B231" t="inlineStr">
        <is>
          <t>GSW</t>
        </is>
      </c>
      <c r="C231" t="inlineStr">
        <is>
          <t>SF,PF</t>
        </is>
      </c>
      <c r="D231" t="n">
        <v>73</v>
      </c>
      <c r="E231" t="n">
        <v>19.4</v>
      </c>
      <c r="F231" t="n">
        <v>68</v>
      </c>
      <c r="G231" t="n">
        <v>20.5</v>
      </c>
      <c r="H231" s="8">
        <f>IF(G231="","",E231-G231)</f>
        <v/>
      </c>
      <c r="J231" s="9" t="n"/>
      <c r="K231">
        <f>IF(J231="",0,COUNTIFS(Schedule!$B:$B,B231,Schedule!$A:$A,"&lt;"&amp;J231))</f>
        <v/>
      </c>
      <c r="L231">
        <f>82-K231</f>
        <v/>
      </c>
      <c r="M231" s="2" t="n"/>
      <c r="N231" s="2" t="n"/>
      <c r="O231">
        <f>IF(M231&lt;&gt;"",M231,MIN(D231,L231))</f>
        <v/>
      </c>
      <c r="P231">
        <f>IF(N231&lt;&gt;"",N231,E231)</f>
        <v/>
      </c>
    </row>
    <row r="232">
      <c r="A232" t="inlineStr">
        <is>
          <t>Ronald Holland II</t>
        </is>
      </c>
      <c r="B232" t="inlineStr">
        <is>
          <t>DET</t>
        </is>
      </c>
      <c r="C232" t="inlineStr">
        <is>
          <t>PF,SF</t>
        </is>
      </c>
      <c r="D232" t="n">
        <v>79</v>
      </c>
      <c r="E232" t="n">
        <v>16.6</v>
      </c>
      <c r="H232" s="8">
        <f>IF(G232="","",E232-G232)</f>
        <v/>
      </c>
      <c r="J232" s="9" t="n"/>
      <c r="K232">
        <f>IF(J232="",0,COUNTIFS(Schedule!$B:$B,B232,Schedule!$A:$A,"&lt;"&amp;J232))</f>
        <v/>
      </c>
      <c r="L232">
        <f>82-K232</f>
        <v/>
      </c>
      <c r="M232" s="2" t="n"/>
      <c r="N232" s="2" t="n"/>
      <c r="O232">
        <f>IF(M232&lt;&gt;"",M232,MIN(D232,L232))</f>
        <v/>
      </c>
      <c r="P232">
        <f>IF(N232&lt;&gt;"",N232,E232)</f>
        <v/>
      </c>
    </row>
    <row r="233">
      <c r="A233" t="inlineStr">
        <is>
          <t>Oso Ighodaro</t>
        </is>
      </c>
      <c r="B233" t="inlineStr">
        <is>
          <t>PHO</t>
        </is>
      </c>
      <c r="C233" t="inlineStr">
        <is>
          <t>C,PF</t>
        </is>
      </c>
      <c r="D233" t="n">
        <v>79</v>
      </c>
      <c r="E233" t="n">
        <v>23.7</v>
      </c>
      <c r="F233" t="n">
        <v>82</v>
      </c>
      <c r="G233" t="n">
        <v>22</v>
      </c>
      <c r="H233" s="8">
        <f>IF(G233="","",E233-G233)</f>
        <v/>
      </c>
      <c r="J233" s="9" t="n"/>
      <c r="K233">
        <f>IF(J233="",0,COUNTIFS(Schedule!$B:$B,B233,Schedule!$A:$A,"&lt;"&amp;J233))</f>
        <v/>
      </c>
      <c r="L233">
        <f>82-K233</f>
        <v/>
      </c>
      <c r="M233" s="2" t="n"/>
      <c r="N233" s="2" t="n"/>
      <c r="O233">
        <f>IF(M233&lt;&gt;"",M233,MIN(D233,L233))</f>
        <v/>
      </c>
      <c r="P233">
        <f>IF(N233&lt;&gt;"",N233,E233)</f>
        <v/>
      </c>
    </row>
    <row r="234">
      <c r="A234" t="inlineStr">
        <is>
          <t>Patrick Williams</t>
        </is>
      </c>
      <c r="B234" t="inlineStr">
        <is>
          <t>CHI</t>
        </is>
      </c>
      <c r="C234" t="inlineStr">
        <is>
          <t>PF,SF</t>
        </is>
      </c>
      <c r="D234" t="n">
        <v>75</v>
      </c>
      <c r="E234" t="n">
        <v>20.6</v>
      </c>
      <c r="F234" t="n">
        <v>72</v>
      </c>
      <c r="G234" t="n">
        <v>20.5</v>
      </c>
      <c r="H234" s="8">
        <f>IF(G234="","",E234-G234)</f>
        <v/>
      </c>
      <c r="J234" s="9" t="n"/>
      <c r="K234">
        <f>IF(J234="",0,COUNTIFS(Schedule!$B:$B,B234,Schedule!$A:$A,"&lt;"&amp;J234))</f>
        <v/>
      </c>
      <c r="L234">
        <f>82-K234</f>
        <v/>
      </c>
      <c r="M234" s="2" t="n"/>
      <c r="N234" s="2" t="n"/>
      <c r="O234">
        <f>IF(M234&lt;&gt;"",M234,MIN(D234,L234))</f>
        <v/>
      </c>
      <c r="P234">
        <f>IF(N234&lt;&gt;"",N234,E234)</f>
        <v/>
      </c>
    </row>
    <row r="235">
      <c r="A235" t="inlineStr">
        <is>
          <t>Jamal Shead</t>
        </is>
      </c>
      <c r="B235" t="inlineStr">
        <is>
          <t>TOR</t>
        </is>
      </c>
      <c r="C235" t="inlineStr">
        <is>
          <t>PG</t>
        </is>
      </c>
      <c r="D235" t="n">
        <v>80</v>
      </c>
      <c r="E235" t="n">
        <v>21.1</v>
      </c>
      <c r="F235" t="n">
        <v>82</v>
      </c>
      <c r="G235" t="n">
        <v>22.6</v>
      </c>
      <c r="H235" s="8">
        <f>IF(G235="","",E235-G235)</f>
        <v/>
      </c>
      <c r="J235" s="9" t="n"/>
      <c r="K235">
        <f>IF(J235="",0,COUNTIFS(Schedule!$B:$B,B235,Schedule!$A:$A,"&lt;"&amp;J235))</f>
        <v/>
      </c>
      <c r="L235">
        <f>82-K235</f>
        <v/>
      </c>
      <c r="M235" s="2" t="n"/>
      <c r="N235" s="2" t="n"/>
      <c r="O235">
        <f>IF(M235&lt;&gt;"",M235,MIN(D235,L235))</f>
        <v/>
      </c>
      <c r="P235">
        <f>IF(N235&lt;&gt;"",N235,E235)</f>
        <v/>
      </c>
    </row>
    <row r="236">
      <c r="A236" t="inlineStr">
        <is>
          <t>Baylor Scheierman</t>
        </is>
      </c>
      <c r="B236" t="inlineStr">
        <is>
          <t>BOS</t>
        </is>
      </c>
      <c r="C236" t="inlineStr">
        <is>
          <t>SG,SF</t>
        </is>
      </c>
      <c r="D236" t="n">
        <v>75</v>
      </c>
      <c r="E236" t="n">
        <v>20.5</v>
      </c>
      <c r="F236" t="n">
        <v>77</v>
      </c>
      <c r="G236" t="n">
        <v>18.6</v>
      </c>
      <c r="H236" s="8">
        <f>IF(G236="","",E236-G236)</f>
        <v/>
      </c>
      <c r="J236" s="9" t="n"/>
      <c r="K236">
        <f>IF(J236="",0,COUNTIFS(Schedule!$B:$B,B236,Schedule!$A:$A,"&lt;"&amp;J236))</f>
        <v/>
      </c>
      <c r="L236">
        <f>82-K236</f>
        <v/>
      </c>
      <c r="M236" s="2" t="n"/>
      <c r="N236" s="2" t="n"/>
      <c r="O236">
        <f>IF(M236&lt;&gt;"",M236,MIN(D236,L236))</f>
        <v/>
      </c>
      <c r="P236">
        <f>IF(N236&lt;&gt;"",N236,E236)</f>
        <v/>
      </c>
    </row>
    <row r="237">
      <c r="A237" t="inlineStr">
        <is>
          <t>Paul Reed</t>
        </is>
      </c>
      <c r="B237" t="inlineStr">
        <is>
          <t>DET</t>
        </is>
      </c>
      <c r="C237" t="inlineStr">
        <is>
          <t>C,PF</t>
        </is>
      </c>
      <c r="D237" t="n">
        <v>71</v>
      </c>
      <c r="E237" t="n">
        <v>12.2</v>
      </c>
      <c r="F237" t="n">
        <v>65</v>
      </c>
      <c r="G237" t="n">
        <v>13.9</v>
      </c>
      <c r="H237" s="8">
        <f>IF(G237="","",E237-G237)</f>
        <v/>
      </c>
      <c r="J237" s="9" t="n"/>
      <c r="K237">
        <f>IF(J237="",0,COUNTIFS(Schedule!$B:$B,B237,Schedule!$A:$A,"&lt;"&amp;J237))</f>
        <v/>
      </c>
      <c r="L237">
        <f>82-K237</f>
        <v/>
      </c>
      <c r="M237" s="2" t="n"/>
      <c r="N237" s="2" t="n"/>
      <c r="O237">
        <f>IF(M237&lt;&gt;"",M237,MIN(D237,L237))</f>
        <v/>
      </c>
      <c r="P237">
        <f>IF(N237&lt;&gt;"",N237,E237)</f>
        <v/>
      </c>
    </row>
    <row r="238">
      <c r="A238" t="inlineStr">
        <is>
          <t>Jeremy Sochan</t>
        </is>
      </c>
      <c r="B238" t="inlineStr">
        <is>
          <t>POR</t>
        </is>
      </c>
      <c r="C238" t="inlineStr">
        <is>
          <t>C,PF</t>
        </is>
      </c>
      <c r="D238" t="n">
        <v>47</v>
      </c>
      <c r="E238" t="n">
        <v>15.2</v>
      </c>
      <c r="F238" t="n">
        <v>44</v>
      </c>
      <c r="G238" t="n">
        <v>10.7</v>
      </c>
      <c r="H238" s="8">
        <f>IF(G238="","",E238-G238)</f>
        <v/>
      </c>
      <c r="J238" s="9" t="n"/>
      <c r="K238">
        <f>IF(J238="",0,COUNTIFS(Schedule!$B:$B,B238,Schedule!$A:$A,"&lt;"&amp;J238))</f>
        <v/>
      </c>
      <c r="L238">
        <f>82-K238</f>
        <v/>
      </c>
      <c r="M238" s="2" t="n"/>
      <c r="N238" s="2" t="n"/>
      <c r="O238">
        <f>IF(M238&lt;&gt;"",M238,MIN(D238,L238))</f>
        <v/>
      </c>
      <c r="P238">
        <f>IF(N238&lt;&gt;"",N238,E238)</f>
        <v/>
      </c>
    </row>
    <row r="239">
      <c r="A239" t="inlineStr">
        <is>
          <t>Mitchell Robinson</t>
        </is>
      </c>
      <c r="B239" t="inlineStr">
        <is>
          <t>BOS</t>
        </is>
      </c>
      <c r="C239" t="inlineStr">
        <is>
          <t>C</t>
        </is>
      </c>
      <c r="D239" t="n">
        <v>70</v>
      </c>
      <c r="E239" t="n">
        <v>22</v>
      </c>
      <c r="F239" t="n">
        <v>60</v>
      </c>
      <c r="G239" t="n">
        <v>19.6</v>
      </c>
      <c r="H239" s="8">
        <f>IF(G239="","",E239-G239)</f>
        <v/>
      </c>
      <c r="J239" s="9" t="n"/>
      <c r="K239">
        <f>IF(J239="",0,COUNTIFS(Schedule!$B:$B,B239,Schedule!$A:$A,"&lt;"&amp;J239))</f>
        <v/>
      </c>
      <c r="L239">
        <f>82-K239</f>
        <v/>
      </c>
      <c r="M239" s="2" t="n"/>
      <c r="N239" s="2" t="n"/>
      <c r="O239">
        <f>IF(M239&lt;&gt;"",M239,MIN(D239,L239))</f>
        <v/>
      </c>
      <c r="P239">
        <f>IF(N239&lt;&gt;"",N239,E239)</f>
        <v/>
      </c>
    </row>
    <row r="240">
      <c r="A240" t="inlineStr">
        <is>
          <t>Ryan Kalkbrenner</t>
        </is>
      </c>
      <c r="B240" t="inlineStr">
        <is>
          <t>CHA</t>
        </is>
      </c>
      <c r="C240" t="inlineStr">
        <is>
          <t>C</t>
        </is>
      </c>
      <c r="D240" t="n">
        <v>74</v>
      </c>
      <c r="E240" t="n">
        <v>19.4</v>
      </c>
      <c r="F240" t="n">
        <v>69</v>
      </c>
      <c r="G240" t="n">
        <v>21.4</v>
      </c>
      <c r="H240" s="8">
        <f>IF(G240="","",E240-G240)</f>
        <v/>
      </c>
      <c r="J240" s="9" t="n"/>
      <c r="K240">
        <f>IF(J240="",0,COUNTIFS(Schedule!$B:$B,B240,Schedule!$A:$A,"&lt;"&amp;J240))</f>
        <v/>
      </c>
      <c r="L240">
        <f>82-K240</f>
        <v/>
      </c>
      <c r="M240" s="2" t="n"/>
      <c r="N240" s="2" t="n"/>
      <c r="O240">
        <f>IF(M240&lt;&gt;"",M240,MIN(D240,L240))</f>
        <v/>
      </c>
      <c r="P240">
        <f>IF(N240&lt;&gt;"",N240,E240)</f>
        <v/>
      </c>
    </row>
    <row r="241">
      <c r="A241" t="inlineStr">
        <is>
          <t>Grant Williams</t>
        </is>
      </c>
      <c r="B241" t="inlineStr">
        <is>
          <t>CHA</t>
        </is>
      </c>
      <c r="C241" t="inlineStr">
        <is>
          <t>PF,C</t>
        </is>
      </c>
      <c r="D241" t="n">
        <v>71</v>
      </c>
      <c r="E241" t="n">
        <v>18.1</v>
      </c>
      <c r="F241" t="n">
        <v>36</v>
      </c>
      <c r="G241" t="n">
        <v>19.8</v>
      </c>
      <c r="H241" s="8">
        <f>IF(G241="","",E241-G241)</f>
        <v/>
      </c>
      <c r="I241" t="inlineStr">
        <is>
          <t>Day-To-Day</t>
        </is>
      </c>
      <c r="J241" s="9" t="n">
        <v>46316</v>
      </c>
      <c r="K241">
        <f>IF(J241="",0,COUNTIFS(Schedule!$B:$B,B241,Schedule!$A:$A,"&lt;"&amp;J241))</f>
        <v/>
      </c>
      <c r="L241">
        <f>82-K241</f>
        <v/>
      </c>
      <c r="M241" s="2" t="n"/>
      <c r="N241" s="2" t="n"/>
      <c r="O241">
        <f>IF(M241&lt;&gt;"",M241,MIN(D241,L241))</f>
        <v/>
      </c>
      <c r="P241">
        <f>IF(N241&lt;&gt;"",N241,E241)</f>
        <v/>
      </c>
      <c r="Q241" t="inlineStr">
        <is>
          <t>2026-09-25: Williams will miss the preseason after suffering a right hamstring injury, the Hornets announced Friday.</t>
        </is>
      </c>
    </row>
    <row r="242">
      <c r="A242" t="inlineStr">
        <is>
          <t>Jaylin Williams</t>
        </is>
      </c>
      <c r="B242" t="inlineStr">
        <is>
          <t>OKC</t>
        </is>
      </c>
      <c r="C242" t="inlineStr">
        <is>
          <t>PF,C</t>
        </is>
      </c>
      <c r="D242" t="n">
        <v>73</v>
      </c>
      <c r="E242" t="n">
        <v>17.3</v>
      </c>
      <c r="F242" t="n">
        <v>65</v>
      </c>
      <c r="G242" t="n">
        <v>19.6</v>
      </c>
      <c r="H242" s="8">
        <f>IF(G242="","",E242-G242)</f>
        <v/>
      </c>
      <c r="I242" t="inlineStr">
        <is>
          <t>Day-To-Day</t>
        </is>
      </c>
      <c r="J242" s="9" t="n">
        <v>46308</v>
      </c>
      <c r="K242">
        <f>IF(J242="",0,COUNTIFS(Schedule!$B:$B,B242,Schedule!$A:$A,"&lt;"&amp;J242))</f>
        <v/>
      </c>
      <c r="L242">
        <f>82-K242</f>
        <v/>
      </c>
      <c r="M242" s="2" t="n"/>
      <c r="N242" s="2" t="n"/>
      <c r="O242">
        <f>IF(M242&lt;&gt;"",M242,MIN(D242,L242))</f>
        <v/>
      </c>
      <c r="P242">
        <f>IF(N242&lt;&gt;"",N242,E242)</f>
        <v/>
      </c>
      <c r="Q242" t="inlineStr">
        <is>
          <t>2026-10-10: Williams (heel) won't play in Monday's preseason game against Atlanta, Clemente Almanza of USA Today reports.</t>
        </is>
      </c>
    </row>
    <row r="243">
      <c r="A243" t="inlineStr">
        <is>
          <t>Robert Williams III</t>
        </is>
      </c>
      <c r="B243" t="inlineStr">
        <is>
          <t>POR</t>
        </is>
      </c>
      <c r="C243" t="inlineStr">
        <is>
          <t>C</t>
        </is>
      </c>
      <c r="D243" t="n">
        <v>69</v>
      </c>
      <c r="E243" t="n">
        <v>16.3</v>
      </c>
      <c r="F243" t="n">
        <v>59</v>
      </c>
      <c r="G243" t="n">
        <v>17.1</v>
      </c>
      <c r="H243" s="8">
        <f>IF(G243="","",E243-G243)</f>
        <v/>
      </c>
      <c r="J243" s="9" t="n"/>
      <c r="K243">
        <f>IF(J243="",0,COUNTIFS(Schedule!$B:$B,B243,Schedule!$A:$A,"&lt;"&amp;J243))</f>
        <v/>
      </c>
      <c r="L243">
        <f>82-K243</f>
        <v/>
      </c>
      <c r="M243" s="2" t="n"/>
      <c r="N243" s="2" t="n"/>
      <c r="O243">
        <f>IF(M243&lt;&gt;"",M243,MIN(D243,L243))</f>
        <v/>
      </c>
      <c r="P243">
        <f>IF(N243&lt;&gt;"",N243,E243)</f>
        <v/>
      </c>
    </row>
    <row r="244">
      <c r="A244" t="inlineStr">
        <is>
          <t>Ryan Dunn</t>
        </is>
      </c>
      <c r="B244" t="inlineStr">
        <is>
          <t>PHO</t>
        </is>
      </c>
      <c r="C244" t="inlineStr">
        <is>
          <t>SF,PF</t>
        </is>
      </c>
      <c r="D244" t="n">
        <v>75</v>
      </c>
      <c r="E244" t="n">
        <v>18.9</v>
      </c>
      <c r="F244" t="n">
        <v>70</v>
      </c>
      <c r="G244" t="n">
        <v>19.4</v>
      </c>
      <c r="H244" s="8">
        <f>IF(G244="","",E244-G244)</f>
        <v/>
      </c>
      <c r="J244" s="9" t="n"/>
      <c r="K244">
        <f>IF(J244="",0,COUNTIFS(Schedule!$B:$B,B244,Schedule!$A:$A,"&lt;"&amp;J244))</f>
        <v/>
      </c>
      <c r="L244">
        <f>82-K244</f>
        <v/>
      </c>
      <c r="M244" s="2" t="n"/>
      <c r="N244" s="2" t="n"/>
      <c r="O244">
        <f>IF(M244&lt;&gt;"",M244,MIN(D244,L244))</f>
        <v/>
      </c>
      <c r="P244">
        <f>IF(N244&lt;&gt;"",N244,E244)</f>
        <v/>
      </c>
    </row>
    <row r="245">
      <c r="A245" t="inlineStr">
        <is>
          <t>Zach Collins</t>
        </is>
      </c>
      <c r="B245" t="inlineStr">
        <is>
          <t>CHI</t>
        </is>
      </c>
      <c r="C245" t="inlineStr">
        <is>
          <t>C</t>
        </is>
      </c>
      <c r="D245" t="n">
        <v>67</v>
      </c>
      <c r="E245" t="n">
        <v>13.2</v>
      </c>
      <c r="F245" t="n">
        <v>10</v>
      </c>
      <c r="G245" t="n">
        <v>18.4</v>
      </c>
      <c r="H245" s="8">
        <f>IF(G245="","",E245-G245)</f>
        <v/>
      </c>
      <c r="I245" t="inlineStr">
        <is>
          <t>Day-To-Day</t>
        </is>
      </c>
      <c r="J245" s="9" t="n">
        <v>46306</v>
      </c>
      <c r="K245">
        <f>IF(J245="",0,COUNTIFS(Schedule!$B:$B,B245,Schedule!$A:$A,"&lt;"&amp;J245))</f>
        <v/>
      </c>
      <c r="L245">
        <f>82-K245</f>
        <v/>
      </c>
      <c r="M245" s="2" t="n"/>
      <c r="N245" s="2" t="n"/>
      <c r="O245">
        <f>IF(M245&lt;&gt;"",M245,MIN(D245,L245))</f>
        <v/>
      </c>
      <c r="P245">
        <f>IF(N245&lt;&gt;"",N245,E245)</f>
        <v/>
      </c>
      <c r="Q245" t="inlineStr">
        <is>
          <t>2026-10-09: Collins (toe) won't play in Friday's preseason game against the Grizzlies, K.C. Johnson of Chicago Sports Network reports.</t>
        </is>
      </c>
    </row>
    <row r="246">
      <c r="A246" t="inlineStr">
        <is>
          <t>Andre Drummond</t>
        </is>
      </c>
      <c r="B246" t="inlineStr">
        <is>
          <t>NYK</t>
        </is>
      </c>
      <c r="C246" t="inlineStr">
        <is>
          <t>C</t>
        </is>
      </c>
      <c r="D246" t="n">
        <v>69</v>
      </c>
      <c r="E246" t="n">
        <v>16.6</v>
      </c>
      <c r="F246" t="n">
        <v>63</v>
      </c>
      <c r="G246" t="n">
        <v>19.5</v>
      </c>
      <c r="H246" s="8">
        <f>IF(G246="","",E246-G246)</f>
        <v/>
      </c>
      <c r="J246" s="9" t="n"/>
      <c r="K246">
        <f>IF(J246="",0,COUNTIFS(Schedule!$B:$B,B246,Schedule!$A:$A,"&lt;"&amp;J246))</f>
        <v/>
      </c>
      <c r="L246">
        <f>82-K246</f>
        <v/>
      </c>
      <c r="M246" s="2" t="n"/>
      <c r="N246" s="2" t="n"/>
      <c r="O246">
        <f>IF(M246&lt;&gt;"",M246,MIN(D246,L246))</f>
        <v/>
      </c>
      <c r="P246">
        <f>IF(N246&lt;&gt;"",N246,E246)</f>
        <v/>
      </c>
    </row>
    <row r="247">
      <c r="A247" t="inlineStr">
        <is>
          <t>Matisse Thybulle</t>
        </is>
      </c>
      <c r="B247" t="inlineStr">
        <is>
          <t>LAL</t>
        </is>
      </c>
      <c r="C247" t="inlineStr">
        <is>
          <t>PF,SF,SG</t>
        </is>
      </c>
      <c r="D247" t="n">
        <v>68</v>
      </c>
      <c r="E247" t="n">
        <v>18</v>
      </c>
      <c r="F247" t="n">
        <v>30</v>
      </c>
      <c r="G247" t="n">
        <v>16</v>
      </c>
      <c r="H247" s="8">
        <f>IF(G247="","",E247-G247)</f>
        <v/>
      </c>
      <c r="J247" s="9" t="n"/>
      <c r="K247">
        <f>IF(J247="",0,COUNTIFS(Schedule!$B:$B,B247,Schedule!$A:$A,"&lt;"&amp;J247))</f>
        <v/>
      </c>
      <c r="L247">
        <f>82-K247</f>
        <v/>
      </c>
      <c r="M247" s="2" t="n"/>
      <c r="N247" s="2" t="n"/>
      <c r="O247">
        <f>IF(M247&lt;&gt;"",M247,MIN(D247,L247))</f>
        <v/>
      </c>
      <c r="P247">
        <f>IF(N247&lt;&gt;"",N247,E247)</f>
        <v/>
      </c>
    </row>
    <row r="248">
      <c r="A248" t="inlineStr">
        <is>
          <t>Kris Dunn</t>
        </is>
      </c>
      <c r="B248" t="inlineStr">
        <is>
          <t>LAC</t>
        </is>
      </c>
      <c r="C248" t="inlineStr">
        <is>
          <t>PG,SG</t>
        </is>
      </c>
      <c r="D248" t="n">
        <v>77</v>
      </c>
      <c r="E248" t="n">
        <v>20.6</v>
      </c>
      <c r="F248" t="n">
        <v>82</v>
      </c>
      <c r="G248" t="n">
        <v>27.2</v>
      </c>
      <c r="H248" s="8">
        <f>IF(G248="","",E248-G248)</f>
        <v/>
      </c>
      <c r="J248" s="9" t="n"/>
      <c r="K248">
        <f>IF(J248="",0,COUNTIFS(Schedule!$B:$B,B248,Schedule!$A:$A,"&lt;"&amp;J248))</f>
        <v/>
      </c>
      <c r="L248">
        <f>82-K248</f>
        <v/>
      </c>
      <c r="M248" s="2" t="n"/>
      <c r="N248" s="2" t="n"/>
      <c r="O248">
        <f>IF(M248&lt;&gt;"",M248,MIN(D248,L248))</f>
        <v/>
      </c>
      <c r="P248">
        <f>IF(N248&lt;&gt;"",N248,E248)</f>
        <v/>
      </c>
    </row>
    <row r="249">
      <c r="A249" t="inlineStr">
        <is>
          <t>Jaxson Hayes</t>
        </is>
      </c>
      <c r="B249" t="inlineStr">
        <is>
          <t>UTH</t>
        </is>
      </c>
      <c r="C249" t="inlineStr">
        <is>
          <t>C</t>
        </is>
      </c>
      <c r="D249" t="n">
        <v>71</v>
      </c>
      <c r="E249" t="n">
        <v>15.3</v>
      </c>
      <c r="F249" t="n">
        <v>66</v>
      </c>
      <c r="G249" t="n">
        <v>18.3</v>
      </c>
      <c r="H249" s="8">
        <f>IF(G249="","",E249-G249)</f>
        <v/>
      </c>
      <c r="J249" s="9" t="n"/>
      <c r="K249">
        <f>IF(J249="",0,COUNTIFS(Schedule!$B:$B,B249,Schedule!$A:$A,"&lt;"&amp;J249))</f>
        <v/>
      </c>
      <c r="L249">
        <f>82-K249</f>
        <v/>
      </c>
      <c r="M249" s="2" t="n"/>
      <c r="N249" s="2" t="n"/>
      <c r="O249">
        <f>IF(M249&lt;&gt;"",M249,MIN(D249,L249))</f>
        <v/>
      </c>
      <c r="P249">
        <f>IF(N249&lt;&gt;"",N249,E249)</f>
        <v/>
      </c>
    </row>
    <row r="250">
      <c r="A250" t="inlineStr">
        <is>
          <t>Mike Conley</t>
        </is>
      </c>
      <c r="B250" t="inlineStr">
        <is>
          <t>BOS</t>
        </is>
      </c>
      <c r="C250" t="inlineStr">
        <is>
          <t>PG</t>
        </is>
      </c>
      <c r="D250" t="n">
        <v>67</v>
      </c>
      <c r="E250" t="n">
        <v>18.2</v>
      </c>
      <c r="F250" t="n">
        <v>54</v>
      </c>
      <c r="G250" t="n">
        <v>18.4</v>
      </c>
      <c r="H250" s="8">
        <f>IF(G250="","",E250-G250)</f>
        <v/>
      </c>
      <c r="J250" s="9" t="n"/>
      <c r="K250">
        <f>IF(J250="",0,COUNTIFS(Schedule!$B:$B,B250,Schedule!$A:$A,"&lt;"&amp;J250))</f>
        <v/>
      </c>
      <c r="L250">
        <f>82-K250</f>
        <v/>
      </c>
      <c r="M250" s="2" t="n"/>
      <c r="N250" s="2" t="n"/>
      <c r="O250">
        <f>IF(M250&lt;&gt;"",M250,MIN(D250,L250))</f>
        <v/>
      </c>
      <c r="P250">
        <f>IF(N250&lt;&gt;"",N250,E250)</f>
        <v/>
      </c>
    </row>
    <row r="251">
      <c r="A251" t="inlineStr">
        <is>
          <t>Ben Sheppard</t>
        </is>
      </c>
      <c r="B251" t="inlineStr">
        <is>
          <t>IND</t>
        </is>
      </c>
      <c r="C251" t="inlineStr">
        <is>
          <t>SG,SF</t>
        </is>
      </c>
      <c r="D251" t="n">
        <v>70</v>
      </c>
      <c r="E251" t="n">
        <v>18.4</v>
      </c>
      <c r="F251" t="n">
        <v>65</v>
      </c>
      <c r="G251" t="n">
        <v>21.4</v>
      </c>
      <c r="H251" s="8">
        <f>IF(G251="","",E251-G251)</f>
        <v/>
      </c>
      <c r="J251" s="9" t="n"/>
      <c r="K251">
        <f>IF(J251="",0,COUNTIFS(Schedule!$B:$B,B251,Schedule!$A:$A,"&lt;"&amp;J251))</f>
        <v/>
      </c>
      <c r="L251">
        <f>82-K251</f>
        <v/>
      </c>
      <c r="M251" s="2" t="n"/>
      <c r="N251" s="2" t="n"/>
      <c r="O251">
        <f>IF(M251&lt;&gt;"",M251,MIN(D251,L251))</f>
        <v/>
      </c>
      <c r="P251">
        <f>IF(N251&lt;&gt;"",N251,E251)</f>
        <v/>
      </c>
    </row>
    <row r="252">
      <c r="A252" t="inlineStr">
        <is>
          <t>Khaman Maluach</t>
        </is>
      </c>
      <c r="B252" t="inlineStr">
        <is>
          <t>PHO</t>
        </is>
      </c>
      <c r="C252" t="inlineStr">
        <is>
          <t>C</t>
        </is>
      </c>
      <c r="D252" t="n">
        <v>72</v>
      </c>
      <c r="E252" t="n">
        <v>14.9</v>
      </c>
      <c r="F252" t="n">
        <v>46</v>
      </c>
      <c r="G252" t="n">
        <v>8.9</v>
      </c>
      <c r="H252" s="8">
        <f>IF(G252="","",E252-G252)</f>
        <v/>
      </c>
      <c r="J252" s="9" t="n"/>
      <c r="K252">
        <f>IF(J252="",0,COUNTIFS(Schedule!$B:$B,B252,Schedule!$A:$A,"&lt;"&amp;J252))</f>
        <v/>
      </c>
      <c r="L252">
        <f>82-K252</f>
        <v/>
      </c>
      <c r="M252" s="2" t="n"/>
      <c r="N252" s="2" t="n"/>
      <c r="O252">
        <f>IF(M252&lt;&gt;"",M252,MIN(D252,L252))</f>
        <v/>
      </c>
      <c r="P252">
        <f>IF(N252&lt;&gt;"",N252,E252)</f>
        <v/>
      </c>
    </row>
    <row r="253">
      <c r="A253" t="inlineStr">
        <is>
          <t>Trayce Jackson-Davis</t>
        </is>
      </c>
      <c r="B253" t="inlineStr">
        <is>
          <t>TOR</t>
        </is>
      </c>
      <c r="C253" t="inlineStr">
        <is>
          <t>PF,C</t>
        </is>
      </c>
      <c r="D253" t="n">
        <v>47</v>
      </c>
      <c r="E253" t="n">
        <v>10.8</v>
      </c>
      <c r="F253" t="n">
        <v>53</v>
      </c>
      <c r="G253" t="n">
        <v>9.4</v>
      </c>
      <c r="H253" s="8">
        <f>IF(G253="","",E253-G253)</f>
        <v/>
      </c>
      <c r="I253" t="inlineStr">
        <is>
          <t>Day-To-Day</t>
        </is>
      </c>
      <c r="J253" s="9" t="n">
        <v>46308</v>
      </c>
      <c r="K253">
        <f>IF(J253="",0,COUNTIFS(Schedule!$B:$B,B253,Schedule!$A:$A,"&lt;"&amp;J253))</f>
        <v/>
      </c>
      <c r="L253">
        <f>82-K253</f>
        <v/>
      </c>
      <c r="M253" s="2" t="n"/>
      <c r="N253" s="2" t="n"/>
      <c r="O253">
        <f>IF(M253&lt;&gt;"",M253,MIN(D253,L253))</f>
        <v/>
      </c>
      <c r="P253">
        <f>IF(N253&lt;&gt;"",N253,E253)</f>
        <v/>
      </c>
      <c r="Q253" t="inlineStr">
        <is>
          <t>2026-10-10: Jackson-Davis (dental) will not play against the Clippers in Saturday's preseason game, Michael Grange of Sportsnet.ca reports.</t>
        </is>
      </c>
    </row>
    <row r="254">
      <c r="A254" t="inlineStr">
        <is>
          <t>Kyle Anderson</t>
        </is>
      </c>
      <c r="B254" t="inlineStr">
        <is>
          <t>TOR</t>
        </is>
      </c>
      <c r="C254" t="inlineStr">
        <is>
          <t>PF,SF</t>
        </is>
      </c>
      <c r="D254" t="n">
        <v>70</v>
      </c>
      <c r="E254" t="n">
        <v>15.2</v>
      </c>
      <c r="F254" t="n">
        <v>43</v>
      </c>
      <c r="G254" t="n">
        <v>19.8</v>
      </c>
      <c r="H254" s="8">
        <f>IF(G254="","",E254-G254)</f>
        <v/>
      </c>
      <c r="J254" s="9" t="n"/>
      <c r="K254">
        <f>IF(J254="",0,COUNTIFS(Schedule!$B:$B,B254,Schedule!$A:$A,"&lt;"&amp;J254))</f>
        <v/>
      </c>
      <c r="L254">
        <f>82-K254</f>
        <v/>
      </c>
      <c r="M254" s="2" t="n"/>
      <c r="N254" s="2" t="n"/>
      <c r="O254">
        <f>IF(M254&lt;&gt;"",M254,MIN(D254,L254))</f>
        <v/>
      </c>
      <c r="P254">
        <f>IF(N254&lt;&gt;"",N254,E254)</f>
        <v/>
      </c>
    </row>
    <row r="255">
      <c r="A255" t="inlineStr">
        <is>
          <t>Luke Kornet</t>
        </is>
      </c>
      <c r="B255" t="inlineStr">
        <is>
          <t>SAS</t>
        </is>
      </c>
      <c r="C255" t="inlineStr">
        <is>
          <t>C</t>
        </is>
      </c>
      <c r="D255" t="n">
        <v>75</v>
      </c>
      <c r="E255" t="n">
        <v>14.6</v>
      </c>
      <c r="F255" t="n">
        <v>68</v>
      </c>
      <c r="G255" t="n">
        <v>21</v>
      </c>
      <c r="H255" s="8">
        <f>IF(G255="","",E255-G255)</f>
        <v/>
      </c>
      <c r="J255" s="9" t="n"/>
      <c r="K255">
        <f>IF(J255="",0,COUNTIFS(Schedule!$B:$B,B255,Schedule!$A:$A,"&lt;"&amp;J255))</f>
        <v/>
      </c>
      <c r="L255">
        <f>82-K255</f>
        <v/>
      </c>
      <c r="M255" s="2" t="n"/>
      <c r="N255" s="2" t="n"/>
      <c r="O255">
        <f>IF(M255&lt;&gt;"",M255,MIN(D255,L255))</f>
        <v/>
      </c>
      <c r="P255">
        <f>IF(N255&lt;&gt;"",N255,E255)</f>
        <v/>
      </c>
    </row>
    <row r="256">
      <c r="A256" t="inlineStr">
        <is>
          <t>Goga Bitadze</t>
        </is>
      </c>
      <c r="B256" t="inlineStr">
        <is>
          <t>ORL</t>
        </is>
      </c>
      <c r="C256" t="inlineStr">
        <is>
          <t>C</t>
        </is>
      </c>
      <c r="D256" t="n">
        <v>72</v>
      </c>
      <c r="E256" t="n">
        <v>12.9</v>
      </c>
      <c r="F256" t="n">
        <v>64</v>
      </c>
      <c r="G256" t="n">
        <v>15.2</v>
      </c>
      <c r="H256" s="8">
        <f>IF(G256="","",E256-G256)</f>
        <v/>
      </c>
      <c r="J256" s="9" t="n"/>
      <c r="K256">
        <f>IF(J256="",0,COUNTIFS(Schedule!$B:$B,B256,Schedule!$A:$A,"&lt;"&amp;J256))</f>
        <v/>
      </c>
      <c r="L256">
        <f>82-K256</f>
        <v/>
      </c>
      <c r="M256" s="2" t="n"/>
      <c r="N256" s="2" t="n"/>
      <c r="O256">
        <f>IF(M256&lt;&gt;"",M256,MIN(D256,L256))</f>
        <v/>
      </c>
      <c r="P256">
        <f>IF(N256&lt;&gt;"",N256,E256)</f>
        <v/>
      </c>
    </row>
    <row r="257">
      <c r="A257" t="inlineStr">
        <is>
          <t>Thomas Bryant</t>
        </is>
      </c>
      <c r="B257" t="inlineStr">
        <is>
          <t>CLE</t>
        </is>
      </c>
      <c r="C257" t="inlineStr">
        <is>
          <t>C</t>
        </is>
      </c>
      <c r="D257" t="n">
        <v>48</v>
      </c>
      <c r="E257" t="n">
        <v>9.199999999999999</v>
      </c>
      <c r="F257" t="n">
        <v>60</v>
      </c>
      <c r="G257" t="n">
        <v>12.2</v>
      </c>
      <c r="H257" s="8">
        <f>IF(G257="","",E257-G257)</f>
        <v/>
      </c>
      <c r="J257" s="9" t="n"/>
      <c r="K257">
        <f>IF(J257="",0,COUNTIFS(Schedule!$B:$B,B257,Schedule!$A:$A,"&lt;"&amp;J257))</f>
        <v/>
      </c>
      <c r="L257">
        <f>82-K257</f>
        <v/>
      </c>
      <c r="M257" s="2" t="n"/>
      <c r="N257" s="2" t="n"/>
      <c r="O257">
        <f>IF(M257&lt;&gt;"",M257,MIN(D257,L257))</f>
        <v/>
      </c>
      <c r="P257">
        <f>IF(N257&lt;&gt;"",N257,E257)</f>
        <v/>
      </c>
    </row>
    <row r="258">
      <c r="A258" t="inlineStr">
        <is>
          <t>Clint Capela</t>
        </is>
      </c>
      <c r="B258" t="inlineStr">
        <is>
          <t>HOU</t>
        </is>
      </c>
      <c r="C258" t="inlineStr">
        <is>
          <t>C</t>
        </is>
      </c>
      <c r="D258" t="n">
        <v>45</v>
      </c>
      <c r="E258" t="n">
        <v>11.5</v>
      </c>
      <c r="F258" t="n">
        <v>75</v>
      </c>
      <c r="G258" t="n">
        <v>12.3</v>
      </c>
      <c r="H258" s="8">
        <f>IF(G258="","",E258-G258)</f>
        <v/>
      </c>
      <c r="J258" s="9" t="n"/>
      <c r="K258">
        <f>IF(J258="",0,COUNTIFS(Schedule!$B:$B,B258,Schedule!$A:$A,"&lt;"&amp;J258))</f>
        <v/>
      </c>
      <c r="L258">
        <f>82-K258</f>
        <v/>
      </c>
      <c r="M258" s="2" t="n"/>
      <c r="N258" s="2" t="n"/>
      <c r="O258">
        <f>IF(M258&lt;&gt;"",M258,MIN(D258,L258))</f>
        <v/>
      </c>
      <c r="P258">
        <f>IF(N258&lt;&gt;"",N258,E258)</f>
        <v/>
      </c>
    </row>
    <row r="259">
      <c r="A259" t="inlineStr">
        <is>
          <t>Adem Bona</t>
        </is>
      </c>
      <c r="B259" t="inlineStr">
        <is>
          <t>PHI</t>
        </is>
      </c>
      <c r="C259" t="inlineStr">
        <is>
          <t>C</t>
        </is>
      </c>
      <c r="D259" t="n">
        <v>74</v>
      </c>
      <c r="E259" t="n">
        <v>14.9</v>
      </c>
      <c r="F259" t="n">
        <v>71</v>
      </c>
      <c r="G259" t="n">
        <v>17.4</v>
      </c>
      <c r="H259" s="8">
        <f>IF(G259="","",E259-G259)</f>
        <v/>
      </c>
      <c r="I259" t="inlineStr">
        <is>
          <t>Day-To-Day</t>
        </is>
      </c>
      <c r="J259" s="9" t="n">
        <v>46311</v>
      </c>
      <c r="K259">
        <f>IF(J259="",0,COUNTIFS(Schedule!$B:$B,B259,Schedule!$A:$A,"&lt;"&amp;J259))</f>
        <v/>
      </c>
      <c r="L259">
        <f>82-K259</f>
        <v/>
      </c>
      <c r="M259" s="2" t="n"/>
      <c r="N259" s="2" t="n"/>
      <c r="O259">
        <f>IF(M259&lt;&gt;"",M259,MIN(D259,L259))</f>
        <v/>
      </c>
      <c r="P259">
        <f>IF(N259&lt;&gt;"",N259,E259)</f>
        <v/>
      </c>
      <c r="Q259" t="inlineStr">
        <is>
          <t>2026-10-07: Bona (left foot) isn't expected to play in either of Philadelphia's next two preseason games against Brooklyn and Boston, Dave McMenamin of ESPN.com reports.</t>
        </is>
      </c>
    </row>
    <row r="260">
      <c r="A260" t="inlineStr">
        <is>
          <t>Jarred Vanderbilt</t>
        </is>
      </c>
      <c r="B260" t="inlineStr">
        <is>
          <t>LAL</t>
        </is>
      </c>
      <c r="C260" t="inlineStr">
        <is>
          <t>C,PF,SF</t>
        </is>
      </c>
      <c r="D260" t="n">
        <v>71</v>
      </c>
      <c r="E260" t="n">
        <v>16.1</v>
      </c>
      <c r="F260" t="n">
        <v>65</v>
      </c>
      <c r="G260" t="n">
        <v>17.4</v>
      </c>
      <c r="H260" s="8">
        <f>IF(G260="","",E260-G260)</f>
        <v/>
      </c>
      <c r="J260" s="9" t="n"/>
      <c r="K260">
        <f>IF(J260="",0,COUNTIFS(Schedule!$B:$B,B260,Schedule!$A:$A,"&lt;"&amp;J260))</f>
        <v/>
      </c>
      <c r="L260">
        <f>82-K260</f>
        <v/>
      </c>
      <c r="M260" s="2" t="n"/>
      <c r="N260" s="2" t="n"/>
      <c r="O260">
        <f>IF(M260&lt;&gt;"",M260,MIN(D260,L260))</f>
        <v/>
      </c>
      <c r="P260">
        <f>IF(N260&lt;&gt;"",N260,E260)</f>
        <v/>
      </c>
    </row>
    <row r="261">
      <c r="A261" t="inlineStr">
        <is>
          <t>Mouhamed Gueye</t>
        </is>
      </c>
      <c r="B261" t="inlineStr">
        <is>
          <t>ATL</t>
        </is>
      </c>
      <c r="C261" t="inlineStr">
        <is>
          <t>PF,C</t>
        </is>
      </c>
      <c r="D261" t="n">
        <v>74</v>
      </c>
      <c r="E261" t="n">
        <v>13.5</v>
      </c>
      <c r="F261" t="n">
        <v>77</v>
      </c>
      <c r="G261" t="n">
        <v>15.3</v>
      </c>
      <c r="H261" s="8">
        <f>IF(G261="","",E261-G261)</f>
        <v/>
      </c>
      <c r="I261" t="inlineStr">
        <is>
          <t>Day-To-Day</t>
        </is>
      </c>
      <c r="J261" s="9" t="n">
        <v>46316</v>
      </c>
      <c r="K261">
        <f>IF(J261="",0,COUNTIFS(Schedule!$B:$B,B261,Schedule!$A:$A,"&lt;"&amp;J261))</f>
        <v/>
      </c>
      <c r="L261">
        <f>82-K261</f>
        <v/>
      </c>
      <c r="M261" s="2" t="n"/>
      <c r="N261" s="2" t="n"/>
      <c r="O261">
        <f>IF(M261&lt;&gt;"",M261,MIN(D261,L261))</f>
        <v/>
      </c>
      <c r="P261">
        <f>IF(N261&lt;&gt;"",N261,E261)</f>
        <v/>
      </c>
      <c r="Q261" t="inlineStr">
        <is>
          <t>2026-07-19: Gueye underwent surgery Tuesday to repair a fractured left foot that he suffered during a workout last week, Brad Rowland of the Locked On Podcast Network reports.</t>
        </is>
      </c>
    </row>
    <row r="262">
      <c r="A262" t="inlineStr">
        <is>
          <t>Kevon Looney</t>
        </is>
      </c>
      <c r="B262" t="inlineStr">
        <is>
          <t>LAL</t>
        </is>
      </c>
      <c r="C262" t="inlineStr">
        <is>
          <t>C,PF</t>
        </is>
      </c>
      <c r="D262" t="n">
        <v>72</v>
      </c>
      <c r="E262" t="n">
        <v>14.1</v>
      </c>
      <c r="F262" t="n">
        <v>21</v>
      </c>
      <c r="G262" t="n">
        <v>14.7</v>
      </c>
      <c r="H262" s="8">
        <f>IF(G262="","",E262-G262)</f>
        <v/>
      </c>
      <c r="J262" s="9" t="n"/>
      <c r="K262">
        <f>IF(J262="",0,COUNTIFS(Schedule!$B:$B,B262,Schedule!$A:$A,"&lt;"&amp;J262))</f>
        <v/>
      </c>
      <c r="L262">
        <f>82-K262</f>
        <v/>
      </c>
      <c r="M262" s="2" t="n"/>
      <c r="N262" s="2" t="n"/>
      <c r="O262">
        <f>IF(M262&lt;&gt;"",M262,MIN(D262,L262))</f>
        <v/>
      </c>
      <c r="P262">
        <f>IF(N262&lt;&gt;"",N262,E262)</f>
        <v/>
      </c>
    </row>
    <row r="263">
      <c r="A263" t="inlineStr">
        <is>
          <t>Jericho Sims</t>
        </is>
      </c>
      <c r="B263" t="inlineStr">
        <is>
          <t>MIL</t>
        </is>
      </c>
      <c r="C263" t="inlineStr">
        <is>
          <t>C,PF</t>
        </is>
      </c>
      <c r="D263" t="n">
        <v>46</v>
      </c>
      <c r="E263" t="n">
        <v>15.1</v>
      </c>
      <c r="F263" t="n">
        <v>67</v>
      </c>
      <c r="G263" t="n">
        <v>19.7</v>
      </c>
      <c r="H263" s="8">
        <f>IF(G263="","",E263-G263)</f>
        <v/>
      </c>
      <c r="J263" s="9" t="n"/>
      <c r="K263">
        <f>IF(J263="",0,COUNTIFS(Schedule!$B:$B,B263,Schedule!$A:$A,"&lt;"&amp;J263))</f>
        <v/>
      </c>
      <c r="L263">
        <f>82-K263</f>
        <v/>
      </c>
      <c r="M263" s="2" t="n"/>
      <c r="N263" s="2" t="n"/>
      <c r="O263">
        <f>IF(M263&lt;&gt;"",M263,MIN(D263,L263))</f>
        <v/>
      </c>
      <c r="P263">
        <f>IF(N263&lt;&gt;"",N263,E263)</f>
        <v/>
      </c>
    </row>
    <row r="264">
      <c r="A264" t="inlineStr">
        <is>
          <t>Steven Adams</t>
        </is>
      </c>
      <c r="B264" t="inlineStr">
        <is>
          <t>HOU</t>
        </is>
      </c>
      <c r="C264" t="inlineStr">
        <is>
          <t>C</t>
        </is>
      </c>
      <c r="D264" t="n">
        <v>71</v>
      </c>
      <c r="E264" t="n">
        <v>12.8</v>
      </c>
      <c r="F264" t="n">
        <v>32</v>
      </c>
      <c r="G264" t="n">
        <v>22.8</v>
      </c>
      <c r="H264" s="8">
        <f>IF(G264="","",E264-G264)</f>
        <v/>
      </c>
      <c r="I264" t="inlineStr">
        <is>
          <t>Day-To-Day</t>
        </is>
      </c>
      <c r="J264" s="9" t="n">
        <v>46310</v>
      </c>
      <c r="K264">
        <f>IF(J264="",0,COUNTIFS(Schedule!$B:$B,B264,Schedule!$A:$A,"&lt;"&amp;J264))</f>
        <v/>
      </c>
      <c r="L264">
        <f>82-K264</f>
        <v/>
      </c>
      <c r="M264" s="2" t="n"/>
      <c r="N264" s="2" t="n"/>
      <c r="O264">
        <f>IF(M264&lt;&gt;"",M264,MIN(D264,L264))</f>
        <v/>
      </c>
      <c r="P264">
        <f>IF(N264&lt;&gt;"",N264,E264)</f>
        <v/>
      </c>
      <c r="Q264" t="inlineStr">
        <is>
          <t>2026-10-11: Adams (rest) isn't expected to play in Sunday's preseason game against the Mavericks, Will Guillory of The Athletic reports.</t>
        </is>
      </c>
    </row>
    <row r="265">
      <c r="A265" t="inlineStr">
        <is>
          <t>Jonathan Isaac</t>
        </is>
      </c>
      <c r="B265" t="inlineStr">
        <is>
          <t>ORL</t>
        </is>
      </c>
      <c r="C265" t="inlineStr">
        <is>
          <t>C,PF</t>
        </is>
      </c>
      <c r="D265" t="n">
        <v>42</v>
      </c>
      <c r="E265" t="n">
        <v>9.9</v>
      </c>
      <c r="F265" t="n">
        <v>52</v>
      </c>
      <c r="G265" t="n">
        <v>10</v>
      </c>
      <c r="H265" s="8">
        <f>IF(G265="","",E265-G265)</f>
        <v/>
      </c>
      <c r="I265" t="inlineStr">
        <is>
          <t>Day-To-Day</t>
        </is>
      </c>
      <c r="J265" s="9" t="n">
        <v>46308</v>
      </c>
      <c r="K265">
        <f>IF(J265="",0,COUNTIFS(Schedule!$B:$B,B265,Schedule!$A:$A,"&lt;"&amp;J265))</f>
        <v/>
      </c>
      <c r="L265">
        <f>82-K265</f>
        <v/>
      </c>
      <c r="M265" s="2" t="n"/>
      <c r="N265" s="2" t="n"/>
      <c r="O265">
        <f>IF(M265&lt;&gt;"",M265,MIN(D265,L265))</f>
        <v/>
      </c>
      <c r="P265">
        <f>IF(N265&lt;&gt;"",N265,E265)</f>
        <v/>
      </c>
      <c r="Q265" t="inlineStr">
        <is>
          <t>2026-10-11: Isaac (personal, knee) is out for Sunday's preseason game against the Cavaliers, Jason Beede of the Orlando Sentinel reports.</t>
        </is>
      </c>
    </row>
    <row r="266">
      <c r="A266" t="inlineStr">
        <is>
          <t>Jonathan Mogbo</t>
        </is>
      </c>
      <c r="B266" t="inlineStr">
        <is>
          <t>SAC</t>
        </is>
      </c>
      <c r="C266" t="inlineStr">
        <is>
          <t>C,PF</t>
        </is>
      </c>
      <c r="D266" t="n">
        <v>47</v>
      </c>
      <c r="E266" t="n">
        <v>10.6</v>
      </c>
      <c r="F266" t="n">
        <v>40</v>
      </c>
      <c r="G266" t="n">
        <v>6.2</v>
      </c>
      <c r="H266" s="8">
        <f>IF(G266="","",E266-G266)</f>
        <v/>
      </c>
      <c r="J266" s="9" t="n"/>
      <c r="K266">
        <f>IF(J266="",0,COUNTIFS(Schedule!$B:$B,B266,Schedule!$A:$A,"&lt;"&amp;J266))</f>
        <v/>
      </c>
      <c r="L266">
        <f>82-K266</f>
        <v/>
      </c>
      <c r="M266" s="2" t="n"/>
      <c r="N266" s="2" t="n"/>
      <c r="O266">
        <f>IF(M266&lt;&gt;"",M266,MIN(D266,L266))</f>
        <v/>
      </c>
      <c r="P266">
        <f>IF(N266&lt;&gt;"",N266,E266)</f>
        <v/>
      </c>
    </row>
    <row r="268">
      <c r="A268" s="10" t="inlineStr">
        <is>
          <t>Yellow cells are yours. Your GP / Your MPG replace the projection for that player. Return comes from ESPN; Games Out counts his team's games before it, and GP is capped at 82 − Games Out. MPG Δ is green/red when projected minutes moved 3+ from last season.</t>
        </is>
      </c>
    </row>
  </sheetData>
  <autoFilter ref="A1:Q266"/>
  <conditionalFormatting sqref="H2:H266">
    <cfRule type="cellIs" priority="1" operator="greaterThanOrEqual" dxfId="1">
      <formula>3</formula>
    </cfRule>
    <cfRule type="cellIs" priority="2" operator="lessThanOrEqual" dxfId="2">
      <formula>-3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" customWidth="1" min="3" max="3"/>
    <col width="24" customWidth="1" min="4" max="4"/>
    <col width="2" customWidth="1" min="5" max="5"/>
    <col width="8" customWidth="1" min="6" max="6"/>
    <col width="48" customWidth="1" min="7" max="7"/>
    <col width="8" customWidth="1" min="8" max="8"/>
    <col width="8" customWidth="1" min="9" max="9"/>
    <col width="2" customWidth="1" min="10" max="10"/>
    <col width="16" customWidth="1" min="11" max="11"/>
    <col width="28" customWidth="1" min="12" max="12"/>
  </cols>
  <sheetData>
    <row r="1">
      <c r="A1" s="1" t="inlineStr">
        <is>
          <t>Category</t>
        </is>
      </c>
      <c r="B1" s="1" t="inlineStr">
        <is>
          <t>Weight</t>
        </is>
      </c>
      <c r="D1" s="1" t="inlineStr">
        <is>
          <t>League</t>
        </is>
      </c>
      <c r="F1" s="1" t="inlineStr">
        <is>
          <t>Notes</t>
        </is>
      </c>
      <c r="H1" s="1" t="inlineStr">
        <is>
          <t>Slot</t>
        </is>
      </c>
      <c r="I1" s="1" t="inlineStr">
        <is>
          <t>Count</t>
        </is>
      </c>
      <c r="K1" s="1" t="inlineStr">
        <is>
          <t>DIFF (ADP − RK)</t>
        </is>
      </c>
      <c r="L1" s="1" t="inlineStr">
        <is>
          <t>Meaning</t>
        </is>
      </c>
    </row>
    <row r="2">
      <c r="A2" t="inlineStr">
        <is>
          <t>PTS</t>
        </is>
      </c>
      <c r="B2" s="2" t="n">
        <v>1</v>
      </c>
      <c r="D2" t="inlineStr">
        <is>
          <t>Number of Teams</t>
        </is>
      </c>
      <c r="F2" s="2" t="n">
        <v>12</v>
      </c>
      <c r="G2" s="10" t="inlineStr">
        <is>
          <t>Yahoo public prize leagues: 12</t>
        </is>
      </c>
      <c r="H2" t="inlineStr">
        <is>
          <t>PG</t>
        </is>
      </c>
      <c r="I2" s="2" t="n">
        <v>1</v>
      </c>
      <c r="K2" s="11" t="inlineStr">
        <is>
          <t>≥ +24</t>
        </is>
      </c>
      <c r="L2" t="inlineStr">
        <is>
          <t>Steal (&gt;2 rounds)</t>
        </is>
      </c>
    </row>
    <row r="3">
      <c r="A3" t="inlineStr">
        <is>
          <t>REB</t>
        </is>
      </c>
      <c r="B3" s="2" t="n">
        <v>1</v>
      </c>
      <c r="D3" t="inlineStr">
        <is>
          <t>Players Drafted</t>
        </is>
      </c>
      <c r="F3">
        <f>F2*SUM(I2:I10)</f>
        <v/>
      </c>
      <c r="G3" s="10" t="inlineStr">
        <is>
          <t>teams × (starters + bench); IL excluded</t>
        </is>
      </c>
      <c r="H3" t="inlineStr">
        <is>
          <t>SG</t>
        </is>
      </c>
      <c r="I3" s="2" t="n">
        <v>1</v>
      </c>
      <c r="K3" s="12" t="inlineStr">
        <is>
          <t>+12 to +23</t>
        </is>
      </c>
      <c r="L3" t="inlineStr">
        <is>
          <t>Potential steal (1–2 rounds)</t>
        </is>
      </c>
    </row>
    <row r="4">
      <c r="A4" t="inlineStr">
        <is>
          <t>AST</t>
        </is>
      </c>
      <c r="B4" s="2" t="n">
        <v>1</v>
      </c>
      <c r="D4" t="inlineStr">
        <is>
          <t>Replacement Rank</t>
        </is>
      </c>
      <c r="F4">
        <f>F3+1</f>
        <v/>
      </c>
      <c r="G4" s="10" t="inlineStr">
        <is>
          <t>first player left on waivers</t>
        </is>
      </c>
      <c r="H4" t="inlineStr">
        <is>
          <t>G</t>
        </is>
      </c>
      <c r="I4" s="2" t="n">
        <v>1</v>
      </c>
      <c r="K4" s="13" t="inlineStr">
        <is>
          <t>−12 to −23</t>
        </is>
      </c>
      <c r="L4" t="inlineStr">
        <is>
          <t>Potential reach (1–2 rounds)</t>
        </is>
      </c>
    </row>
    <row r="5">
      <c r="A5" t="inlineStr">
        <is>
          <t>STL</t>
        </is>
      </c>
      <c r="B5" s="2" t="n">
        <v>1</v>
      </c>
      <c r="D5" t="inlineStr">
        <is>
          <t>Value Pool</t>
        </is>
      </c>
      <c r="F5">
        <f>F3</f>
        <v/>
      </c>
      <c r="G5" s="10" t="inlineStr">
        <is>
          <t>players the averages / stdevs are measured against</t>
        </is>
      </c>
      <c r="H5" t="inlineStr">
        <is>
          <t>SF</t>
        </is>
      </c>
      <c r="I5" s="2" t="n">
        <v>1</v>
      </c>
      <c r="K5" s="14" t="inlineStr">
        <is>
          <t>≤ −24</t>
        </is>
      </c>
      <c r="L5" t="inlineStr">
        <is>
          <t>Reach (&gt;2 rounds)</t>
        </is>
      </c>
    </row>
    <row r="6">
      <c r="A6" t="inlineStr">
        <is>
          <t>BLK</t>
        </is>
      </c>
      <c r="B6" s="2" t="n">
        <v>1</v>
      </c>
      <c r="H6" t="inlineStr">
        <is>
          <t>PF</t>
        </is>
      </c>
      <c r="I6" s="2" t="n">
        <v>1</v>
      </c>
    </row>
    <row r="7">
      <c r="A7" t="inlineStr">
        <is>
          <t>3PM</t>
        </is>
      </c>
      <c r="B7" s="2" t="n">
        <v>1</v>
      </c>
      <c r="D7" t="inlineStr">
        <is>
          <t>Games Played Projection</t>
        </is>
      </c>
      <c r="F7" s="2" t="inlineStr">
        <is>
          <t>Yes</t>
        </is>
      </c>
      <c r="G7" s="10" t="inlineStr">
        <is>
          <t>"Yes" = projected GP, "No" = Flat GP for everyone</t>
        </is>
      </c>
      <c r="H7" t="inlineStr">
        <is>
          <t>F</t>
        </is>
      </c>
      <c r="I7" s="2" t="n">
        <v>1</v>
      </c>
    </row>
    <row r="8">
      <c r="A8" t="inlineStr">
        <is>
          <t>FG%</t>
        </is>
      </c>
      <c r="B8" s="2" t="n">
        <v>1</v>
      </c>
      <c r="D8" t="inlineStr">
        <is>
          <t>Flat GP</t>
        </is>
      </c>
      <c r="F8" s="2" t="n">
        <v>75</v>
      </c>
      <c r="G8" s="10" t="inlineStr">
        <is>
          <t>used when Games Played Projection is No</t>
        </is>
      </c>
      <c r="H8" t="inlineStr">
        <is>
          <t>C</t>
        </is>
      </c>
      <c r="I8" s="2" t="n">
        <v>2</v>
      </c>
    </row>
    <row r="9">
      <c r="A9" t="inlineStr">
        <is>
          <t>FT%</t>
        </is>
      </c>
      <c r="B9" s="2" t="n">
        <v>1</v>
      </c>
      <c r="H9" t="inlineStr">
        <is>
          <t>Util</t>
        </is>
      </c>
      <c r="I9" s="2" t="n">
        <v>2</v>
      </c>
    </row>
    <row r="10">
      <c r="A10" t="inlineStr">
        <is>
          <t>TO</t>
        </is>
      </c>
      <c r="B10" s="2" t="n">
        <v>1</v>
      </c>
      <c r="D10" t="inlineStr">
        <is>
          <t>Boost or Bust</t>
        </is>
      </c>
      <c r="F10" s="2" t="inlineStr">
        <is>
          <t>ON</t>
        </is>
      </c>
      <c r="G10" s="10" t="inlineStr">
        <is>
          <t>"ON" / "OFF" — your ADJ marks on The List</t>
        </is>
      </c>
      <c r="H10" t="inlineStr">
        <is>
          <t>BN</t>
        </is>
      </c>
      <c r="I10" s="2" t="n">
        <v>3</v>
      </c>
    </row>
    <row r="11">
      <c r="H11" t="inlineStr">
        <is>
          <t>IL</t>
        </is>
      </c>
      <c r="I11" s="2" t="n">
        <v>3</v>
      </c>
    </row>
    <row r="12">
      <c r="A12" s="10" t="inlineStr">
        <is>
          <t>1 = counts, 0 = punt, or any weight in between.</t>
        </is>
      </c>
      <c r="D12" t="inlineStr">
        <is>
          <t>+ + +</t>
        </is>
      </c>
      <c r="F12" s="2" t="n">
        <v>0.15</v>
      </c>
      <c r="G12" s="10" t="inlineStr">
        <is>
          <t>Multiplies every counting stat and attempt; FG% / FT% are unchanged.</t>
        </is>
      </c>
    </row>
    <row r="13">
      <c r="A13" s="10" t="inlineStr">
        <is>
          <t>TO is scored in reverse automatically.</t>
        </is>
      </c>
      <c r="D13" t="inlineStr">
        <is>
          <t>+ +</t>
        </is>
      </c>
      <c r="F13" s="2" t="n">
        <v>0.1</v>
      </c>
      <c r="H13" s="10" t="inlineStr">
        <is>
          <t>Max games played: 82 per slot</t>
        </is>
      </c>
    </row>
    <row r="14">
      <c r="D14" t="inlineStr">
        <is>
          <t>+</t>
        </is>
      </c>
      <c r="F14" s="2" t="n">
        <v>0.05</v>
      </c>
    </row>
    <row r="15">
      <c r="D15" t="inlineStr">
        <is>
          <t>-</t>
        </is>
      </c>
      <c r="F15" s="2" t="n">
        <v>-0.05</v>
      </c>
    </row>
    <row r="16">
      <c r="D16" t="inlineStr">
        <is>
          <t>- -</t>
        </is>
      </c>
      <c r="F16" s="2" t="n">
        <v>-0.1</v>
      </c>
    </row>
    <row r="17">
      <c r="D17" t="inlineStr">
        <is>
          <t>- - -</t>
        </is>
      </c>
      <c r="F17" s="2" t="n">
        <v>-0.15</v>
      </c>
    </row>
  </sheetData>
  <dataValidations count="2">
    <dataValidation sqref="F7" showDropDown="0" showInputMessage="0" showErrorMessage="0" allowBlank="0" type="list">
      <formula1>"Yes,No"</formula1>
    </dataValidation>
    <dataValidation sqref="F10" showDropDown="0" showInputMessage="0" showErrorMessage="0" allowBlank="0" type="list">
      <formula1>"ON,OFF"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17" max="17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GP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3PM</t>
        </is>
      </c>
      <c r="L1" s="1" t="inlineStr">
        <is>
          <t>TO</t>
        </is>
      </c>
      <c r="M1" s="1" t="inlineStr">
        <is>
          <t>FG%</t>
        </is>
      </c>
      <c r="N1" s="1" t="inlineStr">
        <is>
          <t>FT%</t>
        </is>
      </c>
      <c r="O1" s="1" t="inlineStr">
        <is>
          <t>FGA (est.)</t>
        </is>
      </c>
      <c r="P1" s="1" t="inlineStr">
        <is>
          <t>FTA (est.)</t>
        </is>
      </c>
      <c r="Q1" s="1" t="inlineStr">
        <is>
          <t>FTr source</t>
        </is>
      </c>
      <c r="R1" s="1" t="inlineStr">
        <is>
          <t>Yahoo ADP</t>
        </is>
      </c>
      <c r="S1" s="1" t="inlineStr">
        <is>
          <t>ESPN ADP</t>
        </is>
      </c>
    </row>
    <row r="2">
      <c r="A2" t="inlineStr">
        <is>
          <t>Shai Gilgeous-Alexander</t>
        </is>
      </c>
      <c r="B2" t="inlineStr">
        <is>
          <t>OKC</t>
        </is>
      </c>
      <c r="C2" t="inlineStr">
        <is>
          <t>PG</t>
        </is>
      </c>
      <c r="D2" t="n">
        <v>77</v>
      </c>
      <c r="E2" t="n">
        <v>2641</v>
      </c>
      <c r="F2" t="n">
        <v>2421</v>
      </c>
      <c r="G2" t="n">
        <v>350</v>
      </c>
      <c r="H2" t="n">
        <v>484</v>
      </c>
      <c r="I2" t="n">
        <v>124</v>
      </c>
      <c r="J2" t="n">
        <v>63</v>
      </c>
      <c r="K2" t="n">
        <v>133</v>
      </c>
      <c r="L2" t="n">
        <v>180</v>
      </c>
      <c r="M2" s="7" t="n">
        <v>0.528</v>
      </c>
      <c r="N2" s="7" t="n">
        <v>0.887</v>
      </c>
      <c r="O2" t="n">
        <v>1584.5</v>
      </c>
      <c r="P2" t="n">
        <v>693.1</v>
      </c>
      <c r="Q2" t="inlineStr">
        <is>
          <t>2025-26 (1321 FGA)</t>
        </is>
      </c>
      <c r="R2" t="n">
        <v>4</v>
      </c>
      <c r="S2" t="n">
        <v>2</v>
      </c>
    </row>
    <row r="3">
      <c r="A3" t="inlineStr">
        <is>
          <t>Giannis Antetokounmpo</t>
        </is>
      </c>
      <c r="B3" t="inlineStr">
        <is>
          <t>MIA</t>
        </is>
      </c>
      <c r="C3" t="inlineStr">
        <is>
          <t>PF,C</t>
        </is>
      </c>
      <c r="D3" t="n">
        <v>73</v>
      </c>
      <c r="E3" t="n">
        <v>2407</v>
      </c>
      <c r="F3" t="n">
        <v>2263</v>
      </c>
      <c r="G3" t="n">
        <v>828</v>
      </c>
      <c r="H3" t="n">
        <v>474</v>
      </c>
      <c r="I3" t="n">
        <v>79</v>
      </c>
      <c r="J3" t="n">
        <v>63</v>
      </c>
      <c r="K3" t="n">
        <v>26</v>
      </c>
      <c r="L3" t="n">
        <v>245</v>
      </c>
      <c r="M3" s="7" t="n">
        <v>0.607</v>
      </c>
      <c r="N3" s="7" t="n">
        <v>0.64</v>
      </c>
      <c r="O3" t="n">
        <v>1453.6</v>
      </c>
      <c r="P3" t="n">
        <v>738</v>
      </c>
      <c r="Q3" t="inlineStr">
        <is>
          <t>2025-26 (598 FGA)</t>
        </is>
      </c>
      <c r="R3" t="n">
        <v>9</v>
      </c>
      <c r="S3" t="n">
        <v>5</v>
      </c>
    </row>
    <row r="4">
      <c r="A4" t="inlineStr">
        <is>
          <t>Luka Doncic</t>
        </is>
      </c>
      <c r="B4" t="inlineStr">
        <is>
          <t>LAL</t>
        </is>
      </c>
      <c r="C4" t="inlineStr">
        <is>
          <t>PG,SG</t>
        </is>
      </c>
      <c r="D4" t="n">
        <v>74</v>
      </c>
      <c r="E4" t="n">
        <v>2673</v>
      </c>
      <c r="F4" t="n">
        <v>2293</v>
      </c>
      <c r="G4" t="n">
        <v>588</v>
      </c>
      <c r="H4" t="n">
        <v>599</v>
      </c>
      <c r="I4" t="n">
        <v>115</v>
      </c>
      <c r="J4" t="n">
        <v>34</v>
      </c>
      <c r="K4" t="n">
        <v>272</v>
      </c>
      <c r="L4" t="n">
        <v>298</v>
      </c>
      <c r="M4" s="7" t="n">
        <v>0.469</v>
      </c>
      <c r="N4" s="7" t="n">
        <v>0.787</v>
      </c>
      <c r="O4" t="n">
        <v>1592.9</v>
      </c>
      <c r="P4" t="n">
        <v>669.4</v>
      </c>
      <c r="Q4" t="inlineStr">
        <is>
          <t>2025-26 (1457 FGA)</t>
        </is>
      </c>
      <c r="R4" t="n">
        <v>3</v>
      </c>
      <c r="S4" t="n">
        <v>4</v>
      </c>
    </row>
    <row r="5">
      <c r="A5" t="inlineStr">
        <is>
          <t>Anthony Edwards</t>
        </is>
      </c>
      <c r="B5" t="inlineStr">
        <is>
          <t>MIN</t>
        </is>
      </c>
      <c r="C5" t="inlineStr">
        <is>
          <t>PG,SF,SG</t>
        </is>
      </c>
      <c r="D5" t="n">
        <v>75</v>
      </c>
      <c r="E5" t="n">
        <v>2693</v>
      </c>
      <c r="F5" t="n">
        <v>2151</v>
      </c>
      <c r="G5" t="n">
        <v>412</v>
      </c>
      <c r="H5" t="n">
        <v>318</v>
      </c>
      <c r="I5" t="n">
        <v>102</v>
      </c>
      <c r="J5" t="n">
        <v>57</v>
      </c>
      <c r="K5" t="n">
        <v>265</v>
      </c>
      <c r="L5" t="n">
        <v>222</v>
      </c>
      <c r="M5" s="7" t="n">
        <v>0.47</v>
      </c>
      <c r="N5" s="7" t="n">
        <v>0.8080000000000001</v>
      </c>
      <c r="O5" t="n">
        <v>1551.3</v>
      </c>
      <c r="P5" t="n">
        <v>529.4</v>
      </c>
      <c r="Q5" t="inlineStr">
        <is>
          <t>2025-26 (1231 FGA)</t>
        </is>
      </c>
      <c r="R5" t="n">
        <v>13</v>
      </c>
      <c r="S5" t="n">
        <v>6</v>
      </c>
    </row>
    <row r="6">
      <c r="A6" t="inlineStr">
        <is>
          <t>Jayson Tatum</t>
        </is>
      </c>
      <c r="B6" t="inlineStr">
        <is>
          <t>BOS</t>
        </is>
      </c>
      <c r="C6" t="inlineStr">
        <is>
          <t>SF,PF</t>
        </is>
      </c>
      <c r="D6" t="n">
        <v>74</v>
      </c>
      <c r="E6" t="n">
        <v>2671</v>
      </c>
      <c r="F6" t="n">
        <v>2043</v>
      </c>
      <c r="G6" t="n">
        <v>660</v>
      </c>
      <c r="H6" t="n">
        <v>421</v>
      </c>
      <c r="I6" t="n">
        <v>83</v>
      </c>
      <c r="J6" t="n">
        <v>34</v>
      </c>
      <c r="K6" t="n">
        <v>256</v>
      </c>
      <c r="L6" t="n">
        <v>229</v>
      </c>
      <c r="M6" s="7" t="n">
        <v>0.447</v>
      </c>
      <c r="N6" s="7" t="n">
        <v>0.819</v>
      </c>
      <c r="O6" t="n">
        <v>1610.5</v>
      </c>
      <c r="P6" t="n">
        <v>424</v>
      </c>
      <c r="Q6" t="inlineStr">
        <is>
          <t>2025-26 (287 FGA)</t>
        </is>
      </c>
      <c r="R6" t="n">
        <v>8</v>
      </c>
      <c r="S6" t="n">
        <v>8</v>
      </c>
    </row>
    <row r="7">
      <c r="A7" t="inlineStr">
        <is>
          <t>Nikola Jokic</t>
        </is>
      </c>
      <c r="B7" t="inlineStr">
        <is>
          <t>DEN</t>
        </is>
      </c>
      <c r="C7" t="inlineStr">
        <is>
          <t>C</t>
        </is>
      </c>
      <c r="D7" t="n">
        <v>75</v>
      </c>
      <c r="E7" t="n">
        <v>2718</v>
      </c>
      <c r="F7" t="n">
        <v>2048</v>
      </c>
      <c r="G7" t="n">
        <v>933</v>
      </c>
      <c r="H7" t="n">
        <v>722</v>
      </c>
      <c r="I7" t="n">
        <v>111</v>
      </c>
      <c r="J7" t="n">
        <v>61</v>
      </c>
      <c r="K7" t="n">
        <v>125</v>
      </c>
      <c r="L7" t="n">
        <v>248</v>
      </c>
      <c r="M7" s="7" t="n">
        <v>0.5629999999999999</v>
      </c>
      <c r="N7" s="7" t="n">
        <v>0.819</v>
      </c>
      <c r="O7" t="n">
        <v>1315.9</v>
      </c>
      <c r="P7" t="n">
        <v>538.9</v>
      </c>
      <c r="Q7" t="inlineStr">
        <is>
          <t>2025-26 (1132 FGA)</t>
        </is>
      </c>
      <c r="R7" t="n">
        <v>2</v>
      </c>
      <c r="S7" t="n">
        <v>1</v>
      </c>
    </row>
    <row r="8">
      <c r="A8" t="inlineStr">
        <is>
          <t>Donovan Mitchell</t>
        </is>
      </c>
      <c r="B8" t="inlineStr">
        <is>
          <t>CLE</t>
        </is>
      </c>
      <c r="C8" t="inlineStr">
        <is>
          <t>PG,SG</t>
        </is>
      </c>
      <c r="D8" t="n">
        <v>75</v>
      </c>
      <c r="E8" t="n">
        <v>2488</v>
      </c>
      <c r="F8" t="n">
        <v>1996</v>
      </c>
      <c r="G8" t="n">
        <v>360</v>
      </c>
      <c r="H8" t="n">
        <v>415</v>
      </c>
      <c r="I8" t="n">
        <v>117</v>
      </c>
      <c r="J8" t="n">
        <v>22</v>
      </c>
      <c r="K8" t="n">
        <v>242</v>
      </c>
      <c r="L8" t="n">
        <v>194</v>
      </c>
      <c r="M8" s="7" t="n">
        <v>0.463</v>
      </c>
      <c r="N8" s="7" t="n">
        <v>0.842</v>
      </c>
      <c r="O8" t="n">
        <v>1487.9</v>
      </c>
      <c r="P8" t="n">
        <v>446.8</v>
      </c>
      <c r="Q8" t="inlineStr">
        <is>
          <t>2025-26 (1403 FGA)</t>
        </is>
      </c>
      <c r="R8" t="n">
        <v>19</v>
      </c>
      <c r="S8" t="n">
        <v>21</v>
      </c>
    </row>
    <row r="9">
      <c r="A9" t="inlineStr">
        <is>
          <t>Jalen Brunson</t>
        </is>
      </c>
      <c r="B9" t="inlineStr">
        <is>
          <t>NYK</t>
        </is>
      </c>
      <c r="C9" t="inlineStr">
        <is>
          <t>PG</t>
        </is>
      </c>
      <c r="D9" t="n">
        <v>75</v>
      </c>
      <c r="E9" t="n">
        <v>2673</v>
      </c>
      <c r="F9" t="n">
        <v>1971</v>
      </c>
      <c r="G9" t="n">
        <v>245</v>
      </c>
      <c r="H9" t="n">
        <v>511</v>
      </c>
      <c r="I9" t="n">
        <v>65</v>
      </c>
      <c r="J9" t="n">
        <v>8</v>
      </c>
      <c r="K9" t="n">
        <v>190</v>
      </c>
      <c r="L9" t="n">
        <v>183</v>
      </c>
      <c r="M9" s="7" t="n">
        <v>0.473</v>
      </c>
      <c r="N9" s="7" t="n">
        <v>0.834</v>
      </c>
      <c r="O9" t="n">
        <v>1507.8</v>
      </c>
      <c r="P9" t="n">
        <v>425.2</v>
      </c>
      <c r="Q9" t="inlineStr">
        <is>
          <t>2025-26 (1475 FGA)</t>
        </is>
      </c>
      <c r="R9" t="n">
        <v>21</v>
      </c>
      <c r="S9" t="n">
        <v>19</v>
      </c>
    </row>
    <row r="10">
      <c r="A10" t="inlineStr">
        <is>
          <t>Joel Embiid</t>
        </is>
      </c>
      <c r="B10" t="inlineStr">
        <is>
          <t>PHI</t>
        </is>
      </c>
      <c r="C10" t="inlineStr">
        <is>
          <t>C</t>
        </is>
      </c>
      <c r="D10" t="n">
        <v>59</v>
      </c>
      <c r="E10" t="n">
        <v>1827</v>
      </c>
      <c r="F10" t="n">
        <v>1522</v>
      </c>
      <c r="G10" t="n">
        <v>474</v>
      </c>
      <c r="H10" t="n">
        <v>239</v>
      </c>
      <c r="I10" t="n">
        <v>36</v>
      </c>
      <c r="J10" t="n">
        <v>70</v>
      </c>
      <c r="K10" t="n">
        <v>74</v>
      </c>
      <c r="L10" t="n">
        <v>173</v>
      </c>
      <c r="M10" s="7" t="n">
        <v>0.49</v>
      </c>
      <c r="N10" s="7" t="n">
        <v>0.861</v>
      </c>
      <c r="O10" t="n">
        <v>1061.3</v>
      </c>
      <c r="P10" t="n">
        <v>473.8</v>
      </c>
      <c r="Q10" t="inlineStr">
        <is>
          <t>2025-26 (697 FGA)</t>
        </is>
      </c>
      <c r="R10" t="n">
        <v>49</v>
      </c>
      <c r="S10" t="n">
        <v>45</v>
      </c>
    </row>
    <row r="11">
      <c r="A11" t="inlineStr">
        <is>
          <t>Stephen Curry</t>
        </is>
      </c>
      <c r="B11" t="inlineStr">
        <is>
          <t>GSW</t>
        </is>
      </c>
      <c r="C11" t="inlineStr">
        <is>
          <t>PG</t>
        </is>
      </c>
      <c r="D11" t="n">
        <v>73</v>
      </c>
      <c r="E11" t="n">
        <v>2312</v>
      </c>
      <c r="F11" t="n">
        <v>1883</v>
      </c>
      <c r="G11" t="n">
        <v>304</v>
      </c>
      <c r="H11" t="n">
        <v>388</v>
      </c>
      <c r="I11" t="n">
        <v>81</v>
      </c>
      <c r="J11" t="n">
        <v>29</v>
      </c>
      <c r="K11" t="n">
        <v>336</v>
      </c>
      <c r="L11" t="n">
        <v>215</v>
      </c>
      <c r="M11" s="7" t="n">
        <v>0.452</v>
      </c>
      <c r="N11" s="7" t="n">
        <v>0.928</v>
      </c>
      <c r="O11" t="n">
        <v>1337.1</v>
      </c>
      <c r="P11" t="n">
        <v>364.6</v>
      </c>
      <c r="Q11" t="inlineStr">
        <is>
          <t>2025-26 (799 FGA)</t>
        </is>
      </c>
      <c r="R11" t="n">
        <v>23</v>
      </c>
      <c r="S11" t="n">
        <v>18</v>
      </c>
    </row>
    <row r="12">
      <c r="A12" t="inlineStr">
        <is>
          <t>Devin Booker</t>
        </is>
      </c>
      <c r="B12" t="inlineStr">
        <is>
          <t>PHO</t>
        </is>
      </c>
      <c r="C12" t="inlineStr">
        <is>
          <t>PG,SG</t>
        </is>
      </c>
      <c r="D12" t="n">
        <v>75</v>
      </c>
      <c r="E12" t="n">
        <v>2690</v>
      </c>
      <c r="F12" t="n">
        <v>1914</v>
      </c>
      <c r="G12" t="n">
        <v>313</v>
      </c>
      <c r="H12" t="n">
        <v>483</v>
      </c>
      <c r="I12" t="n">
        <v>73</v>
      </c>
      <c r="J12" t="n">
        <v>21</v>
      </c>
      <c r="K12" t="n">
        <v>157</v>
      </c>
      <c r="L12" t="n">
        <v>219</v>
      </c>
      <c r="M12" s="7" t="n">
        <v>0.459</v>
      </c>
      <c r="N12" s="7" t="n">
        <v>0.882</v>
      </c>
      <c r="O12" t="n">
        <v>1374.3</v>
      </c>
      <c r="P12" t="n">
        <v>561.7</v>
      </c>
      <c r="Q12" t="inlineStr">
        <is>
          <t>2025-26 (1198 FGA)</t>
        </is>
      </c>
      <c r="R12" t="n">
        <v>31</v>
      </c>
      <c r="S12" t="n">
        <v>17</v>
      </c>
    </row>
    <row r="13">
      <c r="A13" t="inlineStr">
        <is>
          <t>Tyrese Maxey</t>
        </is>
      </c>
      <c r="B13" t="inlineStr">
        <is>
          <t>PHI</t>
        </is>
      </c>
      <c r="C13" t="inlineStr">
        <is>
          <t>PG,SG</t>
        </is>
      </c>
      <c r="D13" t="n">
        <v>75</v>
      </c>
      <c r="E13" t="n">
        <v>2693</v>
      </c>
      <c r="F13" t="n">
        <v>1902</v>
      </c>
      <c r="G13" t="n">
        <v>284</v>
      </c>
      <c r="H13" t="n">
        <v>448</v>
      </c>
      <c r="I13" t="n">
        <v>119</v>
      </c>
      <c r="J13" t="n">
        <v>49</v>
      </c>
      <c r="K13" t="n">
        <v>207</v>
      </c>
      <c r="L13" t="n">
        <v>165</v>
      </c>
      <c r="M13" s="7" t="n">
        <v>0.468</v>
      </c>
      <c r="N13" s="7" t="n">
        <v>0.889</v>
      </c>
      <c r="O13" t="n">
        <v>1435.5</v>
      </c>
      <c r="P13" t="n">
        <v>395.3</v>
      </c>
      <c r="Q13" t="inlineStr">
        <is>
          <t>2025-26 (1501 FGA)</t>
        </is>
      </c>
      <c r="R13" t="n">
        <v>7</v>
      </c>
      <c r="S13" t="n">
        <v>13</v>
      </c>
    </row>
    <row r="14">
      <c r="A14" t="inlineStr">
        <is>
          <t>Kevin Durant</t>
        </is>
      </c>
      <c r="B14" t="inlineStr">
        <is>
          <t>HOU</t>
        </is>
      </c>
      <c r="C14" t="inlineStr">
        <is>
          <t>PF,SF,SG</t>
        </is>
      </c>
      <c r="D14" t="n">
        <v>75</v>
      </c>
      <c r="E14" t="n">
        <v>2682</v>
      </c>
      <c r="F14" t="n">
        <v>1888</v>
      </c>
      <c r="G14" t="n">
        <v>425</v>
      </c>
      <c r="H14" t="n">
        <v>314</v>
      </c>
      <c r="I14" t="n">
        <v>62</v>
      </c>
      <c r="J14" t="n">
        <v>77</v>
      </c>
      <c r="K14" t="n">
        <v>172</v>
      </c>
      <c r="L14" t="n">
        <v>229</v>
      </c>
      <c r="M14" s="7" t="n">
        <v>0.517</v>
      </c>
      <c r="N14" s="7" t="n">
        <v>0.86</v>
      </c>
      <c r="O14" t="n">
        <v>1304.8</v>
      </c>
      <c r="P14" t="n">
        <v>426.5</v>
      </c>
      <c r="Q14" t="inlineStr">
        <is>
          <t>2025-26 (1376 FGA)</t>
        </is>
      </c>
      <c r="R14" t="n">
        <v>12</v>
      </c>
      <c r="S14" t="n">
        <v>24</v>
      </c>
    </row>
    <row r="15">
      <c r="A15" t="inlineStr">
        <is>
          <t>Victor Wembanyama</t>
        </is>
      </c>
      <c r="B15" t="inlineStr">
        <is>
          <t>SAS</t>
        </is>
      </c>
      <c r="C15" t="inlineStr">
        <is>
          <t>C</t>
        </is>
      </c>
      <c r="D15" t="n">
        <v>73</v>
      </c>
      <c r="E15" t="n">
        <v>2326</v>
      </c>
      <c r="F15" t="n">
        <v>1824</v>
      </c>
      <c r="G15" t="n">
        <v>834</v>
      </c>
      <c r="H15" t="n">
        <v>242</v>
      </c>
      <c r="I15" t="n">
        <v>80</v>
      </c>
      <c r="J15" t="n">
        <v>227</v>
      </c>
      <c r="K15" t="n">
        <v>149</v>
      </c>
      <c r="L15" t="n">
        <v>195</v>
      </c>
      <c r="M15" s="7" t="n">
        <v>0.491</v>
      </c>
      <c r="N15" s="7" t="n">
        <v>0.827</v>
      </c>
      <c r="O15" t="n">
        <v>1273.7</v>
      </c>
      <c r="P15" t="n">
        <v>512.9</v>
      </c>
      <c r="Q15" t="inlineStr">
        <is>
          <t>2025-26 (1080 FGA)</t>
        </is>
      </c>
      <c r="R15" t="n">
        <v>1</v>
      </c>
      <c r="S15" t="n">
        <v>3</v>
      </c>
    </row>
    <row r="16">
      <c r="A16" t="inlineStr">
        <is>
          <t>Jaylen Brown</t>
        </is>
      </c>
      <c r="B16" t="inlineStr">
        <is>
          <t>PHI</t>
        </is>
      </c>
      <c r="C16" t="inlineStr">
        <is>
          <t>PF,SF,SG</t>
        </is>
      </c>
      <c r="D16" t="n">
        <v>75</v>
      </c>
      <c r="E16" t="n">
        <v>2509</v>
      </c>
      <c r="F16" t="n">
        <v>1868</v>
      </c>
      <c r="G16" t="n">
        <v>451</v>
      </c>
      <c r="H16" t="n">
        <v>323</v>
      </c>
      <c r="I16" t="n">
        <v>87</v>
      </c>
      <c r="J16" t="n">
        <v>30</v>
      </c>
      <c r="K16" t="n">
        <v>120</v>
      </c>
      <c r="L16" t="n">
        <v>232</v>
      </c>
      <c r="M16" s="7" t="n">
        <v>0.48</v>
      </c>
      <c r="N16" s="7" t="n">
        <v>0.774</v>
      </c>
      <c r="O16" t="n">
        <v>1433.5</v>
      </c>
      <c r="P16" t="n">
        <v>480.4</v>
      </c>
      <c r="Q16" t="inlineStr">
        <is>
          <t>2025-26 (1543 FGA)</t>
        </is>
      </c>
      <c r="R16" t="n">
        <v>33</v>
      </c>
      <c r="S16" t="n">
        <v>14</v>
      </c>
    </row>
    <row r="17">
      <c r="A17" t="inlineStr">
        <is>
          <t>Kawhi Leonard</t>
        </is>
      </c>
      <c r="B17" t="inlineStr">
        <is>
          <t>TOR</t>
        </is>
      </c>
      <c r="C17" t="inlineStr">
        <is>
          <t>PF,SF,SG</t>
        </is>
      </c>
      <c r="D17" t="n">
        <v>69</v>
      </c>
      <c r="E17" t="n">
        <v>2231</v>
      </c>
      <c r="F17" t="n">
        <v>1709</v>
      </c>
      <c r="G17" t="n">
        <v>426</v>
      </c>
      <c r="H17" t="n">
        <v>253</v>
      </c>
      <c r="I17" t="n">
        <v>110</v>
      </c>
      <c r="J17" t="n">
        <v>35</v>
      </c>
      <c r="K17" t="n">
        <v>154</v>
      </c>
      <c r="L17" t="n">
        <v>135</v>
      </c>
      <c r="M17" s="7" t="n">
        <v>0.5</v>
      </c>
      <c r="N17" s="7" t="n">
        <v>0.875</v>
      </c>
      <c r="O17" t="n">
        <v>1216.2</v>
      </c>
      <c r="P17" t="n">
        <v>387.2</v>
      </c>
      <c r="Q17" t="inlineStr">
        <is>
          <t>2025-26 (1258 FGA)</t>
        </is>
      </c>
      <c r="R17" t="n">
        <v>17</v>
      </c>
      <c r="S17" t="n">
        <v>42</v>
      </c>
    </row>
    <row r="18">
      <c r="A18" t="inlineStr">
        <is>
          <t>Cade Cunningham</t>
        </is>
      </c>
      <c r="B18" t="inlineStr">
        <is>
          <t>DET</t>
        </is>
      </c>
      <c r="C18" t="inlineStr">
        <is>
          <t>PG,SG</t>
        </is>
      </c>
      <c r="D18" t="n">
        <v>74</v>
      </c>
      <c r="E18" t="n">
        <v>2595</v>
      </c>
      <c r="F18" t="n">
        <v>1816</v>
      </c>
      <c r="G18" t="n">
        <v>427</v>
      </c>
      <c r="H18" t="n">
        <v>701</v>
      </c>
      <c r="I18" t="n">
        <v>99</v>
      </c>
      <c r="J18" t="n">
        <v>61</v>
      </c>
      <c r="K18" t="n">
        <v>152</v>
      </c>
      <c r="L18" t="n">
        <v>292</v>
      </c>
      <c r="M18" s="7" t="n">
        <v>0.461</v>
      </c>
      <c r="N18" s="7" t="n">
        <v>0.825</v>
      </c>
      <c r="O18" t="n">
        <v>1410.9</v>
      </c>
      <c r="P18" t="n">
        <v>440.2</v>
      </c>
      <c r="Q18" t="inlineStr">
        <is>
          <t>2025-26 (1189 FGA)</t>
        </is>
      </c>
      <c r="R18" t="n">
        <v>5</v>
      </c>
      <c r="S18" t="n">
        <v>7</v>
      </c>
    </row>
    <row r="19">
      <c r="A19" t="inlineStr">
        <is>
          <t>Kyrie Irving</t>
        </is>
      </c>
      <c r="B19" t="inlineStr">
        <is>
          <t>DAL</t>
        </is>
      </c>
      <c r="C19" t="inlineStr">
        <is>
          <t>PG</t>
        </is>
      </c>
      <c r="D19" t="n">
        <v>69</v>
      </c>
      <c r="E19" t="n">
        <v>2418</v>
      </c>
      <c r="F19" t="n">
        <v>1648</v>
      </c>
      <c r="G19" t="n">
        <v>309</v>
      </c>
      <c r="H19" t="n">
        <v>333</v>
      </c>
      <c r="I19" t="n">
        <v>85</v>
      </c>
      <c r="J19" t="n">
        <v>30</v>
      </c>
      <c r="K19" t="n">
        <v>179</v>
      </c>
      <c r="L19" t="n">
        <v>136</v>
      </c>
      <c r="M19" s="7" t="n">
        <v>0.478</v>
      </c>
      <c r="N19" s="7" t="n">
        <v>0.915</v>
      </c>
      <c r="O19" t="n">
        <v>1233.3</v>
      </c>
      <c r="P19" t="n">
        <v>316.9</v>
      </c>
      <c r="Q19" t="inlineStr">
        <is>
          <t>PG median</t>
        </is>
      </c>
      <c r="R19" t="n">
        <v>50</v>
      </c>
      <c r="S19" t="n">
        <v>81</v>
      </c>
    </row>
    <row r="20">
      <c r="A20" t="inlineStr">
        <is>
          <t>Paolo Banchero</t>
        </is>
      </c>
      <c r="B20" t="inlineStr">
        <is>
          <t>ORL</t>
        </is>
      </c>
      <c r="C20" t="inlineStr">
        <is>
          <t>PF,SF</t>
        </is>
      </c>
      <c r="D20" t="n">
        <v>74</v>
      </c>
      <c r="E20" t="n">
        <v>2577</v>
      </c>
      <c r="F20" t="n">
        <v>1757</v>
      </c>
      <c r="G20" t="n">
        <v>585</v>
      </c>
      <c r="H20" t="n">
        <v>385</v>
      </c>
      <c r="I20" t="n">
        <v>59</v>
      </c>
      <c r="J20" t="n">
        <v>44</v>
      </c>
      <c r="K20" t="n">
        <v>108</v>
      </c>
      <c r="L20" t="n">
        <v>230</v>
      </c>
      <c r="M20" s="7" t="n">
        <v>0.458</v>
      </c>
      <c r="N20" s="7" t="n">
        <v>0.751</v>
      </c>
      <c r="O20" t="n">
        <v>1297.9</v>
      </c>
      <c r="P20" t="n">
        <v>612.6</v>
      </c>
      <c r="Q20" t="inlineStr">
        <is>
          <t>2025-26 (1152 FGA)</t>
        </is>
      </c>
      <c r="R20" t="n">
        <v>38</v>
      </c>
      <c r="S20" t="n">
        <v>34</v>
      </c>
    </row>
    <row r="21">
      <c r="A21" t="inlineStr">
        <is>
          <t>Cooper Flagg</t>
        </is>
      </c>
      <c r="B21" t="inlineStr">
        <is>
          <t>DAL</t>
        </is>
      </c>
      <c r="C21" t="inlineStr">
        <is>
          <t>PF,SF,SG</t>
        </is>
      </c>
      <c r="D21" t="n">
        <v>75</v>
      </c>
      <c r="E21" t="n">
        <v>2602</v>
      </c>
      <c r="F21" t="n">
        <v>1782</v>
      </c>
      <c r="G21" t="n">
        <v>481</v>
      </c>
      <c r="H21" t="n">
        <v>376</v>
      </c>
      <c r="I21" t="n">
        <v>90</v>
      </c>
      <c r="J21" t="n">
        <v>66</v>
      </c>
      <c r="K21" t="n">
        <v>86</v>
      </c>
      <c r="L21" t="n">
        <v>172</v>
      </c>
      <c r="M21" s="7" t="n">
        <v>0.476</v>
      </c>
      <c r="N21" s="7" t="n">
        <v>0.834</v>
      </c>
      <c r="O21" t="n">
        <v>1430.7</v>
      </c>
      <c r="P21" t="n">
        <v>400.4</v>
      </c>
      <c r="Q21" t="inlineStr">
        <is>
          <t>2025-26 (1194 FGA)</t>
        </is>
      </c>
      <c r="R21" t="n">
        <v>6</v>
      </c>
      <c r="S21" t="n">
        <v>23</v>
      </c>
    </row>
    <row r="22">
      <c r="A22" t="inlineStr">
        <is>
          <t>Austin Reaves</t>
        </is>
      </c>
      <c r="B22" t="inlineStr">
        <is>
          <t>LAL</t>
        </is>
      </c>
      <c r="C22" t="inlineStr">
        <is>
          <t>PG,SF,SG</t>
        </is>
      </c>
      <c r="D22" t="n">
        <v>73</v>
      </c>
      <c r="E22" t="n">
        <v>2611</v>
      </c>
      <c r="F22" t="n">
        <v>1672</v>
      </c>
      <c r="G22" t="n">
        <v>343</v>
      </c>
      <c r="H22" t="n">
        <v>402</v>
      </c>
      <c r="I22" t="n">
        <v>77</v>
      </c>
      <c r="J22" t="n">
        <v>27</v>
      </c>
      <c r="K22" t="n">
        <v>187</v>
      </c>
      <c r="L22" t="n">
        <v>215</v>
      </c>
      <c r="M22" s="7" t="n">
        <v>0.472</v>
      </c>
      <c r="N22" s="7" t="n">
        <v>0.871</v>
      </c>
      <c r="O22" t="n">
        <v>1119.5</v>
      </c>
      <c r="P22" t="n">
        <v>491.6</v>
      </c>
      <c r="Q22" t="inlineStr">
        <is>
          <t>2025-26 (762 FGA)</t>
        </is>
      </c>
      <c r="R22" t="n">
        <v>20</v>
      </c>
      <c r="S22" t="n">
        <v>46</v>
      </c>
    </row>
    <row r="23">
      <c r="A23" t="inlineStr">
        <is>
          <t>LaMelo Ball</t>
        </is>
      </c>
      <c r="B23" t="inlineStr">
        <is>
          <t>MIN</t>
        </is>
      </c>
      <c r="C23" t="inlineStr">
        <is>
          <t>PG</t>
        </is>
      </c>
      <c r="D23" t="n">
        <v>73</v>
      </c>
      <c r="E23" t="n">
        <v>2285</v>
      </c>
      <c r="F23" t="n">
        <v>1669</v>
      </c>
      <c r="G23" t="n">
        <v>381</v>
      </c>
      <c r="H23" t="n">
        <v>581</v>
      </c>
      <c r="I23" t="n">
        <v>105</v>
      </c>
      <c r="J23" t="n">
        <v>21</v>
      </c>
      <c r="K23" t="n">
        <v>279</v>
      </c>
      <c r="L23" t="n">
        <v>226</v>
      </c>
      <c r="M23" s="7" t="n">
        <v>0.414</v>
      </c>
      <c r="N23" s="7" t="n">
        <v>0.88</v>
      </c>
      <c r="O23" t="n">
        <v>1435.4</v>
      </c>
      <c r="P23" t="n">
        <v>229</v>
      </c>
      <c r="Q23" t="inlineStr">
        <is>
          <t>2025-26 (1244 FGA)</t>
        </is>
      </c>
      <c r="R23" t="n">
        <v>22</v>
      </c>
      <c r="S23" t="n">
        <v>29</v>
      </c>
    </row>
    <row r="24">
      <c r="A24" t="inlineStr">
        <is>
          <t>Jamal Murray</t>
        </is>
      </c>
      <c r="B24" t="inlineStr">
        <is>
          <t>DEN</t>
        </is>
      </c>
      <c r="C24" t="inlineStr">
        <is>
          <t>PG</t>
        </is>
      </c>
      <c r="D24" t="n">
        <v>74</v>
      </c>
      <c r="E24" t="n">
        <v>2641</v>
      </c>
      <c r="F24" t="n">
        <v>1655</v>
      </c>
      <c r="G24" t="n">
        <v>304</v>
      </c>
      <c r="H24" t="n">
        <v>462</v>
      </c>
      <c r="I24" t="n">
        <v>75</v>
      </c>
      <c r="J24" t="n">
        <v>37</v>
      </c>
      <c r="K24" t="n">
        <v>193</v>
      </c>
      <c r="L24" t="n">
        <v>159</v>
      </c>
      <c r="M24" s="7" t="n">
        <v>0.475</v>
      </c>
      <c r="N24" s="7" t="n">
        <v>0.887</v>
      </c>
      <c r="O24" t="n">
        <v>1217.4</v>
      </c>
      <c r="P24" t="n">
        <v>344.4</v>
      </c>
      <c r="Q24" t="inlineStr">
        <is>
          <t>2025-26 (1360 FGA)</t>
        </is>
      </c>
      <c r="R24" t="n">
        <v>16</v>
      </c>
      <c r="S24" t="n">
        <v>33</v>
      </c>
    </row>
    <row r="25">
      <c r="A25" t="inlineStr">
        <is>
          <t>Deni Avdija</t>
        </is>
      </c>
      <c r="B25" t="inlineStr">
        <is>
          <t>POR</t>
        </is>
      </c>
      <c r="C25" t="inlineStr">
        <is>
          <t>PF,SF,SG</t>
        </is>
      </c>
      <c r="D25" t="n">
        <v>75</v>
      </c>
      <c r="E25" t="n">
        <v>2530</v>
      </c>
      <c r="F25" t="n">
        <v>1680</v>
      </c>
      <c r="G25" t="n">
        <v>546</v>
      </c>
      <c r="H25" t="n">
        <v>435</v>
      </c>
      <c r="I25" t="n">
        <v>64</v>
      </c>
      <c r="J25" t="n">
        <v>45</v>
      </c>
      <c r="K25" t="n">
        <v>139</v>
      </c>
      <c r="L25" t="n">
        <v>267</v>
      </c>
      <c r="M25" s="7" t="n">
        <v>0.469</v>
      </c>
      <c r="N25" s="7" t="n">
        <v>0.794</v>
      </c>
      <c r="O25" t="n">
        <v>1140.3</v>
      </c>
      <c r="P25" t="n">
        <v>593.7</v>
      </c>
      <c r="Q25" t="inlineStr">
        <is>
          <t>2025-26 (1064 FGA)</t>
        </is>
      </c>
      <c r="R25" t="n">
        <v>35</v>
      </c>
      <c r="S25" t="n">
        <v>52</v>
      </c>
    </row>
    <row r="26">
      <c r="A26" t="inlineStr">
        <is>
          <t>Damian Lillard</t>
        </is>
      </c>
      <c r="B26" t="inlineStr">
        <is>
          <t>POR</t>
        </is>
      </c>
      <c r="C26" t="inlineStr">
        <is>
          <t>PG</t>
        </is>
      </c>
      <c r="D26" t="n">
        <v>72</v>
      </c>
      <c r="E26" t="n">
        <v>2409</v>
      </c>
      <c r="F26" t="n">
        <v>1600</v>
      </c>
      <c r="G26" t="n">
        <v>300</v>
      </c>
      <c r="H26" t="n">
        <v>440</v>
      </c>
      <c r="I26" t="n">
        <v>86</v>
      </c>
      <c r="J26" t="n">
        <v>15</v>
      </c>
      <c r="K26" t="n">
        <v>212</v>
      </c>
      <c r="L26" t="n">
        <v>201</v>
      </c>
      <c r="M26" s="7" t="n">
        <v>0.435</v>
      </c>
      <c r="N26" s="7" t="n">
        <v>0.921</v>
      </c>
      <c r="O26" t="n">
        <v>1254.3</v>
      </c>
      <c r="P26" t="n">
        <v>322.2</v>
      </c>
      <c r="Q26" t="inlineStr">
        <is>
          <t>PG median</t>
        </is>
      </c>
      <c r="R26" t="n">
        <v>74</v>
      </c>
      <c r="S26" t="n">
        <v>66</v>
      </c>
    </row>
    <row r="27">
      <c r="A27" t="inlineStr">
        <is>
          <t>Franz Wagner</t>
        </is>
      </c>
      <c r="B27" t="inlineStr">
        <is>
          <t>ORL</t>
        </is>
      </c>
      <c r="C27" t="inlineStr">
        <is>
          <t>PF,SF</t>
        </is>
      </c>
      <c r="D27" t="n">
        <v>72</v>
      </c>
      <c r="E27" t="n">
        <v>2405</v>
      </c>
      <c r="F27" t="n">
        <v>1604</v>
      </c>
      <c r="G27" t="n">
        <v>402</v>
      </c>
      <c r="H27" t="n">
        <v>306</v>
      </c>
      <c r="I27" t="n">
        <v>87</v>
      </c>
      <c r="J27" t="n">
        <v>26</v>
      </c>
      <c r="K27" t="n">
        <v>109</v>
      </c>
      <c r="L27" t="n">
        <v>147</v>
      </c>
      <c r="M27" s="7" t="n">
        <v>0.472</v>
      </c>
      <c r="N27" s="7" t="n">
        <v>0.85</v>
      </c>
      <c r="O27" t="n">
        <v>1205.7</v>
      </c>
      <c r="P27" t="n">
        <v>419.8</v>
      </c>
      <c r="Q27" t="inlineStr">
        <is>
          <t>2025-26 (507 FGA)</t>
        </is>
      </c>
      <c r="R27" t="n">
        <v>53</v>
      </c>
      <c r="S27" t="n">
        <v>43</v>
      </c>
    </row>
    <row r="28">
      <c r="A28" t="inlineStr">
        <is>
          <t>Lauri Markkanen</t>
        </is>
      </c>
      <c r="B28" t="inlineStr">
        <is>
          <t>UTH</t>
        </is>
      </c>
      <c r="C28" t="inlineStr">
        <is>
          <t>SF,PF</t>
        </is>
      </c>
      <c r="D28" t="n">
        <v>74</v>
      </c>
      <c r="E28" t="n">
        <v>2457</v>
      </c>
      <c r="F28" t="n">
        <v>1636</v>
      </c>
      <c r="G28" t="n">
        <v>458</v>
      </c>
      <c r="H28" t="n">
        <v>133</v>
      </c>
      <c r="I28" t="n">
        <v>65</v>
      </c>
      <c r="J28" t="n">
        <v>32</v>
      </c>
      <c r="K28" t="n">
        <v>201</v>
      </c>
      <c r="L28" t="n">
        <v>99</v>
      </c>
      <c r="M28" s="7" t="n">
        <v>0.457</v>
      </c>
      <c r="N28" s="7" t="n">
        <v>0.891</v>
      </c>
      <c r="O28" t="n">
        <v>1200.6</v>
      </c>
      <c r="P28" t="n">
        <v>379</v>
      </c>
      <c r="Q28" t="inlineStr">
        <is>
          <t>2025-26 (805 FGA)</t>
        </is>
      </c>
      <c r="R28" t="n">
        <v>44</v>
      </c>
      <c r="S28" t="n">
        <v>71</v>
      </c>
    </row>
    <row r="29">
      <c r="A29" t="inlineStr">
        <is>
          <t>Zion Williamson</t>
        </is>
      </c>
      <c r="B29" t="inlineStr">
        <is>
          <t>NOR</t>
        </is>
      </c>
      <c r="C29" t="inlineStr">
        <is>
          <t>C,PF</t>
        </is>
      </c>
      <c r="D29" t="n">
        <v>69</v>
      </c>
      <c r="E29" t="n">
        <v>2070</v>
      </c>
      <c r="F29" t="n">
        <v>1533</v>
      </c>
      <c r="G29" t="n">
        <v>403</v>
      </c>
      <c r="H29" t="n">
        <v>295</v>
      </c>
      <c r="I29" t="n">
        <v>70</v>
      </c>
      <c r="J29" t="n">
        <v>42</v>
      </c>
      <c r="K29" t="n">
        <v>2</v>
      </c>
      <c r="L29" t="n">
        <v>166</v>
      </c>
      <c r="M29" s="7" t="n">
        <v>0.586</v>
      </c>
      <c r="N29" s="7" t="n">
        <v>0.7</v>
      </c>
      <c r="O29" t="n">
        <v>993.7</v>
      </c>
      <c r="P29" t="n">
        <v>523.4</v>
      </c>
      <c r="Q29" t="inlineStr">
        <is>
          <t>2025-26 (807 FGA)</t>
        </is>
      </c>
      <c r="R29" t="n">
        <v>73</v>
      </c>
      <c r="S29" t="n">
        <v>37</v>
      </c>
    </row>
    <row r="30">
      <c r="A30" t="inlineStr">
        <is>
          <t>Pascal Siakam</t>
        </is>
      </c>
      <c r="B30" t="inlineStr">
        <is>
          <t>IND</t>
        </is>
      </c>
      <c r="C30" t="inlineStr">
        <is>
          <t>C,PF,SF</t>
        </is>
      </c>
      <c r="D30" t="n">
        <v>76</v>
      </c>
      <c r="E30" t="n">
        <v>2572</v>
      </c>
      <c r="F30" t="n">
        <v>1688</v>
      </c>
      <c r="G30" t="n">
        <v>517</v>
      </c>
      <c r="H30" t="n">
        <v>290</v>
      </c>
      <c r="I30" t="n">
        <v>70</v>
      </c>
      <c r="J30" t="n">
        <v>35</v>
      </c>
      <c r="K30" t="n">
        <v>116</v>
      </c>
      <c r="L30" t="n">
        <v>127</v>
      </c>
      <c r="M30" s="7" t="n">
        <v>0.517</v>
      </c>
      <c r="N30" s="7" t="n">
        <v>0.715</v>
      </c>
      <c r="O30" t="n">
        <v>1239.7</v>
      </c>
      <c r="P30" t="n">
        <v>405.7</v>
      </c>
      <c r="Q30" t="inlineStr">
        <is>
          <t>2025-26 (1155 FGA)</t>
        </is>
      </c>
      <c r="R30" t="n">
        <v>48</v>
      </c>
      <c r="S30" t="n">
        <v>22</v>
      </c>
    </row>
    <row r="31">
      <c r="A31" t="inlineStr">
        <is>
          <t>Anthony Davis</t>
        </is>
      </c>
      <c r="B31" t="inlineStr">
        <is>
          <t>WAS</t>
        </is>
      </c>
      <c r="C31" t="inlineStr">
        <is>
          <t>PF,C</t>
        </is>
      </c>
      <c r="D31" t="n">
        <v>70</v>
      </c>
      <c r="E31" t="n">
        <v>2258</v>
      </c>
      <c r="F31" t="n">
        <v>1533</v>
      </c>
      <c r="G31" t="n">
        <v>765</v>
      </c>
      <c r="H31" t="n">
        <v>209</v>
      </c>
      <c r="I31" t="n">
        <v>76</v>
      </c>
      <c r="J31" t="n">
        <v>138</v>
      </c>
      <c r="K31" t="n">
        <v>38</v>
      </c>
      <c r="L31" t="n">
        <v>150</v>
      </c>
      <c r="M31" s="7" t="n">
        <v>0.514</v>
      </c>
      <c r="N31" s="7" t="n">
        <v>0.783</v>
      </c>
      <c r="O31" t="n">
        <v>1228</v>
      </c>
      <c r="P31" t="n">
        <v>297</v>
      </c>
      <c r="Q31" t="inlineStr">
        <is>
          <t>2025-26 (334 FGA)</t>
        </is>
      </c>
      <c r="R31" t="n">
        <v>25</v>
      </c>
      <c r="S31" t="n">
        <v>9</v>
      </c>
    </row>
    <row r="32">
      <c r="A32" t="inlineStr">
        <is>
          <t>Tyler Herro</t>
        </is>
      </c>
      <c r="B32" t="inlineStr">
        <is>
          <t>MIL</t>
        </is>
      </c>
      <c r="C32" t="inlineStr">
        <is>
          <t>PG,SG</t>
        </is>
      </c>
      <c r="D32" t="n">
        <v>73</v>
      </c>
      <c r="E32" t="n">
        <v>2493</v>
      </c>
      <c r="F32" t="n">
        <v>1579</v>
      </c>
      <c r="G32" t="n">
        <v>340</v>
      </c>
      <c r="H32" t="n">
        <v>333</v>
      </c>
      <c r="I32" t="n">
        <v>55</v>
      </c>
      <c r="J32" t="n">
        <v>18</v>
      </c>
      <c r="K32" t="n">
        <v>209</v>
      </c>
      <c r="L32" t="n">
        <v>169</v>
      </c>
      <c r="M32" s="7" t="n">
        <v>0.474</v>
      </c>
      <c r="N32" s="7" t="n">
        <v>0.897</v>
      </c>
      <c r="O32" t="n">
        <v>1193.4</v>
      </c>
      <c r="P32" t="n">
        <v>266</v>
      </c>
      <c r="Q32" t="inlineStr">
        <is>
          <t>2025-26 (515 FGA)</t>
        </is>
      </c>
      <c r="R32" t="n">
        <v>63</v>
      </c>
      <c r="S32" t="n">
        <v>64</v>
      </c>
    </row>
    <row r="33">
      <c r="A33" t="inlineStr">
        <is>
          <t>Norman Powell</t>
        </is>
      </c>
      <c r="B33" t="inlineStr">
        <is>
          <t>CHI</t>
        </is>
      </c>
      <c r="C33" t="inlineStr">
        <is>
          <t>SG,SF</t>
        </is>
      </c>
      <c r="D33" t="n">
        <v>74</v>
      </c>
      <c r="E33" t="n">
        <v>2404</v>
      </c>
      <c r="F33" t="n">
        <v>1594</v>
      </c>
      <c r="G33" t="n">
        <v>243</v>
      </c>
      <c r="H33" t="n">
        <v>174</v>
      </c>
      <c r="I33" t="n">
        <v>77</v>
      </c>
      <c r="J33" t="n">
        <v>18</v>
      </c>
      <c r="K33" t="n">
        <v>208</v>
      </c>
      <c r="L33" t="n">
        <v>143</v>
      </c>
      <c r="M33" s="7" t="n">
        <v>0.472</v>
      </c>
      <c r="N33" s="7" t="n">
        <v>0.822</v>
      </c>
      <c r="O33" t="n">
        <v>1139.8</v>
      </c>
      <c r="P33" t="n">
        <v>377.2</v>
      </c>
      <c r="Q33" t="inlineStr">
        <is>
          <t>2025-26 (895 FGA)</t>
        </is>
      </c>
      <c r="R33" t="n">
        <v>107</v>
      </c>
      <c r="S33" t="n">
        <v>90</v>
      </c>
    </row>
    <row r="34">
      <c r="A34" t="inlineStr">
        <is>
          <t>LeBron James</t>
        </is>
      </c>
      <c r="B34" t="inlineStr">
        <is>
          <t>PHI</t>
        </is>
      </c>
      <c r="C34" t="inlineStr">
        <is>
          <t>SF,PF</t>
        </is>
      </c>
      <c r="D34" t="n">
        <v>68</v>
      </c>
      <c r="E34" t="n">
        <v>2228</v>
      </c>
      <c r="F34" t="n">
        <v>1466</v>
      </c>
      <c r="G34" t="n">
        <v>466</v>
      </c>
      <c r="H34" t="n">
        <v>472</v>
      </c>
      <c r="I34" t="n">
        <v>75</v>
      </c>
      <c r="J34" t="n">
        <v>42</v>
      </c>
      <c r="K34" t="n">
        <v>109</v>
      </c>
      <c r="L34" t="n">
        <v>208</v>
      </c>
      <c r="M34" s="7" t="n">
        <v>0.511</v>
      </c>
      <c r="N34" s="7" t="n">
        <v>0.758</v>
      </c>
      <c r="O34" t="n">
        <v>1069</v>
      </c>
      <c r="P34" t="n">
        <v>348.9</v>
      </c>
      <c r="Q34" t="inlineStr">
        <is>
          <t>2025-26 (919 FGA)</t>
        </is>
      </c>
      <c r="R34" t="n">
        <v>43</v>
      </c>
      <c r="S34" t="n">
        <v>10</v>
      </c>
    </row>
    <row r="35">
      <c r="A35" t="inlineStr">
        <is>
          <t>Brandon Ingram</t>
        </is>
      </c>
      <c r="B35" t="inlineStr">
        <is>
          <t>LAC</t>
        </is>
      </c>
      <c r="C35" t="inlineStr">
        <is>
          <t>SG,SF,PF</t>
        </is>
      </c>
      <c r="D35" t="n">
        <v>64</v>
      </c>
      <c r="E35" t="n">
        <v>2186</v>
      </c>
      <c r="F35" t="n">
        <v>1367</v>
      </c>
      <c r="G35" t="n">
        <v>362</v>
      </c>
      <c r="H35" t="n">
        <v>260</v>
      </c>
      <c r="I35" t="n">
        <v>50</v>
      </c>
      <c r="J35" t="n">
        <v>43</v>
      </c>
      <c r="K35" t="n">
        <v>124</v>
      </c>
      <c r="L35" t="n">
        <v>168</v>
      </c>
      <c r="M35" s="7" t="n">
        <v>0.485</v>
      </c>
      <c r="N35" s="7" t="n">
        <v>0.8179999999999999</v>
      </c>
      <c r="O35" t="n">
        <v>1044.5</v>
      </c>
      <c r="P35" t="n">
        <v>281</v>
      </c>
      <c r="Q35" t="inlineStr">
        <is>
          <t>2025-26 (1288 FGA)</t>
        </is>
      </c>
      <c r="R35" t="n">
        <v>76</v>
      </c>
      <c r="S35" t="n">
        <v>69</v>
      </c>
    </row>
    <row r="36">
      <c r="A36" t="inlineStr">
        <is>
          <t>Jalen Johnson</t>
        </is>
      </c>
      <c r="B36" t="inlineStr">
        <is>
          <t>ATL</t>
        </is>
      </c>
      <c r="C36" t="inlineStr">
        <is>
          <t>PF,SF</t>
        </is>
      </c>
      <c r="D36" t="n">
        <v>75</v>
      </c>
      <c r="E36" t="n">
        <v>2721</v>
      </c>
      <c r="F36" t="n">
        <v>1600</v>
      </c>
      <c r="G36" t="n">
        <v>736</v>
      </c>
      <c r="H36" t="n">
        <v>537</v>
      </c>
      <c r="I36" t="n">
        <v>91</v>
      </c>
      <c r="J36" t="n">
        <v>39</v>
      </c>
      <c r="K36" t="n">
        <v>117</v>
      </c>
      <c r="L36" t="n">
        <v>236</v>
      </c>
      <c r="M36" s="7" t="n">
        <v>0.49</v>
      </c>
      <c r="N36" s="7" t="n">
        <v>0.783</v>
      </c>
      <c r="O36" t="n">
        <v>1219.7</v>
      </c>
      <c r="P36" t="n">
        <v>367.4</v>
      </c>
      <c r="Q36" t="inlineStr">
        <is>
          <t>2025-26 (1228 FGA)</t>
        </is>
      </c>
      <c r="R36" t="n">
        <v>14</v>
      </c>
      <c r="S36" t="n">
        <v>32</v>
      </c>
    </row>
    <row r="37">
      <c r="A37" t="inlineStr">
        <is>
          <t>Trae Young</t>
        </is>
      </c>
      <c r="B37" t="inlineStr">
        <is>
          <t>WAS</t>
        </is>
      </c>
      <c r="C37" t="inlineStr">
        <is>
          <t>PG</t>
        </is>
      </c>
      <c r="D37" t="n">
        <v>75</v>
      </c>
      <c r="E37" t="n">
        <v>2581</v>
      </c>
      <c r="F37" t="n">
        <v>1583</v>
      </c>
      <c r="G37" t="n">
        <v>205</v>
      </c>
      <c r="H37" t="n">
        <v>689</v>
      </c>
      <c r="I37" t="n">
        <v>77</v>
      </c>
      <c r="J37" t="n">
        <v>15</v>
      </c>
      <c r="K37" t="n">
        <v>179</v>
      </c>
      <c r="L37" t="n">
        <v>307</v>
      </c>
      <c r="M37" s="7" t="n">
        <v>0.415</v>
      </c>
      <c r="N37" s="7" t="n">
        <v>0.868</v>
      </c>
      <c r="O37" t="n">
        <v>1198.3</v>
      </c>
      <c r="P37" t="n">
        <v>471.6</v>
      </c>
      <c r="Q37" t="inlineStr">
        <is>
          <t>2025-26 (177 FGA)</t>
        </is>
      </c>
      <c r="R37" t="n">
        <v>26</v>
      </c>
      <c r="S37" t="n">
        <v>20</v>
      </c>
    </row>
    <row r="38">
      <c r="A38" t="inlineStr">
        <is>
          <t>Karl-Anthony Towns</t>
        </is>
      </c>
      <c r="B38" t="inlineStr">
        <is>
          <t>NYK</t>
        </is>
      </c>
      <c r="C38" t="inlineStr">
        <is>
          <t>PF,C</t>
        </is>
      </c>
      <c r="D38" t="n">
        <v>74</v>
      </c>
      <c r="E38" t="n">
        <v>2424</v>
      </c>
      <c r="F38" t="n">
        <v>1571</v>
      </c>
      <c r="G38" t="n">
        <v>869</v>
      </c>
      <c r="H38" t="n">
        <v>271</v>
      </c>
      <c r="I38" t="n">
        <v>68</v>
      </c>
      <c r="J38" t="n">
        <v>50</v>
      </c>
      <c r="K38" t="n">
        <v>128</v>
      </c>
      <c r="L38" t="n">
        <v>188</v>
      </c>
      <c r="M38" s="7" t="n">
        <v>0.51</v>
      </c>
      <c r="N38" s="7" t="n">
        <v>0.851</v>
      </c>
      <c r="O38" t="n">
        <v>1076.4</v>
      </c>
      <c r="P38" t="n">
        <v>405.5</v>
      </c>
      <c r="Q38" t="inlineStr">
        <is>
          <t>2025-26 (1032 FGA)</t>
        </is>
      </c>
      <c r="R38" t="n">
        <v>11</v>
      </c>
      <c r="S38" t="n">
        <v>11</v>
      </c>
    </row>
    <row r="39">
      <c r="A39" t="inlineStr">
        <is>
          <t>Brandon Miller</t>
        </is>
      </c>
      <c r="B39" t="inlineStr">
        <is>
          <t>CHA</t>
        </is>
      </c>
      <c r="C39" t="inlineStr">
        <is>
          <t>PF,SF,SG</t>
        </is>
      </c>
      <c r="D39" t="n">
        <v>73</v>
      </c>
      <c r="E39" t="n">
        <v>2397</v>
      </c>
      <c r="F39" t="n">
        <v>1526</v>
      </c>
      <c r="G39" t="n">
        <v>356</v>
      </c>
      <c r="H39" t="n">
        <v>252</v>
      </c>
      <c r="I39" t="n">
        <v>73</v>
      </c>
      <c r="J39" t="n">
        <v>49</v>
      </c>
      <c r="K39" t="n">
        <v>252</v>
      </c>
      <c r="L39" t="n">
        <v>190</v>
      </c>
      <c r="M39" s="7" t="n">
        <v>0.432</v>
      </c>
      <c r="N39" s="7" t="n">
        <v>0.884</v>
      </c>
      <c r="O39" t="n">
        <v>1205.6</v>
      </c>
      <c r="P39" t="n">
        <v>262.8</v>
      </c>
      <c r="Q39" t="inlineStr">
        <is>
          <t>2025-26 (1044 FGA)</t>
        </is>
      </c>
      <c r="R39" t="n">
        <v>51</v>
      </c>
      <c r="S39" t="n">
        <v>93</v>
      </c>
    </row>
    <row r="40">
      <c r="A40" t="inlineStr">
        <is>
          <t>Michael Porter Jr.</t>
        </is>
      </c>
      <c r="B40" t="inlineStr">
        <is>
          <t>BKN</t>
        </is>
      </c>
      <c r="C40" t="inlineStr">
        <is>
          <t>SF,PF</t>
        </is>
      </c>
      <c r="D40" t="n">
        <v>74</v>
      </c>
      <c r="E40" t="n">
        <v>2438</v>
      </c>
      <c r="F40" t="n">
        <v>1525</v>
      </c>
      <c r="G40" t="n">
        <v>474</v>
      </c>
      <c r="H40" t="n">
        <v>181</v>
      </c>
      <c r="I40" t="n">
        <v>64</v>
      </c>
      <c r="J40" t="n">
        <v>26</v>
      </c>
      <c r="K40" t="n">
        <v>224</v>
      </c>
      <c r="L40" t="n">
        <v>144</v>
      </c>
      <c r="M40" s="7" t="n">
        <v>0.455</v>
      </c>
      <c r="N40" s="7" t="n">
        <v>0.835</v>
      </c>
      <c r="O40" t="n">
        <v>1173</v>
      </c>
      <c r="P40" t="n">
        <v>279.8</v>
      </c>
      <c r="Q40" t="inlineStr">
        <is>
          <t>2025-26 (958 FGA)</t>
        </is>
      </c>
      <c r="R40" t="n">
        <v>71</v>
      </c>
      <c r="S40" t="n">
        <v>51</v>
      </c>
    </row>
    <row r="41">
      <c r="A41" t="inlineStr">
        <is>
          <t>Ja Morant</t>
        </is>
      </c>
      <c r="B41" t="inlineStr">
        <is>
          <t>POR</t>
        </is>
      </c>
      <c r="C41" t="inlineStr">
        <is>
          <t>PG</t>
        </is>
      </c>
      <c r="D41" t="n">
        <v>72</v>
      </c>
      <c r="E41" t="n">
        <v>2116</v>
      </c>
      <c r="F41" t="n">
        <v>1476</v>
      </c>
      <c r="G41" t="n">
        <v>270</v>
      </c>
      <c r="H41" t="n">
        <v>479</v>
      </c>
      <c r="I41" t="n">
        <v>79</v>
      </c>
      <c r="J41" t="n">
        <v>22</v>
      </c>
      <c r="K41" t="n">
        <v>103</v>
      </c>
      <c r="L41" t="n">
        <v>254</v>
      </c>
      <c r="M41" s="7" t="n">
        <v>0.437</v>
      </c>
      <c r="N41" s="7" t="n">
        <v>0.842</v>
      </c>
      <c r="O41" t="n">
        <v>1198.5</v>
      </c>
      <c r="P41" t="n">
        <v>386.6</v>
      </c>
      <c r="Q41" t="inlineStr">
        <is>
          <t>2025-26 (322 FGA)</t>
        </is>
      </c>
      <c r="R41" t="n">
        <v>99</v>
      </c>
      <c r="S41" t="n">
        <v>39</v>
      </c>
    </row>
    <row r="42">
      <c r="A42" t="inlineStr">
        <is>
          <t>James Harden</t>
        </is>
      </c>
      <c r="B42" t="inlineStr">
        <is>
          <t>CLE</t>
        </is>
      </c>
      <c r="C42" t="inlineStr">
        <is>
          <t>PG,SG</t>
        </is>
      </c>
      <c r="D42" t="n">
        <v>76</v>
      </c>
      <c r="E42" t="n">
        <v>2548</v>
      </c>
      <c r="F42" t="n">
        <v>1543</v>
      </c>
      <c r="G42" t="n">
        <v>399</v>
      </c>
      <c r="H42" t="n">
        <v>607</v>
      </c>
      <c r="I42" t="n">
        <v>96</v>
      </c>
      <c r="J42" t="n">
        <v>43</v>
      </c>
      <c r="K42" t="n">
        <v>210</v>
      </c>
      <c r="L42" t="n">
        <v>252</v>
      </c>
      <c r="M42" s="7" t="n">
        <v>0.427</v>
      </c>
      <c r="N42" s="7" t="n">
        <v>0.875</v>
      </c>
      <c r="O42" t="n">
        <v>1079.8</v>
      </c>
      <c r="P42" t="n">
        <v>469.6</v>
      </c>
      <c r="Q42" t="inlineStr">
        <is>
          <t>2025-26 (1123 FGA)</t>
        </is>
      </c>
      <c r="R42" t="n">
        <v>40</v>
      </c>
      <c r="S42" t="n">
        <v>12</v>
      </c>
    </row>
    <row r="43">
      <c r="A43" t="inlineStr">
        <is>
          <t>Jalen Williams</t>
        </is>
      </c>
      <c r="B43" t="inlineStr">
        <is>
          <t>OKC</t>
        </is>
      </c>
      <c r="C43" t="inlineStr">
        <is>
          <t>PF,SF,SG</t>
        </is>
      </c>
      <c r="D43" t="n">
        <v>74</v>
      </c>
      <c r="E43" t="n">
        <v>2385</v>
      </c>
      <c r="F43" t="n">
        <v>1512</v>
      </c>
      <c r="G43" t="n">
        <v>356</v>
      </c>
      <c r="H43" t="n">
        <v>373</v>
      </c>
      <c r="I43" t="n">
        <v>102</v>
      </c>
      <c r="J43" t="n">
        <v>39</v>
      </c>
      <c r="K43" t="n">
        <v>106</v>
      </c>
      <c r="L43" t="n">
        <v>148</v>
      </c>
      <c r="M43" s="7" t="n">
        <v>0.492</v>
      </c>
      <c r="N43" s="7" t="n">
        <v>0.805</v>
      </c>
      <c r="O43" t="n">
        <v>1167</v>
      </c>
      <c r="P43" t="n">
        <v>320.1</v>
      </c>
      <c r="Q43" t="inlineStr">
        <is>
          <t>2025-26 (446 FGA)</t>
        </is>
      </c>
      <c r="R43" t="n">
        <v>45</v>
      </c>
      <c r="S43" t="n">
        <v>28</v>
      </c>
    </row>
    <row r="44">
      <c r="A44" t="inlineStr">
        <is>
          <t>Jalen Green</t>
        </is>
      </c>
      <c r="B44" t="inlineStr">
        <is>
          <t>PHO</t>
        </is>
      </c>
      <c r="C44" t="inlineStr">
        <is>
          <t>SF,SG</t>
        </is>
      </c>
      <c r="D44" t="n">
        <v>74</v>
      </c>
      <c r="E44" t="n">
        <v>2369</v>
      </c>
      <c r="F44" t="n">
        <v>1505</v>
      </c>
      <c r="G44" t="n">
        <v>334</v>
      </c>
      <c r="H44" t="n">
        <v>259</v>
      </c>
      <c r="I44" t="n">
        <v>83</v>
      </c>
      <c r="J44" t="n">
        <v>24</v>
      </c>
      <c r="K44" t="n">
        <v>202</v>
      </c>
      <c r="L44" t="n">
        <v>185</v>
      </c>
      <c r="M44" s="7" t="n">
        <v>0.426</v>
      </c>
      <c r="N44" s="7" t="n">
        <v>0.784</v>
      </c>
      <c r="O44" t="n">
        <v>1300.4</v>
      </c>
      <c r="P44" t="n">
        <v>248.8</v>
      </c>
      <c r="Q44" t="inlineStr">
        <is>
          <t>2025-26 (512 FGA)</t>
        </is>
      </c>
      <c r="R44" t="n">
        <v>132</v>
      </c>
      <c r="S44" t="n">
        <v>55</v>
      </c>
    </row>
    <row r="45">
      <c r="A45" t="inlineStr">
        <is>
          <t>Jaren Jackson Jr.</t>
        </is>
      </c>
      <c r="B45" t="inlineStr">
        <is>
          <t>UTH</t>
        </is>
      </c>
      <c r="C45" t="inlineStr">
        <is>
          <t>PF,C</t>
        </is>
      </c>
      <c r="D45" t="n">
        <v>70</v>
      </c>
      <c r="E45" t="n">
        <v>2171</v>
      </c>
      <c r="F45" t="n">
        <v>1419</v>
      </c>
      <c r="G45" t="n">
        <v>360</v>
      </c>
      <c r="H45" t="n">
        <v>138</v>
      </c>
      <c r="I45" t="n">
        <v>81</v>
      </c>
      <c r="J45" t="n">
        <v>88</v>
      </c>
      <c r="K45" t="n">
        <v>123</v>
      </c>
      <c r="L45" t="n">
        <v>146</v>
      </c>
      <c r="M45" s="7" t="n">
        <v>0.47</v>
      </c>
      <c r="N45" s="7" t="n">
        <v>0.794</v>
      </c>
      <c r="O45" t="n">
        <v>1120.1</v>
      </c>
      <c r="P45" t="n">
        <v>306.1</v>
      </c>
      <c r="Q45" t="inlineStr">
        <is>
          <t>2025-26 (719 FGA)</t>
        </is>
      </c>
      <c r="R45" t="n">
        <v>54</v>
      </c>
      <c r="S45" t="n">
        <v>58</v>
      </c>
    </row>
    <row r="46">
      <c r="A46" t="inlineStr">
        <is>
          <t>Coby White</t>
        </is>
      </c>
      <c r="B46" t="inlineStr">
        <is>
          <t>CHA</t>
        </is>
      </c>
      <c r="C46" t="inlineStr">
        <is>
          <t>PG,SG</t>
        </is>
      </c>
      <c r="D46" t="n">
        <v>75</v>
      </c>
      <c r="E46" t="n">
        <v>2561</v>
      </c>
      <c r="F46" t="n">
        <v>1518</v>
      </c>
      <c r="G46" t="n">
        <v>292</v>
      </c>
      <c r="H46" t="n">
        <v>335</v>
      </c>
      <c r="I46" t="n">
        <v>55</v>
      </c>
      <c r="J46" t="n">
        <v>14</v>
      </c>
      <c r="K46" t="n">
        <v>224</v>
      </c>
      <c r="L46" t="n">
        <v>199</v>
      </c>
      <c r="M46" s="7" t="n">
        <v>0.445</v>
      </c>
      <c r="N46" s="7" t="n">
        <v>0.857</v>
      </c>
      <c r="O46" t="n">
        <v>1083.3</v>
      </c>
      <c r="P46" t="n">
        <v>384.9</v>
      </c>
      <c r="Q46" t="inlineStr">
        <is>
          <t>2025-26 (623 FGA)</t>
        </is>
      </c>
      <c r="R46" t="n">
        <v>97</v>
      </c>
      <c r="S46" t="n">
        <v>50</v>
      </c>
    </row>
    <row r="47">
      <c r="A47" t="inlineStr">
        <is>
          <t>Keyonte George</t>
        </is>
      </c>
      <c r="B47" t="inlineStr">
        <is>
          <t>UTH</t>
        </is>
      </c>
      <c r="C47" t="inlineStr">
        <is>
          <t>PG,SG</t>
        </is>
      </c>
      <c r="D47" t="n">
        <v>73</v>
      </c>
      <c r="E47" t="n">
        <v>2405</v>
      </c>
      <c r="F47" t="n">
        <v>1475</v>
      </c>
      <c r="G47" t="n">
        <v>254</v>
      </c>
      <c r="H47" t="n">
        <v>425</v>
      </c>
      <c r="I47" t="n">
        <v>71</v>
      </c>
      <c r="J47" t="n">
        <v>15</v>
      </c>
      <c r="K47" t="n">
        <v>172</v>
      </c>
      <c r="L47" t="n">
        <v>202</v>
      </c>
      <c r="M47" s="7" t="n">
        <v>0.432</v>
      </c>
      <c r="N47" s="7" t="n">
        <v>0.871</v>
      </c>
      <c r="O47" t="n">
        <v>1076.9</v>
      </c>
      <c r="P47" t="n">
        <v>427.7</v>
      </c>
      <c r="Q47" t="inlineStr">
        <is>
          <t>2025-26 (881 FGA)</t>
        </is>
      </c>
      <c r="R47" t="n">
        <v>52</v>
      </c>
      <c r="S47" t="n">
        <v>100</v>
      </c>
    </row>
    <row r="48">
      <c r="A48" t="inlineStr">
        <is>
          <t>Trey Murphy III</t>
        </is>
      </c>
      <c r="B48" t="inlineStr">
        <is>
          <t>NOR</t>
        </is>
      </c>
      <c r="C48" t="inlineStr">
        <is>
          <t>PF,SF,SG</t>
        </is>
      </c>
      <c r="D48" t="n">
        <v>73</v>
      </c>
      <c r="E48" t="n">
        <v>2494</v>
      </c>
      <c r="F48" t="n">
        <v>1464</v>
      </c>
      <c r="G48" t="n">
        <v>376</v>
      </c>
      <c r="H48" t="n">
        <v>244</v>
      </c>
      <c r="I48" t="n">
        <v>89</v>
      </c>
      <c r="J48" t="n">
        <v>32</v>
      </c>
      <c r="K48" t="n">
        <v>213</v>
      </c>
      <c r="L48" t="n">
        <v>126</v>
      </c>
      <c r="M48" s="7" t="n">
        <v>0.474</v>
      </c>
      <c r="N48" s="7" t="n">
        <v>0.887</v>
      </c>
      <c r="O48" t="n">
        <v>1081.5</v>
      </c>
      <c r="P48" t="n">
        <v>254.5</v>
      </c>
      <c r="Q48" t="inlineStr">
        <is>
          <t>2025-26 (1050 FGA)</t>
        </is>
      </c>
      <c r="R48" t="n">
        <v>37</v>
      </c>
      <c r="S48" t="n">
        <v>61</v>
      </c>
    </row>
    <row r="49">
      <c r="A49" t="inlineStr">
        <is>
          <t>Darius Garland</t>
        </is>
      </c>
      <c r="B49" t="inlineStr">
        <is>
          <t>LAC</t>
        </is>
      </c>
      <c r="C49" t="inlineStr">
        <is>
          <t>PG</t>
        </is>
      </c>
      <c r="D49" t="n">
        <v>74</v>
      </c>
      <c r="E49" t="n">
        <v>2418</v>
      </c>
      <c r="F49" t="n">
        <v>1467</v>
      </c>
      <c r="G49" t="n">
        <v>207</v>
      </c>
      <c r="H49" t="n">
        <v>491</v>
      </c>
      <c r="I49" t="n">
        <v>88</v>
      </c>
      <c r="J49" t="n">
        <v>14</v>
      </c>
      <c r="K49" t="n">
        <v>197</v>
      </c>
      <c r="L49" t="n">
        <v>213</v>
      </c>
      <c r="M49" s="7" t="n">
        <v>0.466</v>
      </c>
      <c r="N49" s="7" t="n">
        <v>0.87</v>
      </c>
      <c r="O49" t="n">
        <v>1149.3</v>
      </c>
      <c r="P49" t="n">
        <v>228.5</v>
      </c>
      <c r="Q49" t="inlineStr">
        <is>
          <t>2025-26 (672 FGA)</t>
        </is>
      </c>
      <c r="R49" t="n">
        <v>58</v>
      </c>
      <c r="S49" t="n">
        <v>73</v>
      </c>
    </row>
    <row r="50">
      <c r="A50" t="inlineStr">
        <is>
          <t>AJ Dybantsa</t>
        </is>
      </c>
      <c r="B50" t="inlineStr">
        <is>
          <t>WAS</t>
        </is>
      </c>
      <c r="C50" t="inlineStr">
        <is>
          <t>SF</t>
        </is>
      </c>
      <c r="D50" t="n">
        <v>75</v>
      </c>
      <c r="E50" t="n">
        <v>2439</v>
      </c>
      <c r="F50" t="n">
        <v>1491</v>
      </c>
      <c r="G50" t="n">
        <v>459</v>
      </c>
      <c r="H50" t="n">
        <v>230</v>
      </c>
      <c r="I50" t="n">
        <v>84</v>
      </c>
      <c r="J50" t="n">
        <v>52</v>
      </c>
      <c r="K50" t="n">
        <v>129</v>
      </c>
      <c r="L50" t="n">
        <v>158</v>
      </c>
      <c r="M50" s="7" t="n">
        <v>0.464</v>
      </c>
      <c r="N50" s="7" t="n">
        <v>0.79</v>
      </c>
      <c r="O50" t="n">
        <v>1213.5</v>
      </c>
      <c r="P50" t="n">
        <v>298.6</v>
      </c>
      <c r="Q50" t="inlineStr">
        <is>
          <t>SF median</t>
        </is>
      </c>
      <c r="R50" t="n">
        <v>82</v>
      </c>
      <c r="S50" t="n">
        <v>94</v>
      </c>
    </row>
    <row r="51">
      <c r="A51" t="inlineStr">
        <is>
          <t>Zach LaVine</t>
        </is>
      </c>
      <c r="B51" t="inlineStr">
        <is>
          <t>SAC</t>
        </is>
      </c>
      <c r="C51" t="inlineStr">
        <is>
          <t>PG,SF,SG</t>
        </is>
      </c>
      <c r="D51" t="n">
        <v>70</v>
      </c>
      <c r="E51" t="n">
        <v>2316</v>
      </c>
      <c r="F51" t="n">
        <v>1380</v>
      </c>
      <c r="G51" t="n">
        <v>248</v>
      </c>
      <c r="H51" t="n">
        <v>227</v>
      </c>
      <c r="I51" t="n">
        <v>52</v>
      </c>
      <c r="J51" t="n">
        <v>15</v>
      </c>
      <c r="K51" t="n">
        <v>179</v>
      </c>
      <c r="L51" t="n">
        <v>160</v>
      </c>
      <c r="M51" s="7" t="n">
        <v>0.501</v>
      </c>
      <c r="N51" s="7" t="n">
        <v>0.844</v>
      </c>
      <c r="O51" t="n">
        <v>984</v>
      </c>
      <c r="P51" t="n">
        <v>254.7</v>
      </c>
      <c r="Q51" t="inlineStr">
        <is>
          <t>2025-26 (547 FGA)</t>
        </is>
      </c>
      <c r="R51" t="n">
        <v>175</v>
      </c>
      <c r="S51" t="n">
        <v>72</v>
      </c>
    </row>
    <row r="52">
      <c r="A52" t="inlineStr">
        <is>
          <t>RJ Barrett</t>
        </is>
      </c>
      <c r="B52" t="inlineStr">
        <is>
          <t>TOR</t>
        </is>
      </c>
      <c r="C52" t="inlineStr">
        <is>
          <t>PF,SF,SG</t>
        </is>
      </c>
      <c r="D52" t="n">
        <v>72</v>
      </c>
      <c r="E52" t="n">
        <v>2253</v>
      </c>
      <c r="F52" t="n">
        <v>1412</v>
      </c>
      <c r="G52" t="n">
        <v>404</v>
      </c>
      <c r="H52" t="n">
        <v>287</v>
      </c>
      <c r="I52" t="n">
        <v>53</v>
      </c>
      <c r="J52" t="n">
        <v>22</v>
      </c>
      <c r="K52" t="n">
        <v>125</v>
      </c>
      <c r="L52" t="n">
        <v>156</v>
      </c>
      <c r="M52" s="7" t="n">
        <v>0.482</v>
      </c>
      <c r="N52" s="7" t="n">
        <v>0.68</v>
      </c>
      <c r="O52" t="n">
        <v>1087.9</v>
      </c>
      <c r="P52" t="n">
        <v>350.3</v>
      </c>
      <c r="Q52" t="inlineStr">
        <is>
          <t>2025-26 (816 FGA)</t>
        </is>
      </c>
      <c r="R52" t="n">
        <v>137</v>
      </c>
      <c r="S52" t="n">
        <v>87</v>
      </c>
    </row>
    <row r="53">
      <c r="A53" t="inlineStr">
        <is>
          <t>Bam Adebayo</t>
        </is>
      </c>
      <c r="B53" t="inlineStr">
        <is>
          <t>MIA</t>
        </is>
      </c>
      <c r="C53" t="inlineStr">
        <is>
          <t>C,PF</t>
        </is>
      </c>
      <c r="D53" t="n">
        <v>76</v>
      </c>
      <c r="E53" t="n">
        <v>2497</v>
      </c>
      <c r="F53" t="n">
        <v>1479</v>
      </c>
      <c r="G53" t="n">
        <v>732</v>
      </c>
      <c r="H53" t="n">
        <v>267</v>
      </c>
      <c r="I53" t="n">
        <v>95</v>
      </c>
      <c r="J53" t="n">
        <v>54</v>
      </c>
      <c r="K53" t="n">
        <v>112</v>
      </c>
      <c r="L53" t="n">
        <v>128</v>
      </c>
      <c r="M53" s="7" t="n">
        <v>0.456</v>
      </c>
      <c r="N53" s="7" t="n">
        <v>0.774</v>
      </c>
      <c r="O53" t="n">
        <v>1145.8</v>
      </c>
      <c r="P53" t="n">
        <v>416.1</v>
      </c>
      <c r="Q53" t="inlineStr">
        <is>
          <t>2025-26 (1145 FGA)</t>
        </is>
      </c>
      <c r="R53" t="n">
        <v>34</v>
      </c>
      <c r="S53" t="n">
        <v>26</v>
      </c>
    </row>
    <row r="54">
      <c r="A54" t="inlineStr">
        <is>
          <t>Julius Randle</t>
        </is>
      </c>
      <c r="B54" t="inlineStr">
        <is>
          <t>BKN</t>
        </is>
      </c>
      <c r="C54" t="inlineStr">
        <is>
          <t>PF</t>
        </is>
      </c>
      <c r="D54" t="n">
        <v>75</v>
      </c>
      <c r="E54" t="n">
        <v>2518</v>
      </c>
      <c r="F54" t="n">
        <v>1467</v>
      </c>
      <c r="G54" t="n">
        <v>512</v>
      </c>
      <c r="H54" t="n">
        <v>349</v>
      </c>
      <c r="I54" t="n">
        <v>55</v>
      </c>
      <c r="J54" t="n">
        <v>15</v>
      </c>
      <c r="K54" t="n">
        <v>106</v>
      </c>
      <c r="L54" t="n">
        <v>220</v>
      </c>
      <c r="M54" s="7" t="n">
        <v>0.464</v>
      </c>
      <c r="N54" s="7" t="n">
        <v>0.801</v>
      </c>
      <c r="O54" t="n">
        <v>1099.5</v>
      </c>
      <c r="P54" t="n">
        <v>425.3</v>
      </c>
      <c r="Q54" t="inlineStr">
        <is>
          <t>2025-26 (1207 FGA)</t>
        </is>
      </c>
      <c r="R54" t="n">
        <v>66</v>
      </c>
      <c r="S54" t="n">
        <v>68</v>
      </c>
    </row>
    <row r="55">
      <c r="A55" t="inlineStr">
        <is>
          <t>Alperen Sengun</t>
        </is>
      </c>
      <c r="B55" t="inlineStr">
        <is>
          <t>HOU</t>
        </is>
      </c>
      <c r="C55" t="inlineStr">
        <is>
          <t>C,PF</t>
        </is>
      </c>
      <c r="D55" t="n">
        <v>75</v>
      </c>
      <c r="E55" t="n">
        <v>2459</v>
      </c>
      <c r="F55" t="n">
        <v>1455</v>
      </c>
      <c r="G55" t="n">
        <v>704</v>
      </c>
      <c r="H55" t="n">
        <v>412</v>
      </c>
      <c r="I55" t="n">
        <v>86</v>
      </c>
      <c r="J55" t="n">
        <v>73</v>
      </c>
      <c r="K55" t="n">
        <v>32</v>
      </c>
      <c r="L55" t="n">
        <v>217</v>
      </c>
      <c r="M55" s="7" t="n">
        <v>0.512</v>
      </c>
      <c r="N55" s="7" t="n">
        <v>0.6909999999999999</v>
      </c>
      <c r="O55" t="n">
        <v>1134.3</v>
      </c>
      <c r="P55" t="n">
        <v>378.5</v>
      </c>
      <c r="Q55" t="inlineStr">
        <is>
          <t>2025-26 (1123 FGA)</t>
        </is>
      </c>
      <c r="R55" t="n">
        <v>15</v>
      </c>
      <c r="S55" t="n">
        <v>30</v>
      </c>
    </row>
    <row r="56">
      <c r="A56" t="inlineStr">
        <is>
          <t>Desmond Bane</t>
        </is>
      </c>
      <c r="B56" t="inlineStr">
        <is>
          <t>ORL</t>
        </is>
      </c>
      <c r="C56" t="inlineStr">
        <is>
          <t>SG,SF</t>
        </is>
      </c>
      <c r="D56" t="n">
        <v>75</v>
      </c>
      <c r="E56" t="n">
        <v>2496</v>
      </c>
      <c r="F56" t="n">
        <v>1452</v>
      </c>
      <c r="G56" t="n">
        <v>359</v>
      </c>
      <c r="H56" t="n">
        <v>334</v>
      </c>
      <c r="I56" t="n">
        <v>85</v>
      </c>
      <c r="J56" t="n">
        <v>35</v>
      </c>
      <c r="K56" t="n">
        <v>162</v>
      </c>
      <c r="L56" t="n">
        <v>162</v>
      </c>
      <c r="M56" s="7" t="n">
        <v>0.475</v>
      </c>
      <c r="N56" s="7" t="n">
        <v>0.899</v>
      </c>
      <c r="O56" t="n">
        <v>1075.2</v>
      </c>
      <c r="P56" t="n">
        <v>298.7</v>
      </c>
      <c r="Q56" t="inlineStr">
        <is>
          <t>2025-26 (1205 FGA)</t>
        </is>
      </c>
      <c r="R56" t="n">
        <v>55</v>
      </c>
      <c r="S56" t="n">
        <v>41</v>
      </c>
    </row>
    <row r="57">
      <c r="A57" t="inlineStr">
        <is>
          <t>De'Aaron Fox</t>
        </is>
      </c>
      <c r="B57" t="inlineStr">
        <is>
          <t>SAS</t>
        </is>
      </c>
      <c r="C57" t="inlineStr">
        <is>
          <t>PG,SG</t>
        </is>
      </c>
      <c r="D57" t="n">
        <v>75</v>
      </c>
      <c r="E57" t="n">
        <v>2350</v>
      </c>
      <c r="F57" t="n">
        <v>1427</v>
      </c>
      <c r="G57" t="n">
        <v>292</v>
      </c>
      <c r="H57" t="n">
        <v>416</v>
      </c>
      <c r="I57" t="n">
        <v>96</v>
      </c>
      <c r="J57" t="n">
        <v>22</v>
      </c>
      <c r="K57" t="n">
        <v>134</v>
      </c>
      <c r="L57" t="n">
        <v>169</v>
      </c>
      <c r="M57" s="7" t="n">
        <v>0.471</v>
      </c>
      <c r="N57" s="7" t="n">
        <v>0.781</v>
      </c>
      <c r="O57" t="n">
        <v>1146</v>
      </c>
      <c r="P57" t="n">
        <v>273.3</v>
      </c>
      <c r="Q57" t="inlineStr">
        <is>
          <t>2025-26 (1047 FGA)</t>
        </is>
      </c>
      <c r="R57" t="n">
        <v>93</v>
      </c>
      <c r="S57" t="n">
        <v>36</v>
      </c>
    </row>
    <row r="58">
      <c r="A58" t="inlineStr">
        <is>
          <t>Paul George</t>
        </is>
      </c>
      <c r="B58" t="inlineStr">
        <is>
          <t>BOS</t>
        </is>
      </c>
      <c r="C58" t="inlineStr">
        <is>
          <t>PF,SF</t>
        </is>
      </c>
      <c r="D58" t="n">
        <v>63</v>
      </c>
      <c r="E58" t="n">
        <v>2002</v>
      </c>
      <c r="F58" t="n">
        <v>1190</v>
      </c>
      <c r="G58" t="n">
        <v>339</v>
      </c>
      <c r="H58" t="n">
        <v>232</v>
      </c>
      <c r="I58" t="n">
        <v>90</v>
      </c>
      <c r="J58" t="n">
        <v>30</v>
      </c>
      <c r="K58" t="n">
        <v>197</v>
      </c>
      <c r="L58" t="n">
        <v>133</v>
      </c>
      <c r="M58" s="7" t="n">
        <v>0.447</v>
      </c>
      <c r="N58" s="7" t="n">
        <v>0.838</v>
      </c>
      <c r="O58" t="n">
        <v>918.5</v>
      </c>
      <c r="P58" t="n">
        <v>205</v>
      </c>
      <c r="Q58" t="inlineStr">
        <is>
          <t>2025-26 (513 FGA)</t>
        </is>
      </c>
      <c r="R58" t="n">
        <v>88</v>
      </c>
      <c r="S58" t="n">
        <v>85</v>
      </c>
    </row>
    <row r="59">
      <c r="A59" t="inlineStr">
        <is>
          <t>CJ McCollum</t>
        </is>
      </c>
      <c r="B59" t="inlineStr">
        <is>
          <t>ATL</t>
        </is>
      </c>
      <c r="C59" t="inlineStr">
        <is>
          <t>PG,SG</t>
        </is>
      </c>
      <c r="D59" t="n">
        <v>76</v>
      </c>
      <c r="E59" t="n">
        <v>2335</v>
      </c>
      <c r="F59" t="n">
        <v>1435</v>
      </c>
      <c r="G59" t="n">
        <v>245</v>
      </c>
      <c r="H59" t="n">
        <v>299</v>
      </c>
      <c r="I59" t="n">
        <v>61</v>
      </c>
      <c r="J59" t="n">
        <v>35</v>
      </c>
      <c r="K59" t="n">
        <v>200</v>
      </c>
      <c r="L59" t="n">
        <v>134</v>
      </c>
      <c r="M59" s="7" t="n">
        <v>0.457</v>
      </c>
      <c r="N59" s="7" t="n">
        <v>0.754</v>
      </c>
      <c r="O59" t="n">
        <v>1149.3</v>
      </c>
      <c r="P59" t="n">
        <v>244.8</v>
      </c>
      <c r="Q59" t="inlineStr">
        <is>
          <t>2025-26 (1154 FGA)</t>
        </is>
      </c>
      <c r="R59" t="n">
        <v>140</v>
      </c>
      <c r="S59" t="n">
        <v>84</v>
      </c>
    </row>
    <row r="60">
      <c r="A60" t="inlineStr">
        <is>
          <t>Darryn Peterson</t>
        </is>
      </c>
      <c r="B60" t="inlineStr">
        <is>
          <t>UTH</t>
        </is>
      </c>
      <c r="C60" t="inlineStr">
        <is>
          <t>PG,SG</t>
        </is>
      </c>
      <c r="D60" t="n">
        <v>76</v>
      </c>
      <c r="E60" t="n">
        <v>2360</v>
      </c>
      <c r="F60" t="n">
        <v>1434</v>
      </c>
      <c r="G60" t="n">
        <v>300</v>
      </c>
      <c r="H60" t="n">
        <v>242</v>
      </c>
      <c r="I60" t="n">
        <v>108</v>
      </c>
      <c r="J60" t="n">
        <v>20</v>
      </c>
      <c r="K60" t="n">
        <v>147</v>
      </c>
      <c r="L60" t="n">
        <v>160</v>
      </c>
      <c r="M60" s="7" t="n">
        <v>0.446</v>
      </c>
      <c r="N60" s="7" t="n">
        <v>0.8070000000000001</v>
      </c>
      <c r="O60" t="n">
        <v>1170.7</v>
      </c>
      <c r="P60" t="n">
        <v>300.8</v>
      </c>
      <c r="Q60" t="inlineStr">
        <is>
          <t>PG median</t>
        </is>
      </c>
      <c r="R60" t="n">
        <v>105</v>
      </c>
      <c r="S60" t="n">
        <v>121</v>
      </c>
    </row>
    <row r="61">
      <c r="A61" t="inlineStr">
        <is>
          <t>Evan Mobley</t>
        </is>
      </c>
      <c r="B61" t="inlineStr">
        <is>
          <t>CLE</t>
        </is>
      </c>
      <c r="C61" t="inlineStr">
        <is>
          <t>PF,C</t>
        </is>
      </c>
      <c r="D61" t="n">
        <v>72</v>
      </c>
      <c r="E61" t="n">
        <v>2345</v>
      </c>
      <c r="F61" t="n">
        <v>1354</v>
      </c>
      <c r="G61" t="n">
        <v>693</v>
      </c>
      <c r="H61" t="n">
        <v>262</v>
      </c>
      <c r="I61" t="n">
        <v>65</v>
      </c>
      <c r="J61" t="n">
        <v>118</v>
      </c>
      <c r="K61" t="n">
        <v>77</v>
      </c>
      <c r="L61" t="n">
        <v>145</v>
      </c>
      <c r="M61" s="7" t="n">
        <v>0.554</v>
      </c>
      <c r="N61" s="7" t="n">
        <v>0.67</v>
      </c>
      <c r="O61" t="n">
        <v>962.8</v>
      </c>
      <c r="P61" t="n">
        <v>313.8</v>
      </c>
      <c r="Q61" t="inlineStr">
        <is>
          <t>2025-26 (859 FGA)</t>
        </is>
      </c>
      <c r="R61" t="n">
        <v>32</v>
      </c>
      <c r="S61" t="n">
        <v>31</v>
      </c>
    </row>
    <row r="62">
      <c r="A62" t="inlineStr">
        <is>
          <t>Tyrese Haliburton</t>
        </is>
      </c>
      <c r="B62" t="inlineStr">
        <is>
          <t>IND</t>
        </is>
      </c>
      <c r="C62" t="inlineStr">
        <is>
          <t>PG,SG</t>
        </is>
      </c>
      <c r="D62" t="n">
        <v>71</v>
      </c>
      <c r="E62" t="n">
        <v>2379</v>
      </c>
      <c r="F62" t="n">
        <v>1335</v>
      </c>
      <c r="G62" t="n">
        <v>264</v>
      </c>
      <c r="H62" t="n">
        <v>691</v>
      </c>
      <c r="I62" t="n">
        <v>87</v>
      </c>
      <c r="J62" t="n">
        <v>44</v>
      </c>
      <c r="K62" t="n">
        <v>200</v>
      </c>
      <c r="L62" t="n">
        <v>131</v>
      </c>
      <c r="M62" s="7" t="n">
        <v>0.478</v>
      </c>
      <c r="N62" s="7" t="n">
        <v>0.852</v>
      </c>
      <c r="O62" t="n">
        <v>966.1</v>
      </c>
      <c r="P62" t="n">
        <v>248.2</v>
      </c>
      <c r="Q62" t="inlineStr">
        <is>
          <t>PG median</t>
        </is>
      </c>
      <c r="R62" t="n">
        <v>24</v>
      </c>
      <c r="S62" t="n">
        <v>65</v>
      </c>
    </row>
    <row r="63">
      <c r="A63" t="inlineStr">
        <is>
          <t>Darius Acuff Jr.</t>
        </is>
      </c>
      <c r="B63" t="inlineStr">
        <is>
          <t>SAC</t>
        </is>
      </c>
      <c r="C63" t="inlineStr">
        <is>
          <t>PG</t>
        </is>
      </c>
      <c r="D63" t="n">
        <v>76</v>
      </c>
      <c r="E63" t="n">
        <v>2394</v>
      </c>
      <c r="F63" t="n">
        <v>1410</v>
      </c>
      <c r="G63" t="n">
        <v>252</v>
      </c>
      <c r="H63" t="n">
        <v>500</v>
      </c>
      <c r="I63" t="n">
        <v>106</v>
      </c>
      <c r="J63" t="n">
        <v>20</v>
      </c>
      <c r="K63" t="n">
        <v>143</v>
      </c>
      <c r="L63" t="n">
        <v>259</v>
      </c>
      <c r="M63" s="7" t="n">
        <v>0.457</v>
      </c>
      <c r="N63" s="7" t="n">
        <v>0.8169999999999999</v>
      </c>
      <c r="O63" t="n">
        <v>1127.3</v>
      </c>
      <c r="P63" t="n">
        <v>289.6</v>
      </c>
      <c r="Q63" t="inlineStr">
        <is>
          <t>PG median</t>
        </is>
      </c>
      <c r="R63" t="n">
        <v>134</v>
      </c>
      <c r="S63" t="n">
        <v>152</v>
      </c>
    </row>
    <row r="64">
      <c r="A64" t="inlineStr">
        <is>
          <t>Scottie Barnes</t>
        </is>
      </c>
      <c r="B64" t="inlineStr">
        <is>
          <t>TOR</t>
        </is>
      </c>
      <c r="C64" t="inlineStr">
        <is>
          <t>C,PF,SF,SG</t>
        </is>
      </c>
      <c r="D64" t="n">
        <v>75</v>
      </c>
      <c r="E64" t="n">
        <v>2533</v>
      </c>
      <c r="F64" t="n">
        <v>1398</v>
      </c>
      <c r="G64" t="n">
        <v>560</v>
      </c>
      <c r="H64" t="n">
        <v>440</v>
      </c>
      <c r="I64" t="n">
        <v>104</v>
      </c>
      <c r="J64" t="n">
        <v>98</v>
      </c>
      <c r="K64" t="n">
        <v>76</v>
      </c>
      <c r="L64" t="n">
        <v>197</v>
      </c>
      <c r="M64" s="7" t="n">
        <v>0.487</v>
      </c>
      <c r="N64" s="7" t="n">
        <v>0.791</v>
      </c>
      <c r="O64" t="n">
        <v>1110.3</v>
      </c>
      <c r="P64" t="n">
        <v>304.2</v>
      </c>
      <c r="Q64" t="inlineStr">
        <is>
          <t>2025-26 (1123 FGA)</t>
        </is>
      </c>
      <c r="R64" t="n">
        <v>10</v>
      </c>
      <c r="S64" t="n">
        <v>25</v>
      </c>
    </row>
    <row r="65">
      <c r="A65" t="inlineStr">
        <is>
          <t>Kon Knueppel</t>
        </is>
      </c>
      <c r="B65" t="inlineStr">
        <is>
          <t>CHA</t>
        </is>
      </c>
      <c r="C65" t="inlineStr">
        <is>
          <t>SF,SG</t>
        </is>
      </c>
      <c r="D65" t="n">
        <v>78</v>
      </c>
      <c r="E65" t="n">
        <v>2569</v>
      </c>
      <c r="F65" t="n">
        <v>1448</v>
      </c>
      <c r="G65" t="n">
        <v>409</v>
      </c>
      <c r="H65" t="n">
        <v>265</v>
      </c>
      <c r="I65" t="n">
        <v>56</v>
      </c>
      <c r="J65" t="n">
        <v>19</v>
      </c>
      <c r="K65" t="n">
        <v>269</v>
      </c>
      <c r="L65" t="n">
        <v>157</v>
      </c>
      <c r="M65" s="7" t="n">
        <v>0.469</v>
      </c>
      <c r="N65" s="7" t="n">
        <v>0.867</v>
      </c>
      <c r="O65" t="n">
        <v>1049.1</v>
      </c>
      <c r="P65" t="n">
        <v>224.9</v>
      </c>
      <c r="Q65" t="inlineStr">
        <is>
          <t>2025-26 (1084 FGA)</t>
        </is>
      </c>
      <c r="R65" t="n">
        <v>39</v>
      </c>
      <c r="S65" t="n">
        <v>74</v>
      </c>
    </row>
    <row r="66">
      <c r="A66" t="inlineStr">
        <is>
          <t>Jimmy Butler III</t>
        </is>
      </c>
      <c r="B66" t="inlineStr">
        <is>
          <t>GSW</t>
        </is>
      </c>
      <c r="C66" t="inlineStr">
        <is>
          <t>PF,SF,SG</t>
        </is>
      </c>
      <c r="D66" t="n">
        <v>44</v>
      </c>
      <c r="E66" t="n">
        <v>1400</v>
      </c>
      <c r="F66" t="n">
        <v>805</v>
      </c>
      <c r="G66" t="n">
        <v>229</v>
      </c>
      <c r="H66" t="n">
        <v>216</v>
      </c>
      <c r="I66" t="n">
        <v>62</v>
      </c>
      <c r="J66" t="n">
        <v>13</v>
      </c>
      <c r="K66" t="n">
        <v>34</v>
      </c>
      <c r="L66" t="n">
        <v>64</v>
      </c>
      <c r="M66" s="7" t="n">
        <v>0.504</v>
      </c>
      <c r="N66" s="7" t="n">
        <v>0.848</v>
      </c>
      <c r="O66" t="n">
        <v>536.4</v>
      </c>
      <c r="P66" t="n">
        <v>271.6</v>
      </c>
      <c r="Q66" t="inlineStr">
        <is>
          <t>2025-26 (462 FGA)</t>
        </is>
      </c>
      <c r="R66" t="n">
        <v>176</v>
      </c>
      <c r="S66" t="n">
        <v>67</v>
      </c>
    </row>
    <row r="67">
      <c r="A67" t="inlineStr">
        <is>
          <t>Josh Giddey</t>
        </is>
      </c>
      <c r="B67" t="inlineStr">
        <is>
          <t>CHI</t>
        </is>
      </c>
      <c r="C67" t="inlineStr">
        <is>
          <t>PG,SG,SF</t>
        </is>
      </c>
      <c r="D67" t="n">
        <v>73</v>
      </c>
      <c r="E67" t="n">
        <v>2607</v>
      </c>
      <c r="F67" t="n">
        <v>1302</v>
      </c>
      <c r="G67" t="n">
        <v>621</v>
      </c>
      <c r="H67" t="n">
        <v>664</v>
      </c>
      <c r="I67" t="n">
        <v>88</v>
      </c>
      <c r="J67" t="n">
        <v>44</v>
      </c>
      <c r="K67" t="n">
        <v>135</v>
      </c>
      <c r="L67" t="n">
        <v>265</v>
      </c>
      <c r="M67" s="7" t="n">
        <v>0.451</v>
      </c>
      <c r="N67" s="7" t="n">
        <v>0.769</v>
      </c>
      <c r="O67" t="n">
        <v>1027</v>
      </c>
      <c r="P67" t="n">
        <v>312.9</v>
      </c>
      <c r="Q67" t="inlineStr">
        <is>
          <t>2025-26 (717 FGA)</t>
        </is>
      </c>
      <c r="R67" t="n">
        <v>29</v>
      </c>
      <c r="S67" t="n">
        <v>27</v>
      </c>
    </row>
    <row r="68">
      <c r="A68" t="inlineStr">
        <is>
          <t>Cameron Boozer</t>
        </is>
      </c>
      <c r="B68" t="inlineStr">
        <is>
          <t>MEM</t>
        </is>
      </c>
      <c r="C68" t="inlineStr">
        <is>
          <t>PF</t>
        </is>
      </c>
      <c r="D68" t="n">
        <v>75</v>
      </c>
      <c r="E68" t="n">
        <v>2420</v>
      </c>
      <c r="F68" t="n">
        <v>1338</v>
      </c>
      <c r="G68" t="n">
        <v>615</v>
      </c>
      <c r="H68" t="n">
        <v>226</v>
      </c>
      <c r="I68" t="n">
        <v>76</v>
      </c>
      <c r="J68" t="n">
        <v>69</v>
      </c>
      <c r="K68" t="n">
        <v>60</v>
      </c>
      <c r="L68" t="n">
        <v>173</v>
      </c>
      <c r="M68" s="7" t="n">
        <v>0.507</v>
      </c>
      <c r="N68" s="7" t="n">
        <v>0.755</v>
      </c>
      <c r="O68" t="n">
        <v>1068.7</v>
      </c>
      <c r="P68" t="n">
        <v>257.4</v>
      </c>
      <c r="Q68" t="inlineStr">
        <is>
          <t>PF median</t>
        </is>
      </c>
      <c r="R68" t="n">
        <v>65</v>
      </c>
      <c r="S68" t="n">
        <v>114</v>
      </c>
    </row>
    <row r="69">
      <c r="A69" t="inlineStr">
        <is>
          <t>Jalen Duren</t>
        </is>
      </c>
      <c r="B69" t="inlineStr">
        <is>
          <t>DET</t>
        </is>
      </c>
      <c r="C69" t="inlineStr">
        <is>
          <t>C</t>
        </is>
      </c>
      <c r="D69" t="n">
        <v>75</v>
      </c>
      <c r="E69" t="n">
        <v>2271</v>
      </c>
      <c r="F69" t="n">
        <v>1323</v>
      </c>
      <c r="G69" t="n">
        <v>841</v>
      </c>
      <c r="H69" t="n">
        <v>178</v>
      </c>
      <c r="I69" t="n">
        <v>64</v>
      </c>
      <c r="J69" t="n">
        <v>83</v>
      </c>
      <c r="K69" t="n">
        <v>0</v>
      </c>
      <c r="L69" t="n">
        <v>146</v>
      </c>
      <c r="M69" s="7" t="n">
        <v>0.658</v>
      </c>
      <c r="N69" s="7" t="n">
        <v>0.73</v>
      </c>
      <c r="O69" t="n">
        <v>789.1</v>
      </c>
      <c r="P69" t="n">
        <v>389.8</v>
      </c>
      <c r="Q69" t="inlineStr">
        <is>
          <t>2025-26 (803 FGA)</t>
        </is>
      </c>
      <c r="R69" t="n">
        <v>30</v>
      </c>
      <c r="S69" t="n">
        <v>54</v>
      </c>
    </row>
    <row r="70">
      <c r="A70" t="inlineStr">
        <is>
          <t>Domantas Sabonis</t>
        </is>
      </c>
      <c r="B70" t="inlineStr">
        <is>
          <t>SAC</t>
        </is>
      </c>
      <c r="C70" t="inlineStr">
        <is>
          <t>C,PF</t>
        </is>
      </c>
      <c r="D70" t="n">
        <v>74</v>
      </c>
      <c r="E70" t="n">
        <v>2524</v>
      </c>
      <c r="F70" t="n">
        <v>1290</v>
      </c>
      <c r="G70" t="n">
        <v>936</v>
      </c>
      <c r="H70" t="n">
        <v>432</v>
      </c>
      <c r="I70" t="n">
        <v>57</v>
      </c>
      <c r="J70" t="n">
        <v>32</v>
      </c>
      <c r="K70" t="n">
        <v>46</v>
      </c>
      <c r="L70" t="n">
        <v>214</v>
      </c>
      <c r="M70" s="7" t="n">
        <v>0.588</v>
      </c>
      <c r="N70" s="7" t="n">
        <v>0.738</v>
      </c>
      <c r="O70" t="n">
        <v>872.5</v>
      </c>
      <c r="P70" t="n">
        <v>295.2</v>
      </c>
      <c r="Q70" t="inlineStr">
        <is>
          <t>2025-26 (221 FGA)</t>
        </is>
      </c>
      <c r="R70" t="n">
        <v>36</v>
      </c>
      <c r="S70" t="n">
        <v>15</v>
      </c>
    </row>
    <row r="71">
      <c r="A71" t="inlineStr">
        <is>
          <t>Miles Bridges</t>
        </is>
      </c>
      <c r="B71" t="inlineStr">
        <is>
          <t>PHO</t>
        </is>
      </c>
      <c r="C71" t="inlineStr">
        <is>
          <t>SF,PF</t>
        </is>
      </c>
      <c r="D71" t="n">
        <v>75</v>
      </c>
      <c r="E71" t="n">
        <v>2295</v>
      </c>
      <c r="F71" t="n">
        <v>1305</v>
      </c>
      <c r="G71" t="n">
        <v>468</v>
      </c>
      <c r="H71" t="n">
        <v>237</v>
      </c>
      <c r="I71" t="n">
        <v>57</v>
      </c>
      <c r="J71" t="n">
        <v>40</v>
      </c>
      <c r="K71" t="n">
        <v>140</v>
      </c>
      <c r="L71" t="n">
        <v>117</v>
      </c>
      <c r="M71" s="7" t="n">
        <v>0.456</v>
      </c>
      <c r="N71" s="7" t="n">
        <v>0.844</v>
      </c>
      <c r="O71" t="n">
        <v>1042.6</v>
      </c>
      <c r="P71" t="n">
        <v>253.7</v>
      </c>
      <c r="Q71" t="inlineStr">
        <is>
          <t>2025-26 (1042 FGA)</t>
        </is>
      </c>
      <c r="R71" t="n">
        <v>116</v>
      </c>
      <c r="S71" t="n">
        <v>59</v>
      </c>
    </row>
    <row r="72">
      <c r="A72" t="inlineStr">
        <is>
          <t>Ty Jerome</t>
        </is>
      </c>
      <c r="B72" t="inlineStr">
        <is>
          <t>MEM</t>
        </is>
      </c>
      <c r="C72" t="inlineStr">
        <is>
          <t>PG,SG</t>
        </is>
      </c>
      <c r="D72" t="n">
        <v>71</v>
      </c>
      <c r="E72" t="n">
        <v>1816</v>
      </c>
      <c r="F72" t="n">
        <v>1241</v>
      </c>
      <c r="G72" t="n">
        <v>210</v>
      </c>
      <c r="H72" t="n">
        <v>358</v>
      </c>
      <c r="I72" t="n">
        <v>93</v>
      </c>
      <c r="J72" t="n">
        <v>11</v>
      </c>
      <c r="K72" t="n">
        <v>164</v>
      </c>
      <c r="L72" t="n">
        <v>135</v>
      </c>
      <c r="M72" s="7" t="n">
        <v>0.479</v>
      </c>
      <c r="N72" s="7" t="n">
        <v>0.872</v>
      </c>
      <c r="O72" t="n">
        <v>909.9</v>
      </c>
      <c r="P72" t="n">
        <v>235.4</v>
      </c>
      <c r="Q72" t="inlineStr">
        <is>
          <t>2025-26 (215 FGA)</t>
        </is>
      </c>
      <c r="R72" t="n">
        <v>112</v>
      </c>
      <c r="S72" t="n">
        <v>128</v>
      </c>
    </row>
    <row r="73">
      <c r="A73" t="inlineStr">
        <is>
          <t>Dillon Brooks</t>
        </is>
      </c>
      <c r="B73" t="inlineStr">
        <is>
          <t>PHO</t>
        </is>
      </c>
      <c r="C73" t="inlineStr">
        <is>
          <t>PF,SF,SG</t>
        </is>
      </c>
      <c r="D73" t="n">
        <v>74</v>
      </c>
      <c r="E73" t="n">
        <v>2291</v>
      </c>
      <c r="F73" t="n">
        <v>1281</v>
      </c>
      <c r="G73" t="n">
        <v>265</v>
      </c>
      <c r="H73" t="n">
        <v>131</v>
      </c>
      <c r="I73" t="n">
        <v>74</v>
      </c>
      <c r="J73" t="n">
        <v>16</v>
      </c>
      <c r="K73" t="n">
        <v>175</v>
      </c>
      <c r="L73" t="n">
        <v>107</v>
      </c>
      <c r="M73" s="7" t="n">
        <v>0.437</v>
      </c>
      <c r="N73" s="7" t="n">
        <v>0.84</v>
      </c>
      <c r="O73" t="n">
        <v>1048</v>
      </c>
      <c r="P73" t="n">
        <v>226.2</v>
      </c>
      <c r="Q73" t="inlineStr">
        <is>
          <t>2025-26 (959 FGA)</t>
        </is>
      </c>
      <c r="R73" t="n">
        <v>153</v>
      </c>
      <c r="S73" t="n">
        <v>138</v>
      </c>
    </row>
    <row r="74">
      <c r="A74" t="inlineStr">
        <is>
          <t>Kristaps Porzingis</t>
        </is>
      </c>
      <c r="B74" t="inlineStr">
        <is>
          <t>GSW</t>
        </is>
      </c>
      <c r="C74" t="inlineStr">
        <is>
          <t>PF,C</t>
        </is>
      </c>
      <c r="D74" t="n">
        <v>54</v>
      </c>
      <c r="E74" t="n">
        <v>1451</v>
      </c>
      <c r="F74" t="n">
        <v>934</v>
      </c>
      <c r="G74" t="n">
        <v>314</v>
      </c>
      <c r="H74" t="n">
        <v>113</v>
      </c>
      <c r="I74" t="n">
        <v>42</v>
      </c>
      <c r="J74" t="n">
        <v>68</v>
      </c>
      <c r="K74" t="n">
        <v>102</v>
      </c>
      <c r="L74" t="n">
        <v>73</v>
      </c>
      <c r="M74" s="7" t="n">
        <v>0.468</v>
      </c>
      <c r="N74" s="7" t="n">
        <v>0.825</v>
      </c>
      <c r="O74" t="n">
        <v>679</v>
      </c>
      <c r="P74" t="n">
        <v>238.1</v>
      </c>
      <c r="Q74" t="inlineStr">
        <is>
          <t>2025-26 (388 FGA)</t>
        </is>
      </c>
      <c r="R74" t="n">
        <v>128</v>
      </c>
      <c r="S74" t="n">
        <v>88</v>
      </c>
    </row>
    <row r="75">
      <c r="A75" t="inlineStr">
        <is>
          <t>Derrick White</t>
        </is>
      </c>
      <c r="B75" t="inlineStr">
        <is>
          <t>BOS</t>
        </is>
      </c>
      <c r="C75" t="inlineStr">
        <is>
          <t>PG,SG</t>
        </is>
      </c>
      <c r="D75" t="n">
        <v>78</v>
      </c>
      <c r="E75" t="n">
        <v>2677</v>
      </c>
      <c r="F75" t="n">
        <v>1338</v>
      </c>
      <c r="G75" t="n">
        <v>348</v>
      </c>
      <c r="H75" t="n">
        <v>387</v>
      </c>
      <c r="I75" t="n">
        <v>79</v>
      </c>
      <c r="J75" t="n">
        <v>87</v>
      </c>
      <c r="K75" t="n">
        <v>240</v>
      </c>
      <c r="L75" t="n">
        <v>147</v>
      </c>
      <c r="M75" s="7" t="n">
        <v>0.406</v>
      </c>
      <c r="N75" s="7" t="n">
        <v>0.882</v>
      </c>
      <c r="O75" t="n">
        <v>1115.6</v>
      </c>
      <c r="P75" t="n">
        <v>217.8</v>
      </c>
      <c r="Q75" t="inlineStr">
        <is>
          <t>2025-26 (1108 FGA)</t>
        </is>
      </c>
      <c r="R75" t="n">
        <v>47</v>
      </c>
      <c r="S75" t="n">
        <v>47</v>
      </c>
    </row>
    <row r="76">
      <c r="A76" t="inlineStr">
        <is>
          <t>Stephon Castle</t>
        </is>
      </c>
      <c r="B76" t="inlineStr">
        <is>
          <t>SAS</t>
        </is>
      </c>
      <c r="C76" t="inlineStr">
        <is>
          <t>PG,SG</t>
        </is>
      </c>
      <c r="D76" t="n">
        <v>75</v>
      </c>
      <c r="E76" t="n">
        <v>2376</v>
      </c>
      <c r="F76" t="n">
        <v>1292</v>
      </c>
      <c r="G76" t="n">
        <v>381</v>
      </c>
      <c r="H76" t="n">
        <v>501</v>
      </c>
      <c r="I76" t="n">
        <v>82</v>
      </c>
      <c r="J76" t="n">
        <v>22</v>
      </c>
      <c r="K76" t="n">
        <v>94</v>
      </c>
      <c r="L76" t="n">
        <v>228</v>
      </c>
      <c r="M76" s="7" t="n">
        <v>0.457</v>
      </c>
      <c r="N76" s="7" t="n">
        <v>0.737</v>
      </c>
      <c r="O76" t="n">
        <v>974.4</v>
      </c>
      <c r="P76" t="n">
        <v>417.1</v>
      </c>
      <c r="Q76" t="inlineStr">
        <is>
          <t>2025-26 (817 FGA)</t>
        </is>
      </c>
      <c r="R76" t="n">
        <v>56</v>
      </c>
      <c r="S76" t="n">
        <v>62</v>
      </c>
    </row>
    <row r="77">
      <c r="A77" t="inlineStr">
        <is>
          <t>Dejounte Murray</t>
        </is>
      </c>
      <c r="B77" t="inlineStr">
        <is>
          <t>NOR</t>
        </is>
      </c>
      <c r="C77" t="inlineStr">
        <is>
          <t>PG,SG</t>
        </is>
      </c>
      <c r="D77" t="n">
        <v>73</v>
      </c>
      <c r="E77" t="n">
        <v>2225</v>
      </c>
      <c r="F77" t="n">
        <v>1251</v>
      </c>
      <c r="G77" t="n">
        <v>392</v>
      </c>
      <c r="H77" t="n">
        <v>433</v>
      </c>
      <c r="I77" t="n">
        <v>102</v>
      </c>
      <c r="J77" t="n">
        <v>18</v>
      </c>
      <c r="K77" t="n">
        <v>120</v>
      </c>
      <c r="L77" t="n">
        <v>206</v>
      </c>
      <c r="M77" s="7" t="n">
        <v>0.439</v>
      </c>
      <c r="N77" s="7" t="n">
        <v>0.821</v>
      </c>
      <c r="O77" t="n">
        <v>1042.3</v>
      </c>
      <c r="P77" t="n">
        <v>263</v>
      </c>
      <c r="Q77" t="inlineStr">
        <is>
          <t>2025-26 (182 FGA)</t>
        </is>
      </c>
      <c r="R77" t="n">
        <v>69</v>
      </c>
      <c r="S77" t="n">
        <v>126</v>
      </c>
    </row>
    <row r="78">
      <c r="A78" t="inlineStr">
        <is>
          <t>OG Anunoby</t>
        </is>
      </c>
      <c r="B78" t="inlineStr">
        <is>
          <t>NYK</t>
        </is>
      </c>
      <c r="C78" t="inlineStr">
        <is>
          <t>SF,PF</t>
        </is>
      </c>
      <c r="D78" t="n">
        <v>73</v>
      </c>
      <c r="E78" t="n">
        <v>2542</v>
      </c>
      <c r="F78" t="n">
        <v>1241</v>
      </c>
      <c r="G78" t="n">
        <v>381</v>
      </c>
      <c r="H78" t="n">
        <v>153</v>
      </c>
      <c r="I78" t="n">
        <v>110</v>
      </c>
      <c r="J78" t="n">
        <v>62</v>
      </c>
      <c r="K78" t="n">
        <v>171</v>
      </c>
      <c r="L78" t="n">
        <v>119</v>
      </c>
      <c r="M78" s="7" t="n">
        <v>0.481</v>
      </c>
      <c r="N78" s="7" t="n">
        <v>0.823</v>
      </c>
      <c r="O78" t="n">
        <v>904.1</v>
      </c>
      <c r="P78" t="n">
        <v>243.3</v>
      </c>
      <c r="Q78" t="inlineStr">
        <is>
          <t>2025-26 (804 FGA)</t>
        </is>
      </c>
      <c r="R78" t="n">
        <v>62</v>
      </c>
      <c r="S78" t="n">
        <v>57</v>
      </c>
    </row>
    <row r="79">
      <c r="A79" t="inlineStr">
        <is>
          <t>DeMar DeRozan</t>
        </is>
      </c>
      <c r="B79" t="inlineStr">
        <is>
          <t>DEN</t>
        </is>
      </c>
      <c r="C79" t="inlineStr">
        <is>
          <t>PF,SF</t>
        </is>
      </c>
      <c r="D79" t="n">
        <v>77</v>
      </c>
      <c r="E79" t="n">
        <v>2277</v>
      </c>
      <c r="F79" t="n">
        <v>1282</v>
      </c>
      <c r="G79" t="n">
        <v>236</v>
      </c>
      <c r="H79" t="n">
        <v>278</v>
      </c>
      <c r="I79" t="n">
        <v>56</v>
      </c>
      <c r="J79" t="n">
        <v>26</v>
      </c>
      <c r="K79" t="n">
        <v>53</v>
      </c>
      <c r="L79" t="n">
        <v>81</v>
      </c>
      <c r="M79" s="7" t="n">
        <v>0.492</v>
      </c>
      <c r="N79" s="7" t="n">
        <v>0.86</v>
      </c>
      <c r="O79" t="n">
        <v>926.9</v>
      </c>
      <c r="P79" t="n">
        <v>368.6</v>
      </c>
      <c r="Q79" t="inlineStr">
        <is>
          <t>2025-26 (1005 FGA)</t>
        </is>
      </c>
      <c r="R79" t="n">
        <v>162</v>
      </c>
      <c r="S79" t="n">
        <v>44</v>
      </c>
    </row>
    <row r="80">
      <c r="A80" t="inlineStr">
        <is>
          <t>Immanuel Quickley</t>
        </is>
      </c>
      <c r="B80" t="inlineStr">
        <is>
          <t>TOR</t>
        </is>
      </c>
      <c r="C80" t="inlineStr">
        <is>
          <t>PG,SG</t>
        </is>
      </c>
      <c r="D80" t="n">
        <v>72</v>
      </c>
      <c r="E80" t="n">
        <v>2222</v>
      </c>
      <c r="F80" t="n">
        <v>1187</v>
      </c>
      <c r="G80" t="n">
        <v>279</v>
      </c>
      <c r="H80" t="n">
        <v>411</v>
      </c>
      <c r="I80" t="n">
        <v>79</v>
      </c>
      <c r="J80" t="n">
        <v>8</v>
      </c>
      <c r="K80" t="n">
        <v>181</v>
      </c>
      <c r="L80" t="n">
        <v>109</v>
      </c>
      <c r="M80" s="7" t="n">
        <v>0.439</v>
      </c>
      <c r="N80" s="7" t="n">
        <v>0.839</v>
      </c>
      <c r="O80" t="n">
        <v>936.5</v>
      </c>
      <c r="P80" t="n">
        <v>219</v>
      </c>
      <c r="Q80" t="inlineStr">
        <is>
          <t>2025-26 (905 FGA)</t>
        </is>
      </c>
      <c r="R80" t="n">
        <v>117</v>
      </c>
      <c r="S80" t="n">
        <v>111</v>
      </c>
    </row>
    <row r="81">
      <c r="A81" t="inlineStr">
        <is>
          <t>Amen Thompson</t>
        </is>
      </c>
      <c r="B81" t="inlineStr">
        <is>
          <t>HOU</t>
        </is>
      </c>
      <c r="C81" t="inlineStr">
        <is>
          <t>PG,SF,SG</t>
        </is>
      </c>
      <c r="D81" t="n">
        <v>78</v>
      </c>
      <c r="E81" t="n">
        <v>2787</v>
      </c>
      <c r="F81" t="n">
        <v>1294</v>
      </c>
      <c r="G81" t="n">
        <v>594</v>
      </c>
      <c r="H81" t="n">
        <v>372</v>
      </c>
      <c r="I81" t="n">
        <v>113</v>
      </c>
      <c r="J81" t="n">
        <v>63</v>
      </c>
      <c r="K81" t="n">
        <v>25</v>
      </c>
      <c r="L81" t="n">
        <v>176</v>
      </c>
      <c r="M81" s="7" t="n">
        <v>0.543</v>
      </c>
      <c r="N81" s="7" t="n">
        <v>0.757</v>
      </c>
      <c r="O81" t="n">
        <v>936.8</v>
      </c>
      <c r="P81" t="n">
        <v>332.4</v>
      </c>
      <c r="Q81" t="inlineStr">
        <is>
          <t>2025-26 (1044 FGA)</t>
        </is>
      </c>
      <c r="R81" t="n">
        <v>27</v>
      </c>
      <c r="S81" t="n">
        <v>16</v>
      </c>
    </row>
    <row r="82">
      <c r="A82" t="inlineStr">
        <is>
          <t>Payton Pritchard</t>
        </is>
      </c>
      <c r="B82" t="inlineStr">
        <is>
          <t>BOS</t>
        </is>
      </c>
      <c r="C82" t="inlineStr">
        <is>
          <t>PG,SG</t>
        </is>
      </c>
      <c r="D82" t="n">
        <v>75</v>
      </c>
      <c r="E82" t="n">
        <v>2302</v>
      </c>
      <c r="F82" t="n">
        <v>1234</v>
      </c>
      <c r="G82" t="n">
        <v>287</v>
      </c>
      <c r="H82" t="n">
        <v>332</v>
      </c>
      <c r="I82" t="n">
        <v>52</v>
      </c>
      <c r="J82" t="n">
        <v>8</v>
      </c>
      <c r="K82" t="n">
        <v>217</v>
      </c>
      <c r="L82" t="n">
        <v>100</v>
      </c>
      <c r="M82" s="7" t="n">
        <v>0.463</v>
      </c>
      <c r="N82" s="7" t="n">
        <v>0.878</v>
      </c>
      <c r="O82" t="n">
        <v>965.4</v>
      </c>
      <c r="P82" t="n">
        <v>140.1</v>
      </c>
      <c r="Q82" t="inlineStr">
        <is>
          <t>2025-26 (1091 FGA)</t>
        </is>
      </c>
      <c r="R82" t="n">
        <v>81</v>
      </c>
      <c r="S82" t="n">
        <v>89</v>
      </c>
    </row>
    <row r="83">
      <c r="A83" t="inlineStr">
        <is>
          <t>Nickeil Alexander-Walker</t>
        </is>
      </c>
      <c r="B83" t="inlineStr">
        <is>
          <t>ATL</t>
        </is>
      </c>
      <c r="C83" t="inlineStr">
        <is>
          <t>PG,SG</t>
        </is>
      </c>
      <c r="D83" t="n">
        <v>79</v>
      </c>
      <c r="E83" t="n">
        <v>2396</v>
      </c>
      <c r="F83" t="n">
        <v>1283</v>
      </c>
      <c r="G83" t="n">
        <v>245</v>
      </c>
      <c r="H83" t="n">
        <v>261</v>
      </c>
      <c r="I83" t="n">
        <v>81</v>
      </c>
      <c r="J83" t="n">
        <v>37</v>
      </c>
      <c r="K83" t="n">
        <v>203</v>
      </c>
      <c r="L83" t="n">
        <v>135</v>
      </c>
      <c r="M83" s="7" t="n">
        <v>0.449</v>
      </c>
      <c r="N83" s="7" t="n">
        <v>0.878</v>
      </c>
      <c r="O83" t="n">
        <v>961.2</v>
      </c>
      <c r="P83" t="n">
        <v>246.9</v>
      </c>
      <c r="Q83" t="inlineStr">
        <is>
          <t>2025-26 (1195 FGA)</t>
        </is>
      </c>
      <c r="R83" t="n">
        <v>60</v>
      </c>
      <c r="S83" t="n">
        <v>102</v>
      </c>
    </row>
    <row r="84">
      <c r="A84" t="inlineStr">
        <is>
          <t>Chet Holmgren</t>
        </is>
      </c>
      <c r="B84" t="inlineStr">
        <is>
          <t>OKC</t>
        </is>
      </c>
      <c r="C84" t="inlineStr">
        <is>
          <t>PF,C</t>
        </is>
      </c>
      <c r="D84" t="n">
        <v>72</v>
      </c>
      <c r="E84" t="n">
        <v>2059</v>
      </c>
      <c r="F84" t="n">
        <v>1168</v>
      </c>
      <c r="G84" t="n">
        <v>580</v>
      </c>
      <c r="H84" t="n">
        <v>124</v>
      </c>
      <c r="I84" t="n">
        <v>47</v>
      </c>
      <c r="J84" t="n">
        <v>134</v>
      </c>
      <c r="K84" t="n">
        <v>93</v>
      </c>
      <c r="L84" t="n">
        <v>109</v>
      </c>
      <c r="M84" s="7" t="n">
        <v>0.533</v>
      </c>
      <c r="N84" s="7" t="n">
        <v>0.788</v>
      </c>
      <c r="O84" t="n">
        <v>806.2</v>
      </c>
      <c r="P84" t="n">
        <v>273.5</v>
      </c>
      <c r="Q84" t="inlineStr">
        <is>
          <t>2025-26 (779 FGA)</t>
        </is>
      </c>
      <c r="R84" t="n">
        <v>18</v>
      </c>
      <c r="S84" t="n">
        <v>38</v>
      </c>
    </row>
    <row r="85">
      <c r="A85" t="inlineStr">
        <is>
          <t>John Collins</t>
        </is>
      </c>
      <c r="B85" t="inlineStr">
        <is>
          <t>DET</t>
        </is>
      </c>
      <c r="C85" t="inlineStr">
        <is>
          <t>PF,C</t>
        </is>
      </c>
      <c r="D85" t="n">
        <v>73</v>
      </c>
      <c r="E85" t="n">
        <v>2156</v>
      </c>
      <c r="F85" t="n">
        <v>1177</v>
      </c>
      <c r="G85" t="n">
        <v>529</v>
      </c>
      <c r="H85" t="n">
        <v>100</v>
      </c>
      <c r="I85" t="n">
        <v>68</v>
      </c>
      <c r="J85" t="n">
        <v>73</v>
      </c>
      <c r="K85" t="n">
        <v>98</v>
      </c>
      <c r="L85" t="n">
        <v>123</v>
      </c>
      <c r="M85" s="7" t="n">
        <v>0.54</v>
      </c>
      <c r="N85" s="7" t="n">
        <v>0.803</v>
      </c>
      <c r="O85" t="n">
        <v>850.3</v>
      </c>
      <c r="P85" t="n">
        <v>200.1</v>
      </c>
      <c r="Q85" t="inlineStr">
        <is>
          <t>2025-26 (659 FGA)</t>
        </is>
      </c>
      <c r="R85" t="n">
        <v>167</v>
      </c>
      <c r="S85" t="n">
        <v>101</v>
      </c>
    </row>
    <row r="86">
      <c r="A86" t="inlineStr">
        <is>
          <t>Caleb Wilson</t>
        </is>
      </c>
      <c r="B86" t="inlineStr">
        <is>
          <t>CHI</t>
        </is>
      </c>
      <c r="C86" t="inlineStr">
        <is>
          <t>PF,SF</t>
        </is>
      </c>
      <c r="D86" t="n">
        <v>75</v>
      </c>
      <c r="E86" t="n">
        <v>2418</v>
      </c>
      <c r="F86" t="n">
        <v>1198</v>
      </c>
      <c r="G86" t="n">
        <v>618</v>
      </c>
      <c r="H86" t="n">
        <v>160</v>
      </c>
      <c r="I86" t="n">
        <v>74</v>
      </c>
      <c r="J86" t="n">
        <v>111</v>
      </c>
      <c r="K86" t="n">
        <v>63</v>
      </c>
      <c r="L86" t="n">
        <v>142</v>
      </c>
      <c r="M86" s="7" t="n">
        <v>0.505</v>
      </c>
      <c r="N86" s="7" t="n">
        <v>0.746</v>
      </c>
      <c r="O86" t="n">
        <v>954.1</v>
      </c>
      <c r="P86" t="n">
        <v>229.8</v>
      </c>
      <c r="Q86" t="inlineStr">
        <is>
          <t>PF median</t>
        </is>
      </c>
      <c r="R86" t="n">
        <v>91</v>
      </c>
      <c r="S86" t="n">
        <v>120</v>
      </c>
    </row>
    <row r="87">
      <c r="A87" t="inlineStr">
        <is>
          <t>Andrew Wiggins</t>
        </is>
      </c>
      <c r="B87" t="inlineStr">
        <is>
          <t>MIA</t>
        </is>
      </c>
      <c r="C87" t="inlineStr">
        <is>
          <t>PF,SF,SG</t>
        </is>
      </c>
      <c r="D87" t="n">
        <v>73</v>
      </c>
      <c r="E87" t="n">
        <v>2215</v>
      </c>
      <c r="F87" t="n">
        <v>1150</v>
      </c>
      <c r="G87" t="n">
        <v>332</v>
      </c>
      <c r="H87" t="n">
        <v>195</v>
      </c>
      <c r="I87" t="n">
        <v>79</v>
      </c>
      <c r="J87" t="n">
        <v>68</v>
      </c>
      <c r="K87" t="n">
        <v>140</v>
      </c>
      <c r="L87" t="n">
        <v>108</v>
      </c>
      <c r="M87" s="7" t="n">
        <v>0.471</v>
      </c>
      <c r="N87" s="7" t="n">
        <v>0.77</v>
      </c>
      <c r="O87" t="n">
        <v>917.8</v>
      </c>
      <c r="P87" t="n">
        <v>188.9</v>
      </c>
      <c r="Q87" t="inlineStr">
        <is>
          <t>2025-26 (821 FGA)</t>
        </is>
      </c>
      <c r="R87" t="n">
        <v>136</v>
      </c>
      <c r="S87" t="n">
        <v>77</v>
      </c>
    </row>
    <row r="88">
      <c r="A88" t="inlineStr">
        <is>
          <t>Ivica Zubac</t>
        </is>
      </c>
      <c r="B88" t="inlineStr">
        <is>
          <t>IND</t>
        </is>
      </c>
      <c r="C88" t="inlineStr">
        <is>
          <t>C</t>
        </is>
      </c>
      <c r="D88" t="n">
        <v>74</v>
      </c>
      <c r="E88" t="n">
        <v>2311</v>
      </c>
      <c r="F88" t="n">
        <v>1160</v>
      </c>
      <c r="G88" t="n">
        <v>808</v>
      </c>
      <c r="H88" t="n">
        <v>186</v>
      </c>
      <c r="I88" t="n">
        <v>35</v>
      </c>
      <c r="J88" t="n">
        <v>77</v>
      </c>
      <c r="K88" t="n">
        <v>0</v>
      </c>
      <c r="L88" t="n">
        <v>108</v>
      </c>
      <c r="M88" s="7" t="n">
        <v>0.632</v>
      </c>
      <c r="N88" s="7" t="n">
        <v>0.6820000000000001</v>
      </c>
      <c r="O88" t="n">
        <v>788.3</v>
      </c>
      <c r="P88" t="n">
        <v>239.8</v>
      </c>
      <c r="Q88" t="inlineStr">
        <is>
          <t>2025-26 (482 FGA)</t>
        </is>
      </c>
      <c r="R88" t="n">
        <v>70</v>
      </c>
      <c r="S88" t="n">
        <v>35</v>
      </c>
    </row>
    <row r="89">
      <c r="A89" t="inlineStr">
        <is>
          <t>Collin Sexton</t>
        </is>
      </c>
      <c r="B89" t="inlineStr">
        <is>
          <t>LAL</t>
        </is>
      </c>
      <c r="C89" t="inlineStr">
        <is>
          <t>PG,SG</t>
        </is>
      </c>
      <c r="D89" t="n">
        <v>75</v>
      </c>
      <c r="E89" t="n">
        <v>1830</v>
      </c>
      <c r="F89" t="n">
        <v>1170</v>
      </c>
      <c r="G89" t="n">
        <v>168</v>
      </c>
      <c r="H89" t="n">
        <v>260</v>
      </c>
      <c r="I89" t="n">
        <v>67</v>
      </c>
      <c r="J89" t="n">
        <v>11</v>
      </c>
      <c r="K89" t="n">
        <v>109</v>
      </c>
      <c r="L89" t="n">
        <v>146</v>
      </c>
      <c r="M89" s="7" t="n">
        <v>0.492</v>
      </c>
      <c r="N89" s="7" t="n">
        <v>0.86</v>
      </c>
      <c r="O89" t="n">
        <v>839.6</v>
      </c>
      <c r="P89" t="n">
        <v>273.1</v>
      </c>
      <c r="Q89" t="inlineStr">
        <is>
          <t>2025-26 (742 FGA)</t>
        </is>
      </c>
      <c r="R89" t="n">
        <v>170</v>
      </c>
      <c r="S89" t="n">
        <v>178</v>
      </c>
    </row>
    <row r="90">
      <c r="A90" t="inlineStr">
        <is>
          <t>Mikel Brown Jr.</t>
        </is>
      </c>
      <c r="B90" t="inlineStr">
        <is>
          <t>BKN</t>
        </is>
      </c>
      <c r="C90" t="inlineStr">
        <is>
          <t>PG</t>
        </is>
      </c>
      <c r="D90" t="n">
        <v>75</v>
      </c>
      <c r="E90" t="n">
        <v>2347</v>
      </c>
      <c r="F90" t="n">
        <v>1150</v>
      </c>
      <c r="G90" t="n">
        <v>208</v>
      </c>
      <c r="H90" t="n">
        <v>366</v>
      </c>
      <c r="I90" t="n">
        <v>114</v>
      </c>
      <c r="J90" t="n">
        <v>16</v>
      </c>
      <c r="K90" t="n">
        <v>96</v>
      </c>
      <c r="L90" t="n">
        <v>231</v>
      </c>
      <c r="M90" s="7" t="n">
        <v>0.431</v>
      </c>
      <c r="N90" s="7" t="n">
        <v>0.796</v>
      </c>
      <c r="O90" t="n">
        <v>988.3</v>
      </c>
      <c r="P90" t="n">
        <v>253.9</v>
      </c>
      <c r="Q90" t="inlineStr">
        <is>
          <t>PG median</t>
        </is>
      </c>
      <c r="R90" t="n">
        <v>186</v>
      </c>
      <c r="S90" t="n">
        <v>198</v>
      </c>
    </row>
    <row r="91">
      <c r="A91" t="inlineStr">
        <is>
          <t>VJ Edgecombe</t>
        </is>
      </c>
      <c r="B91" t="inlineStr">
        <is>
          <t>PHI</t>
        </is>
      </c>
      <c r="C91" t="inlineStr">
        <is>
          <t>PG,SG</t>
        </is>
      </c>
      <c r="D91" t="n">
        <v>75</v>
      </c>
      <c r="E91" t="n">
        <v>2594</v>
      </c>
      <c r="F91" t="n">
        <v>1152</v>
      </c>
      <c r="G91" t="n">
        <v>420</v>
      </c>
      <c r="H91" t="n">
        <v>296</v>
      </c>
      <c r="I91" t="n">
        <v>101</v>
      </c>
      <c r="J91" t="n">
        <v>38</v>
      </c>
      <c r="K91" t="n">
        <v>142</v>
      </c>
      <c r="L91" t="n">
        <v>130</v>
      </c>
      <c r="M91" s="7" t="n">
        <v>0.456</v>
      </c>
      <c r="N91" s="7" t="n">
        <v>0.82</v>
      </c>
      <c r="O91" t="n">
        <v>946.6</v>
      </c>
      <c r="P91" t="n">
        <v>178.8</v>
      </c>
      <c r="Q91" t="inlineStr">
        <is>
          <t>2025-26 (1030 FGA)</t>
        </is>
      </c>
      <c r="R91" t="n">
        <v>68</v>
      </c>
      <c r="S91" t="n">
        <v>99</v>
      </c>
    </row>
    <row r="92">
      <c r="A92" t="inlineStr">
        <is>
          <t>Matas Buzelis</t>
        </is>
      </c>
      <c r="B92" t="inlineStr">
        <is>
          <t>CHI</t>
        </is>
      </c>
      <c r="C92" t="inlineStr">
        <is>
          <t>SF,PF</t>
        </is>
      </c>
      <c r="D92" t="n">
        <v>76</v>
      </c>
      <c r="E92" t="n">
        <v>2324</v>
      </c>
      <c r="F92" t="n">
        <v>1162</v>
      </c>
      <c r="G92" t="n">
        <v>412</v>
      </c>
      <c r="H92" t="n">
        <v>144</v>
      </c>
      <c r="I92" t="n">
        <v>50</v>
      </c>
      <c r="J92" t="n">
        <v>112</v>
      </c>
      <c r="K92" t="n">
        <v>155</v>
      </c>
      <c r="L92" t="n">
        <v>145</v>
      </c>
      <c r="M92" s="7" t="n">
        <v>0.461</v>
      </c>
      <c r="N92" s="7" t="n">
        <v>0.789</v>
      </c>
      <c r="O92" t="n">
        <v>901.6</v>
      </c>
      <c r="P92" t="n">
        <v>222.7</v>
      </c>
      <c r="Q92" t="inlineStr">
        <is>
          <t>2025-26 (963 FGA)</t>
        </is>
      </c>
      <c r="R92" t="n">
        <v>59</v>
      </c>
      <c r="S92" t="n">
        <v>115</v>
      </c>
    </row>
    <row r="93">
      <c r="A93" t="inlineStr">
        <is>
          <t>Mikal Bridges</t>
        </is>
      </c>
      <c r="B93" t="inlineStr">
        <is>
          <t>NYK</t>
        </is>
      </c>
      <c r="C93" t="inlineStr">
        <is>
          <t>PF,SF,SG</t>
        </is>
      </c>
      <c r="D93" t="n">
        <v>80</v>
      </c>
      <c r="E93" t="n">
        <v>2776</v>
      </c>
      <c r="F93" t="n">
        <v>1219</v>
      </c>
      <c r="G93" t="n">
        <v>294</v>
      </c>
      <c r="H93" t="n">
        <v>286</v>
      </c>
      <c r="I93" t="n">
        <v>93</v>
      </c>
      <c r="J93" t="n">
        <v>57</v>
      </c>
      <c r="K93" t="n">
        <v>152</v>
      </c>
      <c r="L93" t="n">
        <v>101</v>
      </c>
      <c r="M93" s="7" t="n">
        <v>0.489</v>
      </c>
      <c r="N93" s="7" t="n">
        <v>0.827</v>
      </c>
      <c r="O93" t="n">
        <v>986.2</v>
      </c>
      <c r="P93" t="n">
        <v>123.9</v>
      </c>
      <c r="Q93" t="inlineStr">
        <is>
          <t>2025-26 (963 FGA)</t>
        </is>
      </c>
      <c r="R93" t="n">
        <v>83</v>
      </c>
      <c r="S93" t="n">
        <v>56</v>
      </c>
    </row>
    <row r="94">
      <c r="A94" t="inlineStr">
        <is>
          <t>Jarrett Allen</t>
        </is>
      </c>
      <c r="B94" t="inlineStr">
        <is>
          <t>CLE</t>
        </is>
      </c>
      <c r="C94" t="inlineStr">
        <is>
          <t>C</t>
        </is>
      </c>
      <c r="D94" t="n">
        <v>75</v>
      </c>
      <c r="E94" t="n">
        <v>2191</v>
      </c>
      <c r="F94" t="n">
        <v>1128</v>
      </c>
      <c r="G94" t="n">
        <v>721</v>
      </c>
      <c r="H94" t="n">
        <v>152</v>
      </c>
      <c r="I94" t="n">
        <v>73</v>
      </c>
      <c r="J94" t="n">
        <v>73</v>
      </c>
      <c r="K94" t="n">
        <v>0</v>
      </c>
      <c r="L94" t="n">
        <v>99</v>
      </c>
      <c r="M94" s="7" t="n">
        <v>0.664</v>
      </c>
      <c r="N94" s="7" t="n">
        <v>0.717</v>
      </c>
      <c r="O94" t="n">
        <v>683.8</v>
      </c>
      <c r="P94" t="n">
        <v>306.6</v>
      </c>
      <c r="Q94" t="inlineStr">
        <is>
          <t>2025-26 (528 FGA)</t>
        </is>
      </c>
      <c r="R94" t="n">
        <v>85</v>
      </c>
      <c r="S94" t="n">
        <v>53</v>
      </c>
    </row>
    <row r="95">
      <c r="A95" t="inlineStr">
        <is>
          <t>Alex Sarr</t>
        </is>
      </c>
      <c r="B95" t="inlineStr">
        <is>
          <t>WAS</t>
        </is>
      </c>
      <c r="C95" t="inlineStr">
        <is>
          <t>C,PF</t>
        </is>
      </c>
      <c r="D95" t="n">
        <v>72</v>
      </c>
      <c r="E95" t="n">
        <v>2019</v>
      </c>
      <c r="F95" t="n">
        <v>1088</v>
      </c>
      <c r="G95" t="n">
        <v>499</v>
      </c>
      <c r="H95" t="n">
        <v>183</v>
      </c>
      <c r="I95" t="n">
        <v>52</v>
      </c>
      <c r="J95" t="n">
        <v>129</v>
      </c>
      <c r="K95" t="n">
        <v>82</v>
      </c>
      <c r="L95" t="n">
        <v>124</v>
      </c>
      <c r="M95" s="7" t="n">
        <v>0.458</v>
      </c>
      <c r="N95" s="7" t="n">
        <v>0.6850000000000001</v>
      </c>
      <c r="O95" t="n">
        <v>927</v>
      </c>
      <c r="P95" t="n">
        <v>229</v>
      </c>
      <c r="Q95" t="inlineStr">
        <is>
          <t>2025-26 (656 FGA)</t>
        </is>
      </c>
      <c r="R95" t="n">
        <v>61</v>
      </c>
      <c r="S95" t="n">
        <v>80</v>
      </c>
    </row>
    <row r="96">
      <c r="A96" t="inlineStr">
        <is>
          <t>Dylan Harper</t>
        </is>
      </c>
      <c r="B96" t="inlineStr">
        <is>
          <t>SAS</t>
        </is>
      </c>
      <c r="C96" t="inlineStr">
        <is>
          <t>PG,SG</t>
        </is>
      </c>
      <c r="D96" t="n">
        <v>75</v>
      </c>
      <c r="E96" t="n">
        <v>2168</v>
      </c>
      <c r="F96" t="n">
        <v>1131</v>
      </c>
      <c r="G96" t="n">
        <v>332</v>
      </c>
      <c r="H96" t="n">
        <v>352</v>
      </c>
      <c r="I96" t="n">
        <v>73</v>
      </c>
      <c r="J96" t="n">
        <v>30</v>
      </c>
      <c r="K96" t="n">
        <v>88</v>
      </c>
      <c r="L96" t="n">
        <v>137</v>
      </c>
      <c r="M96" s="7" t="n">
        <v>0.502</v>
      </c>
      <c r="N96" s="7" t="n">
        <v>0.787</v>
      </c>
      <c r="O96" t="n">
        <v>898.6</v>
      </c>
      <c r="P96" t="n">
        <v>178.9</v>
      </c>
      <c r="Q96" t="inlineStr">
        <is>
          <t>2025-26 (656 FGA)</t>
        </is>
      </c>
      <c r="R96" t="n">
        <v>86</v>
      </c>
      <c r="S96" t="n">
        <v>92</v>
      </c>
    </row>
    <row r="97">
      <c r="A97" t="inlineStr">
        <is>
          <t>Aaron Gordon</t>
        </is>
      </c>
      <c r="B97" t="inlineStr">
        <is>
          <t>DEN</t>
        </is>
      </c>
      <c r="C97" t="inlineStr">
        <is>
          <t>PF,C</t>
        </is>
      </c>
      <c r="D97" t="n">
        <v>72</v>
      </c>
      <c r="E97" t="n">
        <v>2119</v>
      </c>
      <c r="F97" t="n">
        <v>1081</v>
      </c>
      <c r="G97" t="n">
        <v>384</v>
      </c>
      <c r="H97" t="n">
        <v>209</v>
      </c>
      <c r="I97" t="n">
        <v>33</v>
      </c>
      <c r="J97" t="n">
        <v>23</v>
      </c>
      <c r="K97" t="n">
        <v>107</v>
      </c>
      <c r="L97" t="n">
        <v>90</v>
      </c>
      <c r="M97" s="7" t="n">
        <v>0.515</v>
      </c>
      <c r="N97" s="7" t="n">
        <v>0.79</v>
      </c>
      <c r="O97" t="n">
        <v>744.1</v>
      </c>
      <c r="P97" t="n">
        <v>262.8</v>
      </c>
      <c r="Q97" t="inlineStr">
        <is>
          <t>2025-26 (398 FGA)</t>
        </is>
      </c>
      <c r="R97" t="n">
        <v>138</v>
      </c>
      <c r="S97" t="n">
        <v>113</v>
      </c>
    </row>
    <row r="98">
      <c r="A98" t="inlineStr">
        <is>
          <t>Naz Reid</t>
        </is>
      </c>
      <c r="B98" t="inlineStr">
        <is>
          <t>CHA</t>
        </is>
      </c>
      <c r="C98" t="inlineStr">
        <is>
          <t>PF,C</t>
        </is>
      </c>
      <c r="D98" t="n">
        <v>77</v>
      </c>
      <c r="E98" t="n">
        <v>2243</v>
      </c>
      <c r="F98" t="n">
        <v>1144</v>
      </c>
      <c r="G98" t="n">
        <v>501</v>
      </c>
      <c r="H98" t="n">
        <v>179</v>
      </c>
      <c r="I98" t="n">
        <v>68</v>
      </c>
      <c r="J98" t="n">
        <v>74</v>
      </c>
      <c r="K98" t="n">
        <v>193</v>
      </c>
      <c r="L98" t="n">
        <v>129</v>
      </c>
      <c r="M98" s="7" t="n">
        <v>0.454</v>
      </c>
      <c r="N98" s="7" t="n">
        <v>0.745</v>
      </c>
      <c r="O98" t="n">
        <v>925.9</v>
      </c>
      <c r="P98" t="n">
        <v>148</v>
      </c>
      <c r="Q98" t="inlineStr">
        <is>
          <t>2025-26 (871 FGA)</t>
        </is>
      </c>
      <c r="R98" t="n">
        <v>67</v>
      </c>
      <c r="S98" t="n">
        <v>86</v>
      </c>
    </row>
    <row r="99">
      <c r="A99" t="inlineStr">
        <is>
          <t>Jonathan Kuminga</t>
        </is>
      </c>
      <c r="B99" t="inlineStr">
        <is>
          <t>MIN</t>
        </is>
      </c>
      <c r="C99" t="inlineStr">
        <is>
          <t>PF,SF</t>
        </is>
      </c>
      <c r="D99" t="n">
        <v>72</v>
      </c>
      <c r="E99" t="n">
        <v>1853</v>
      </c>
      <c r="F99" t="n">
        <v>1061</v>
      </c>
      <c r="G99" t="n">
        <v>392</v>
      </c>
      <c r="H99" t="n">
        <v>167</v>
      </c>
      <c r="I99" t="n">
        <v>54</v>
      </c>
      <c r="J99" t="n">
        <v>30</v>
      </c>
      <c r="K99" t="n">
        <v>72</v>
      </c>
      <c r="L99" t="n">
        <v>133</v>
      </c>
      <c r="M99" s="7" t="n">
        <v>0.474</v>
      </c>
      <c r="N99" s="7" t="n">
        <v>0.702</v>
      </c>
      <c r="O99" t="n">
        <v>844.6</v>
      </c>
      <c r="P99" t="n">
        <v>268.2</v>
      </c>
      <c r="Q99" t="inlineStr">
        <is>
          <t>2025-26 (339 FGA)</t>
        </is>
      </c>
      <c r="R99" t="n">
        <v>193</v>
      </c>
      <c r="S99" t="n">
        <v>144</v>
      </c>
    </row>
    <row r="100">
      <c r="A100" t="inlineStr">
        <is>
          <t>De'Andre Hunter</t>
        </is>
      </c>
      <c r="B100" t="inlineStr">
        <is>
          <t>SAC</t>
        </is>
      </c>
      <c r="C100" t="inlineStr">
        <is>
          <t>SF,PF</t>
        </is>
      </c>
      <c r="D100" t="n">
        <v>72</v>
      </c>
      <c r="E100" t="n">
        <v>1936</v>
      </c>
      <c r="F100" t="n">
        <v>1049</v>
      </c>
      <c r="G100" t="n">
        <v>270</v>
      </c>
      <c r="H100" t="n">
        <v>114</v>
      </c>
      <c r="I100" t="n">
        <v>48</v>
      </c>
      <c r="J100" t="n">
        <v>14</v>
      </c>
      <c r="K100" t="n">
        <v>133</v>
      </c>
      <c r="L100" t="n">
        <v>104</v>
      </c>
      <c r="M100" s="7" t="n">
        <v>0.455</v>
      </c>
      <c r="N100" s="7" t="n">
        <v>0.852</v>
      </c>
      <c r="O100" t="n">
        <v>801</v>
      </c>
      <c r="P100" t="n">
        <v>219.6</v>
      </c>
      <c r="Q100" t="inlineStr">
        <is>
          <t>2025-26 (501 FGA)</t>
        </is>
      </c>
      <c r="R100" t="n">
        <v>98</v>
      </c>
    </row>
    <row r="101">
      <c r="A101" t="inlineStr">
        <is>
          <t>Jerami Grant</t>
        </is>
      </c>
      <c r="B101" t="inlineStr">
        <is>
          <t>MEM</t>
        </is>
      </c>
      <c r="C101" t="inlineStr">
        <is>
          <t>SF,PF</t>
        </is>
      </c>
      <c r="D101" t="n">
        <v>73</v>
      </c>
      <c r="E101" t="n">
        <v>1929</v>
      </c>
      <c r="F101" t="n">
        <v>1060</v>
      </c>
      <c r="G101" t="n">
        <v>203</v>
      </c>
      <c r="H101" t="n">
        <v>135</v>
      </c>
      <c r="I101" t="n">
        <v>48</v>
      </c>
      <c r="J101" t="n">
        <v>41</v>
      </c>
      <c r="K101" t="n">
        <v>145</v>
      </c>
      <c r="L101" t="n">
        <v>108</v>
      </c>
      <c r="M101" s="7" t="n">
        <v>0.442</v>
      </c>
      <c r="N101" s="7" t="n">
        <v>0.824</v>
      </c>
      <c r="O101" t="n">
        <v>754.4</v>
      </c>
      <c r="P101" t="n">
        <v>301.1</v>
      </c>
      <c r="Q101" t="inlineStr">
        <is>
          <t>2025-26 (730 FGA)</t>
        </is>
      </c>
      <c r="S101" t="n">
        <v>176</v>
      </c>
    </row>
    <row r="102">
      <c r="A102" t="inlineStr">
        <is>
          <t>Keaton Wagler</t>
        </is>
      </c>
      <c r="B102" t="inlineStr">
        <is>
          <t>LAC</t>
        </is>
      </c>
      <c r="C102" t="inlineStr">
        <is>
          <t>PG,SG</t>
        </is>
      </c>
      <c r="D102" t="n">
        <v>74</v>
      </c>
      <c r="E102" t="n">
        <v>2016</v>
      </c>
      <c r="F102" t="n">
        <v>1060</v>
      </c>
      <c r="G102" t="n">
        <v>226</v>
      </c>
      <c r="H102" t="n">
        <v>314</v>
      </c>
      <c r="I102" t="n">
        <v>87</v>
      </c>
      <c r="J102" t="n">
        <v>14</v>
      </c>
      <c r="K102" t="n">
        <v>115</v>
      </c>
      <c r="L102" t="n">
        <v>166</v>
      </c>
      <c r="M102" s="7" t="n">
        <v>0.464</v>
      </c>
      <c r="N102" s="7" t="n">
        <v>0.8169999999999999</v>
      </c>
      <c r="O102" t="n">
        <v>830.5</v>
      </c>
      <c r="P102" t="n">
        <v>213.4</v>
      </c>
      <c r="Q102" t="inlineStr">
        <is>
          <t>PG median</t>
        </is>
      </c>
      <c r="R102" t="n">
        <v>195</v>
      </c>
      <c r="S102" t="n">
        <v>177</v>
      </c>
    </row>
    <row r="103">
      <c r="A103" t="inlineStr">
        <is>
          <t>Ayo Dosunmu</t>
        </is>
      </c>
      <c r="B103" t="inlineStr">
        <is>
          <t>MIN</t>
        </is>
      </c>
      <c r="C103" t="inlineStr">
        <is>
          <t>PG,SF,SG</t>
        </is>
      </c>
      <c r="D103" t="n">
        <v>75</v>
      </c>
      <c r="E103" t="n">
        <v>2177</v>
      </c>
      <c r="F103" t="n">
        <v>1072</v>
      </c>
      <c r="G103" t="n">
        <v>264</v>
      </c>
      <c r="H103" t="n">
        <v>287</v>
      </c>
      <c r="I103" t="n">
        <v>75</v>
      </c>
      <c r="J103" t="n">
        <v>24</v>
      </c>
      <c r="K103" t="n">
        <v>124</v>
      </c>
      <c r="L103" t="n">
        <v>106</v>
      </c>
      <c r="M103" s="7" t="n">
        <v>0.512</v>
      </c>
      <c r="N103" s="7" t="n">
        <v>0.858</v>
      </c>
      <c r="O103" t="n">
        <v>788.7</v>
      </c>
      <c r="P103" t="n">
        <v>163.6</v>
      </c>
      <c r="Q103" t="inlineStr">
        <is>
          <t>2025-26 (747 FGA)</t>
        </is>
      </c>
      <c r="R103" t="n">
        <v>127</v>
      </c>
      <c r="S103" t="n">
        <v>154</v>
      </c>
    </row>
    <row r="104">
      <c r="A104" t="inlineStr">
        <is>
          <t>Onyeka Okongwu</t>
        </is>
      </c>
      <c r="B104" t="inlineStr">
        <is>
          <t>ATL</t>
        </is>
      </c>
      <c r="C104" t="inlineStr">
        <is>
          <t>C</t>
        </is>
      </c>
      <c r="D104" t="n">
        <v>75</v>
      </c>
      <c r="E104" t="n">
        <v>2263</v>
      </c>
      <c r="F104" t="n">
        <v>1060</v>
      </c>
      <c r="G104" t="n">
        <v>564</v>
      </c>
      <c r="H104" t="n">
        <v>207</v>
      </c>
      <c r="I104" t="n">
        <v>75</v>
      </c>
      <c r="J104" t="n">
        <v>72</v>
      </c>
      <c r="K104" t="n">
        <v>113</v>
      </c>
      <c r="L104" t="n">
        <v>109</v>
      </c>
      <c r="M104" s="7" t="n">
        <v>0.506</v>
      </c>
      <c r="N104" s="7" t="n">
        <v>0.759</v>
      </c>
      <c r="O104" t="n">
        <v>786.9</v>
      </c>
      <c r="P104" t="n">
        <v>198.5</v>
      </c>
      <c r="Q104" t="inlineStr">
        <is>
          <t>2025-26 (860 FGA)</t>
        </is>
      </c>
      <c r="R104" t="n">
        <v>57</v>
      </c>
      <c r="S104" t="n">
        <v>78</v>
      </c>
    </row>
    <row r="105">
      <c r="A105" t="inlineStr">
        <is>
          <t>Tobias Harris</t>
        </is>
      </c>
      <c r="B105" t="inlineStr">
        <is>
          <t>SAS</t>
        </is>
      </c>
      <c r="C105" t="inlineStr">
        <is>
          <t>PF,SF</t>
        </is>
      </c>
      <c r="D105" t="n">
        <v>75</v>
      </c>
      <c r="E105" t="n">
        <v>2282</v>
      </c>
      <c r="F105" t="n">
        <v>1047</v>
      </c>
      <c r="G105" t="n">
        <v>426</v>
      </c>
      <c r="H105" t="n">
        <v>181</v>
      </c>
      <c r="I105" t="n">
        <v>69</v>
      </c>
      <c r="J105" t="n">
        <v>44</v>
      </c>
      <c r="K105" t="n">
        <v>100</v>
      </c>
      <c r="L105" t="n">
        <v>75</v>
      </c>
      <c r="M105" s="7" t="n">
        <v>0.474</v>
      </c>
      <c r="N105" s="7" t="n">
        <v>0.865</v>
      </c>
      <c r="O105" t="n">
        <v>820.2</v>
      </c>
      <c r="P105" t="n">
        <v>195.9</v>
      </c>
      <c r="Q105" t="inlineStr">
        <is>
          <t>2025-26 (659 FGA)</t>
        </is>
      </c>
      <c r="R105" t="n">
        <v>191</v>
      </c>
      <c r="S105" t="n">
        <v>109</v>
      </c>
    </row>
    <row r="106">
      <c r="A106" t="inlineStr">
        <is>
          <t>Cedric Coward</t>
        </is>
      </c>
      <c r="B106" t="inlineStr">
        <is>
          <t>MEM</t>
        </is>
      </c>
      <c r="C106" t="inlineStr">
        <is>
          <t>SF,SG</t>
        </is>
      </c>
      <c r="D106" t="n">
        <v>74</v>
      </c>
      <c r="E106" t="n">
        <v>2018</v>
      </c>
      <c r="F106" t="n">
        <v>1031</v>
      </c>
      <c r="G106" t="n">
        <v>428</v>
      </c>
      <c r="H106" t="n">
        <v>204</v>
      </c>
      <c r="I106" t="n">
        <v>49</v>
      </c>
      <c r="J106" t="n">
        <v>33</v>
      </c>
      <c r="K106" t="n">
        <v>116</v>
      </c>
      <c r="L106" t="n">
        <v>127</v>
      </c>
      <c r="M106" s="7" t="n">
        <v>0.481</v>
      </c>
      <c r="N106" s="7" t="n">
        <v>0.854</v>
      </c>
      <c r="O106" t="n">
        <v>776.3</v>
      </c>
      <c r="P106" t="n">
        <v>197</v>
      </c>
      <c r="Q106" t="inlineStr">
        <is>
          <t>2025-26 (648 FGA)</t>
        </is>
      </c>
      <c r="R106" t="n">
        <v>118</v>
      </c>
    </row>
    <row r="107">
      <c r="A107" t="inlineStr">
        <is>
          <t>Brandin Podziemski</t>
        </is>
      </c>
      <c r="B107" t="inlineStr">
        <is>
          <t>GSW</t>
        </is>
      </c>
      <c r="C107" t="inlineStr">
        <is>
          <t>PG,SG</t>
        </is>
      </c>
      <c r="D107" t="n">
        <v>79</v>
      </c>
      <c r="E107" t="n">
        <v>2346</v>
      </c>
      <c r="F107" t="n">
        <v>1105</v>
      </c>
      <c r="G107" t="n">
        <v>423</v>
      </c>
      <c r="H107" t="n">
        <v>299</v>
      </c>
      <c r="I107" t="n">
        <v>95</v>
      </c>
      <c r="J107" t="n">
        <v>16</v>
      </c>
      <c r="K107" t="n">
        <v>160</v>
      </c>
      <c r="L107" t="n">
        <v>128</v>
      </c>
      <c r="M107" s="7" t="n">
        <v>0.447</v>
      </c>
      <c r="N107" s="7" t="n">
        <v>0.786</v>
      </c>
      <c r="O107" t="n">
        <v>851.7</v>
      </c>
      <c r="P107" t="n">
        <v>233.6</v>
      </c>
      <c r="Q107" t="inlineStr">
        <is>
          <t>2025-26 (866 FGA)</t>
        </is>
      </c>
      <c r="R107" t="n">
        <v>147</v>
      </c>
      <c r="S107" t="n">
        <v>151</v>
      </c>
    </row>
    <row r="108">
      <c r="A108" t="inlineStr">
        <is>
          <t>Quentin Grimes</t>
        </is>
      </c>
      <c r="B108" t="inlineStr">
        <is>
          <t>LAL</t>
        </is>
      </c>
      <c r="C108" t="inlineStr">
        <is>
          <t>SG,SF</t>
        </is>
      </c>
      <c r="D108" t="n">
        <v>76</v>
      </c>
      <c r="E108" t="n">
        <v>2219</v>
      </c>
      <c r="F108" t="n">
        <v>1059</v>
      </c>
      <c r="G108" t="n">
        <v>300</v>
      </c>
      <c r="H108" t="n">
        <v>241</v>
      </c>
      <c r="I108" t="n">
        <v>67</v>
      </c>
      <c r="J108" t="n">
        <v>25</v>
      </c>
      <c r="K108" t="n">
        <v>147</v>
      </c>
      <c r="L108" t="n">
        <v>143</v>
      </c>
      <c r="M108" s="7" t="n">
        <v>0.462</v>
      </c>
      <c r="N108" s="7" t="n">
        <v>0.802</v>
      </c>
      <c r="O108" t="n">
        <v>786</v>
      </c>
      <c r="P108" t="n">
        <v>231.6</v>
      </c>
      <c r="Q108" t="inlineStr">
        <is>
          <t>2025-26 (755 FGA)</t>
        </is>
      </c>
      <c r="R108" t="n">
        <v>180</v>
      </c>
      <c r="S108" t="n">
        <v>166</v>
      </c>
    </row>
    <row r="109">
      <c r="A109" t="inlineStr">
        <is>
          <t>Cameron Johnson</t>
        </is>
      </c>
      <c r="B109" t="inlineStr">
        <is>
          <t>DEN</t>
        </is>
      </c>
      <c r="C109" t="inlineStr">
        <is>
          <t>PF,SF</t>
        </is>
      </c>
      <c r="D109" t="n">
        <v>73</v>
      </c>
      <c r="E109" t="n">
        <v>2205</v>
      </c>
      <c r="F109" t="n">
        <v>1017</v>
      </c>
      <c r="G109" t="n">
        <v>291</v>
      </c>
      <c r="H109" t="n">
        <v>193</v>
      </c>
      <c r="I109" t="n">
        <v>55</v>
      </c>
      <c r="J109" t="n">
        <v>33</v>
      </c>
      <c r="K109" t="n">
        <v>152</v>
      </c>
      <c r="L109" t="n">
        <v>80</v>
      </c>
      <c r="M109" s="7" t="n">
        <v>0.486</v>
      </c>
      <c r="N109" s="7" t="n">
        <v>0.86</v>
      </c>
      <c r="O109" t="n">
        <v>735.5</v>
      </c>
      <c r="P109" t="n">
        <v>174.5</v>
      </c>
      <c r="Q109" t="inlineStr">
        <is>
          <t>2025-26 (475 FGA)</t>
        </is>
      </c>
      <c r="R109" t="n">
        <v>126</v>
      </c>
      <c r="S109" t="n">
        <v>186</v>
      </c>
    </row>
    <row r="110">
      <c r="A110" t="inlineStr">
        <is>
          <t>Bennedict Mathurin</t>
        </is>
      </c>
      <c r="B110" t="inlineStr">
        <is>
          <t>NOR</t>
        </is>
      </c>
      <c r="C110" t="inlineStr">
        <is>
          <t>SG,SF</t>
        </is>
      </c>
      <c r="D110" t="n">
        <v>73</v>
      </c>
      <c r="E110" t="n">
        <v>1838</v>
      </c>
      <c r="F110" t="n">
        <v>1017</v>
      </c>
      <c r="G110" t="n">
        <v>321</v>
      </c>
      <c r="H110" t="n">
        <v>120</v>
      </c>
      <c r="I110" t="n">
        <v>43</v>
      </c>
      <c r="J110" t="n">
        <v>18</v>
      </c>
      <c r="K110" t="n">
        <v>80</v>
      </c>
      <c r="L110" t="n">
        <v>125</v>
      </c>
      <c r="M110" s="7" t="n">
        <v>0.442</v>
      </c>
      <c r="N110" s="7" t="n">
        <v>0.85</v>
      </c>
      <c r="O110" t="n">
        <v>748</v>
      </c>
      <c r="P110" t="n">
        <v>324.4</v>
      </c>
      <c r="Q110" t="inlineStr">
        <is>
          <t>2025-26 (677 FGA)</t>
        </is>
      </c>
      <c r="R110" t="n">
        <v>188</v>
      </c>
      <c r="S110" t="n">
        <v>125</v>
      </c>
    </row>
    <row r="111">
      <c r="A111" t="inlineStr">
        <is>
          <t>Jabari Smith Jr.</t>
        </is>
      </c>
      <c r="B111" t="inlineStr">
        <is>
          <t>HOU</t>
        </is>
      </c>
      <c r="C111" t="inlineStr">
        <is>
          <t>C,PF</t>
        </is>
      </c>
      <c r="D111" t="n">
        <v>76</v>
      </c>
      <c r="E111" t="n">
        <v>2453</v>
      </c>
      <c r="F111" t="n">
        <v>1051</v>
      </c>
      <c r="G111" t="n">
        <v>507</v>
      </c>
      <c r="H111" t="n">
        <v>115</v>
      </c>
      <c r="I111" t="n">
        <v>44</v>
      </c>
      <c r="J111" t="n">
        <v>61</v>
      </c>
      <c r="K111" t="n">
        <v>155</v>
      </c>
      <c r="L111" t="n">
        <v>93</v>
      </c>
      <c r="M111" s="7" t="n">
        <v>0.45</v>
      </c>
      <c r="N111" s="7" t="n">
        <v>0.79</v>
      </c>
      <c r="O111" t="n">
        <v>826</v>
      </c>
      <c r="P111" t="n">
        <v>193.1</v>
      </c>
      <c r="Q111" t="inlineStr">
        <is>
          <t>2025-26 (974 FGA)</t>
        </is>
      </c>
      <c r="R111" t="n">
        <v>115</v>
      </c>
      <c r="S111" t="n">
        <v>129</v>
      </c>
    </row>
    <row r="112">
      <c r="A112" t="inlineStr">
        <is>
          <t>Jaden McDaniels</t>
        </is>
      </c>
      <c r="B112" t="inlineStr">
        <is>
          <t>MIN</t>
        </is>
      </c>
      <c r="C112" t="inlineStr">
        <is>
          <t>PF,SF</t>
        </is>
      </c>
      <c r="D112" t="n">
        <v>76</v>
      </c>
      <c r="E112" t="n">
        <v>2413</v>
      </c>
      <c r="F112" t="n">
        <v>1055</v>
      </c>
      <c r="G112" t="n">
        <v>361</v>
      </c>
      <c r="H112" t="n">
        <v>186</v>
      </c>
      <c r="I112" t="n">
        <v>94</v>
      </c>
      <c r="J112" t="n">
        <v>73</v>
      </c>
      <c r="K112" t="n">
        <v>100</v>
      </c>
      <c r="L112" t="n">
        <v>118</v>
      </c>
      <c r="M112" s="7" t="n">
        <v>0.499</v>
      </c>
      <c r="N112" s="7" t="n">
        <v>0.83</v>
      </c>
      <c r="O112" t="n">
        <v>807.7</v>
      </c>
      <c r="P112" t="n">
        <v>179.4</v>
      </c>
      <c r="Q112" t="inlineStr">
        <is>
          <t>2025-26 (809 FGA)</t>
        </is>
      </c>
      <c r="R112" t="n">
        <v>84</v>
      </c>
      <c r="S112" t="n">
        <v>82</v>
      </c>
    </row>
    <row r="113">
      <c r="A113" t="inlineStr">
        <is>
          <t>Saddiq Bey</t>
        </is>
      </c>
      <c r="B113" t="inlineStr">
        <is>
          <t>NOR</t>
        </is>
      </c>
      <c r="C113" t="inlineStr">
        <is>
          <t>SF,PF</t>
        </is>
      </c>
      <c r="D113" t="n">
        <v>75</v>
      </c>
      <c r="E113" t="n">
        <v>1884</v>
      </c>
      <c r="F113" t="n">
        <v>1010</v>
      </c>
      <c r="G113" t="n">
        <v>326</v>
      </c>
      <c r="H113" t="n">
        <v>141</v>
      </c>
      <c r="I113" t="n">
        <v>53</v>
      </c>
      <c r="J113" t="n">
        <v>7</v>
      </c>
      <c r="K113" t="n">
        <v>120</v>
      </c>
      <c r="L113" t="n">
        <v>56</v>
      </c>
      <c r="M113" s="7" t="n">
        <v>0.454</v>
      </c>
      <c r="N113" s="7" t="n">
        <v>0.84</v>
      </c>
      <c r="O113" t="n">
        <v>770.1</v>
      </c>
      <c r="P113" t="n">
        <v>227.1</v>
      </c>
      <c r="Q113" t="inlineStr">
        <is>
          <t>2025-26 (967 FGA)</t>
        </is>
      </c>
      <c r="R113" t="n">
        <v>190</v>
      </c>
      <c r="S113" t="n">
        <v>167</v>
      </c>
    </row>
    <row r="114">
      <c r="A114" t="inlineStr">
        <is>
          <t>Ace Bailey</t>
        </is>
      </c>
      <c r="B114" t="inlineStr">
        <is>
          <t>UTH</t>
        </is>
      </c>
      <c r="C114" t="inlineStr">
        <is>
          <t>PF,SF</t>
        </is>
      </c>
      <c r="D114" t="n">
        <v>75</v>
      </c>
      <c r="E114" t="n">
        <v>2094</v>
      </c>
      <c r="F114" t="n">
        <v>1011</v>
      </c>
      <c r="G114" t="n">
        <v>294</v>
      </c>
      <c r="H114" t="n">
        <v>132</v>
      </c>
      <c r="I114" t="n">
        <v>61</v>
      </c>
      <c r="J114" t="n">
        <v>48</v>
      </c>
      <c r="K114" t="n">
        <v>144</v>
      </c>
      <c r="L114" t="n">
        <v>106</v>
      </c>
      <c r="M114" s="7" t="n">
        <v>0.448</v>
      </c>
      <c r="N114" s="7" t="n">
        <v>0.754</v>
      </c>
      <c r="O114" t="n">
        <v>875.7</v>
      </c>
      <c r="P114" t="n">
        <v>109.2</v>
      </c>
      <c r="Q114" t="inlineStr">
        <is>
          <t>2025-26 (892 FGA)</t>
        </is>
      </c>
      <c r="R114" t="n">
        <v>158</v>
      </c>
      <c r="S114" t="n">
        <v>136</v>
      </c>
    </row>
    <row r="115">
      <c r="A115" t="inlineStr">
        <is>
          <t>Shaedon Sharpe</t>
        </is>
      </c>
      <c r="B115" t="inlineStr">
        <is>
          <t>POR</t>
        </is>
      </c>
      <c r="C115" t="inlineStr">
        <is>
          <t>PG,SF,SG</t>
        </is>
      </c>
      <c r="D115" t="n">
        <v>18</v>
      </c>
      <c r="E115" t="n">
        <v>395</v>
      </c>
      <c r="F115" t="n">
        <v>243</v>
      </c>
      <c r="G115" t="n">
        <v>56</v>
      </c>
      <c r="H115" t="n">
        <v>33</v>
      </c>
      <c r="I115" t="n">
        <v>15</v>
      </c>
      <c r="J115" t="n">
        <v>1</v>
      </c>
      <c r="K115" t="n">
        <v>25</v>
      </c>
      <c r="L115" t="n">
        <v>32</v>
      </c>
      <c r="M115" s="7" t="n">
        <v>0.46</v>
      </c>
      <c r="N115" s="7" t="n">
        <v>0.785</v>
      </c>
      <c r="O115" t="n">
        <v>197.7</v>
      </c>
      <c r="P115" t="n">
        <v>46</v>
      </c>
      <c r="Q115" t="inlineStr">
        <is>
          <t>2025-26 (868 FGA)</t>
        </is>
      </c>
      <c r="R115" t="n">
        <v>149</v>
      </c>
      <c r="S115" t="n">
        <v>108</v>
      </c>
    </row>
    <row r="116">
      <c r="A116" t="inlineStr">
        <is>
          <t>P.J. Washington Jr.</t>
        </is>
      </c>
      <c r="B116" t="inlineStr">
        <is>
          <t>DAL</t>
        </is>
      </c>
      <c r="C116" t="inlineStr">
        <is>
          <t>C,PF,SF</t>
        </is>
      </c>
      <c r="D116" t="n">
        <v>71</v>
      </c>
      <c r="E116" t="n">
        <v>2158</v>
      </c>
      <c r="F116" t="n">
        <v>956</v>
      </c>
      <c r="G116" t="n">
        <v>465</v>
      </c>
      <c r="H116" t="n">
        <v>137</v>
      </c>
      <c r="I116" t="n">
        <v>67</v>
      </c>
      <c r="J116" t="n">
        <v>64</v>
      </c>
      <c r="K116" t="n">
        <v>96</v>
      </c>
      <c r="L116" t="n">
        <v>114</v>
      </c>
      <c r="M116" s="7" t="n">
        <v>0.45</v>
      </c>
      <c r="N116" s="7" t="n">
        <v>0.701</v>
      </c>
      <c r="O116" t="n">
        <v>780.3</v>
      </c>
      <c r="P116" t="n">
        <v>225</v>
      </c>
      <c r="Q116" t="inlineStr">
        <is>
          <t>2025-26 (658 FGA)</t>
        </is>
      </c>
      <c r="R116" t="n">
        <v>179</v>
      </c>
      <c r="S116" t="n">
        <v>173</v>
      </c>
    </row>
    <row r="117">
      <c r="A117" t="inlineStr">
        <is>
          <t>Jalen Suggs</t>
        </is>
      </c>
      <c r="B117" t="inlineStr">
        <is>
          <t>ORL</t>
        </is>
      </c>
      <c r="C117" t="inlineStr">
        <is>
          <t>PG,SG</t>
        </is>
      </c>
      <c r="D117" t="n">
        <v>70</v>
      </c>
      <c r="E117" t="n">
        <v>1922</v>
      </c>
      <c r="F117" t="n">
        <v>940</v>
      </c>
      <c r="G117" t="n">
        <v>257</v>
      </c>
      <c r="H117" t="n">
        <v>300</v>
      </c>
      <c r="I117" t="n">
        <v>108</v>
      </c>
      <c r="J117" t="n">
        <v>49</v>
      </c>
      <c r="K117" t="n">
        <v>138</v>
      </c>
      <c r="L117" t="n">
        <v>167</v>
      </c>
      <c r="M117" s="7" t="n">
        <v>0.43</v>
      </c>
      <c r="N117" s="7" t="n">
        <v>0.851</v>
      </c>
      <c r="O117" t="n">
        <v>779.6</v>
      </c>
      <c r="P117" t="n">
        <v>154.6</v>
      </c>
      <c r="Q117" t="inlineStr">
        <is>
          <t>2025-26 (649 FGA)</t>
        </is>
      </c>
      <c r="R117" t="n">
        <v>131</v>
      </c>
      <c r="S117" t="n">
        <v>135</v>
      </c>
    </row>
    <row r="118">
      <c r="A118" t="inlineStr">
        <is>
          <t>Andrew Nembhard</t>
        </is>
      </c>
      <c r="B118" t="inlineStr">
        <is>
          <t>IND</t>
        </is>
      </c>
      <c r="C118" t="inlineStr">
        <is>
          <t>PG,SG</t>
        </is>
      </c>
      <c r="D118" t="n">
        <v>75</v>
      </c>
      <c r="E118" t="n">
        <v>2405</v>
      </c>
      <c r="F118" t="n">
        <v>997</v>
      </c>
      <c r="G118" t="n">
        <v>231</v>
      </c>
      <c r="H118" t="n">
        <v>471</v>
      </c>
      <c r="I118" t="n">
        <v>80</v>
      </c>
      <c r="J118" t="n">
        <v>10</v>
      </c>
      <c r="K118" t="n">
        <v>96</v>
      </c>
      <c r="L118" t="n">
        <v>149</v>
      </c>
      <c r="M118" s="7" t="n">
        <v>0.467</v>
      </c>
      <c r="N118" s="7" t="n">
        <v>0.8100000000000001</v>
      </c>
      <c r="O118" t="n">
        <v>765.8</v>
      </c>
      <c r="P118" t="n">
        <v>229.3</v>
      </c>
      <c r="Q118" t="inlineStr">
        <is>
          <t>2025-26 (753 FGA)</t>
        </is>
      </c>
      <c r="R118" t="n">
        <v>182</v>
      </c>
      <c r="S118" t="n">
        <v>97</v>
      </c>
    </row>
    <row r="119">
      <c r="A119" t="inlineStr">
        <is>
          <t>Jaime Jaquez Jr.</t>
        </is>
      </c>
      <c r="B119" t="inlineStr">
        <is>
          <t>MIL</t>
        </is>
      </c>
      <c r="C119" t="inlineStr">
        <is>
          <t>PF,SF,SG</t>
        </is>
      </c>
      <c r="D119" t="n">
        <v>76</v>
      </c>
      <c r="E119" t="n">
        <v>2048</v>
      </c>
      <c r="F119" t="n">
        <v>1009</v>
      </c>
      <c r="G119" t="n">
        <v>340</v>
      </c>
      <c r="H119" t="n">
        <v>302</v>
      </c>
      <c r="I119" t="n">
        <v>53</v>
      </c>
      <c r="J119" t="n">
        <v>20</v>
      </c>
      <c r="K119" t="n">
        <v>57</v>
      </c>
      <c r="L119" t="n">
        <v>149</v>
      </c>
      <c r="M119" s="7" t="n">
        <v>0.497</v>
      </c>
      <c r="N119" s="7" t="n">
        <v>0.765</v>
      </c>
      <c r="O119" t="n">
        <v>810</v>
      </c>
      <c r="P119" t="n">
        <v>191.9</v>
      </c>
      <c r="Q119" t="inlineStr">
        <is>
          <t>2025-26 (915 FGA)</t>
        </is>
      </c>
      <c r="R119" t="n">
        <v>123</v>
      </c>
      <c r="S119" t="n">
        <v>161</v>
      </c>
    </row>
    <row r="120">
      <c r="A120" t="inlineStr">
        <is>
          <t>Jeremiah Fears</t>
        </is>
      </c>
      <c r="B120" t="inlineStr">
        <is>
          <t>NOR</t>
        </is>
      </c>
      <c r="C120" t="inlineStr">
        <is>
          <t>PG,SG</t>
        </is>
      </c>
      <c r="D120" t="n">
        <v>78</v>
      </c>
      <c r="E120" t="n">
        <v>1887</v>
      </c>
      <c r="F120" t="n">
        <v>1028</v>
      </c>
      <c r="G120" t="n">
        <v>262</v>
      </c>
      <c r="H120" t="n">
        <v>237</v>
      </c>
      <c r="I120" t="n">
        <v>81</v>
      </c>
      <c r="J120" t="n">
        <v>26</v>
      </c>
      <c r="K120" t="n">
        <v>91</v>
      </c>
      <c r="L120" t="n">
        <v>154</v>
      </c>
      <c r="M120" s="7" t="n">
        <v>0.443</v>
      </c>
      <c r="N120" s="7" t="n">
        <v>0.801</v>
      </c>
      <c r="O120" t="n">
        <v>864.8</v>
      </c>
      <c r="P120" t="n">
        <v>213.2</v>
      </c>
      <c r="Q120" t="inlineStr">
        <is>
          <t>2025-26 (1006 FGA)</t>
        </is>
      </c>
      <c r="R120" t="n">
        <v>164</v>
      </c>
      <c r="S120" t="n">
        <v>168</v>
      </c>
    </row>
    <row r="121">
      <c r="A121" t="inlineStr">
        <is>
          <t>Devin Vassell</t>
        </is>
      </c>
      <c r="B121" t="inlineStr">
        <is>
          <t>SAS</t>
        </is>
      </c>
      <c r="C121" t="inlineStr">
        <is>
          <t>SG,SF</t>
        </is>
      </c>
      <c r="D121" t="n">
        <v>74</v>
      </c>
      <c r="E121" t="n">
        <v>2059</v>
      </c>
      <c r="F121" t="n">
        <v>973</v>
      </c>
      <c r="G121" t="n">
        <v>265</v>
      </c>
      <c r="H121" t="n">
        <v>181</v>
      </c>
      <c r="I121" t="n">
        <v>67</v>
      </c>
      <c r="J121" t="n">
        <v>29</v>
      </c>
      <c r="K121" t="n">
        <v>151</v>
      </c>
      <c r="L121" t="n">
        <v>73</v>
      </c>
      <c r="M121" s="7" t="n">
        <v>0.446</v>
      </c>
      <c r="N121" s="7" t="n">
        <v>0.8070000000000001</v>
      </c>
      <c r="O121" t="n">
        <v>790.9</v>
      </c>
      <c r="P121" t="n">
        <v>144.4</v>
      </c>
      <c r="Q121" t="inlineStr">
        <is>
          <t>2025-26 (755 FGA)</t>
        </is>
      </c>
      <c r="R121" t="n">
        <v>163</v>
      </c>
      <c r="S121" t="n">
        <v>119</v>
      </c>
    </row>
    <row r="122">
      <c r="A122" t="inlineStr">
        <is>
          <t>Ryan Rollins</t>
        </is>
      </c>
      <c r="B122" t="inlineStr">
        <is>
          <t>MIL</t>
        </is>
      </c>
      <c r="C122" t="inlineStr">
        <is>
          <t>PG,SG</t>
        </is>
      </c>
      <c r="D122" t="n">
        <v>74</v>
      </c>
      <c r="E122" t="n">
        <v>1926</v>
      </c>
      <c r="F122" t="n">
        <v>967</v>
      </c>
      <c r="G122" t="n">
        <v>255</v>
      </c>
      <c r="H122" t="n">
        <v>314</v>
      </c>
      <c r="I122" t="n">
        <v>87</v>
      </c>
      <c r="J122" t="n">
        <v>26</v>
      </c>
      <c r="K122" t="n">
        <v>138</v>
      </c>
      <c r="L122" t="n">
        <v>154</v>
      </c>
      <c r="M122" s="7" t="n">
        <v>0.466</v>
      </c>
      <c r="N122" s="7" t="n">
        <v>0.798</v>
      </c>
      <c r="O122" t="n">
        <v>776.8</v>
      </c>
      <c r="P122" t="n">
        <v>131.6</v>
      </c>
      <c r="Q122" t="inlineStr">
        <is>
          <t>2025-26 (1030 FGA)</t>
        </is>
      </c>
      <c r="R122" t="n">
        <v>75</v>
      </c>
      <c r="S122" t="n">
        <v>116</v>
      </c>
    </row>
    <row r="123">
      <c r="A123" t="inlineStr">
        <is>
          <t>Keegan Murray</t>
        </is>
      </c>
      <c r="B123" t="inlineStr">
        <is>
          <t>SAC</t>
        </is>
      </c>
      <c r="C123" t="inlineStr">
        <is>
          <t>SF,PF</t>
        </is>
      </c>
      <c r="D123" t="n">
        <v>75</v>
      </c>
      <c r="E123" t="n">
        <v>2567</v>
      </c>
      <c r="F123" t="n">
        <v>978</v>
      </c>
      <c r="G123" t="n">
        <v>438</v>
      </c>
      <c r="H123" t="n">
        <v>114</v>
      </c>
      <c r="I123" t="n">
        <v>65</v>
      </c>
      <c r="J123" t="n">
        <v>79</v>
      </c>
      <c r="K123" t="n">
        <v>144</v>
      </c>
      <c r="L123" t="n">
        <v>69</v>
      </c>
      <c r="M123" s="7" t="n">
        <v>0.447</v>
      </c>
      <c r="N123" s="7" t="n">
        <v>0.8139999999999999</v>
      </c>
      <c r="O123" t="n">
        <v>791.4</v>
      </c>
      <c r="P123" t="n">
        <v>155.4</v>
      </c>
      <c r="Q123" t="inlineStr">
        <is>
          <t>2025-26 (300 FGA)</t>
        </is>
      </c>
      <c r="R123" t="n">
        <v>187</v>
      </c>
      <c r="S123" t="n">
        <v>123</v>
      </c>
    </row>
    <row r="124">
      <c r="A124" t="inlineStr">
        <is>
          <t>Anfernee Simons</t>
        </is>
      </c>
      <c r="B124" t="inlineStr">
        <is>
          <t>PHI</t>
        </is>
      </c>
      <c r="C124" t="inlineStr">
        <is>
          <t>PG,SG</t>
        </is>
      </c>
      <c r="D124" t="n">
        <v>72</v>
      </c>
      <c r="E124" t="n">
        <v>1707</v>
      </c>
      <c r="F124" t="n">
        <v>944</v>
      </c>
      <c r="G124" t="n">
        <v>155</v>
      </c>
      <c r="H124" t="n">
        <v>204</v>
      </c>
      <c r="I124" t="n">
        <v>37</v>
      </c>
      <c r="J124" t="n">
        <v>8</v>
      </c>
      <c r="K124" t="n">
        <v>151</v>
      </c>
      <c r="L124" t="n">
        <v>91</v>
      </c>
      <c r="M124" s="7" t="n">
        <v>0.442</v>
      </c>
      <c r="N124" s="7" t="n">
        <v>0.901</v>
      </c>
      <c r="O124" t="n">
        <v>777.1</v>
      </c>
      <c r="P124" t="n">
        <v>117.7</v>
      </c>
      <c r="Q124" t="inlineStr">
        <is>
          <t>2025-26 (648 FGA)</t>
        </is>
      </c>
      <c r="R124" t="n">
        <v>146</v>
      </c>
      <c r="S124" t="n">
        <v>95</v>
      </c>
    </row>
    <row r="125">
      <c r="A125" t="inlineStr">
        <is>
          <t>Fred VanVleet</t>
        </is>
      </c>
      <c r="B125" t="inlineStr">
        <is>
          <t>HOU</t>
        </is>
      </c>
      <c r="C125" t="inlineStr">
        <is>
          <t>PG,SG</t>
        </is>
      </c>
      <c r="D125" t="n">
        <v>73</v>
      </c>
      <c r="E125" t="n">
        <v>2370</v>
      </c>
      <c r="F125" t="n">
        <v>957</v>
      </c>
      <c r="G125" t="n">
        <v>245</v>
      </c>
      <c r="H125" t="n">
        <v>397</v>
      </c>
      <c r="I125" t="n">
        <v>92</v>
      </c>
      <c r="J125" t="n">
        <v>33</v>
      </c>
      <c r="K125" t="n">
        <v>178</v>
      </c>
      <c r="L125" t="n">
        <v>103</v>
      </c>
      <c r="M125" s="7" t="n">
        <v>0.398</v>
      </c>
      <c r="N125" s="7" t="n">
        <v>0.839</v>
      </c>
      <c r="O125" t="n">
        <v>770.1</v>
      </c>
      <c r="P125" t="n">
        <v>197.8</v>
      </c>
      <c r="Q125" t="inlineStr">
        <is>
          <t>PG median</t>
        </is>
      </c>
      <c r="R125" t="n">
        <v>183</v>
      </c>
      <c r="S125" t="n">
        <v>157</v>
      </c>
    </row>
    <row r="126">
      <c r="A126" t="inlineStr">
        <is>
          <t>Peyton Watson</t>
        </is>
      </c>
      <c r="B126" t="inlineStr">
        <is>
          <t>CLE</t>
        </is>
      </c>
      <c r="C126" t="inlineStr">
        <is>
          <t>SF,PF</t>
        </is>
      </c>
      <c r="D126" t="n">
        <v>75</v>
      </c>
      <c r="E126" t="n">
        <v>2200</v>
      </c>
      <c r="F126" t="n">
        <v>958</v>
      </c>
      <c r="G126" t="n">
        <v>356</v>
      </c>
      <c r="H126" t="n">
        <v>142</v>
      </c>
      <c r="I126" t="n">
        <v>72</v>
      </c>
      <c r="J126" t="n">
        <v>96</v>
      </c>
      <c r="K126" t="n">
        <v>101</v>
      </c>
      <c r="L126" t="n">
        <v>109</v>
      </c>
      <c r="M126" s="7" t="n">
        <v>0.479</v>
      </c>
      <c r="N126" s="7" t="n">
        <v>0.717</v>
      </c>
      <c r="O126" t="n">
        <v>728.3</v>
      </c>
      <c r="P126" t="n">
        <v>222.1</v>
      </c>
      <c r="Q126" t="inlineStr">
        <is>
          <t>2025-26 (581 FGA)</t>
        </is>
      </c>
      <c r="R126" t="n">
        <v>154</v>
      </c>
      <c r="S126" t="n">
        <v>164</v>
      </c>
    </row>
    <row r="127">
      <c r="A127" t="inlineStr">
        <is>
          <t>Rui Hachimura</t>
        </is>
      </c>
      <c r="B127" t="inlineStr">
        <is>
          <t>LAC</t>
        </is>
      </c>
      <c r="C127" t="inlineStr">
        <is>
          <t>SF,PF</t>
        </is>
      </c>
      <c r="D127" t="n">
        <v>75</v>
      </c>
      <c r="E127" t="n">
        <v>2276</v>
      </c>
      <c r="F127" t="n">
        <v>957</v>
      </c>
      <c r="G127" t="n">
        <v>311</v>
      </c>
      <c r="H127" t="n">
        <v>81</v>
      </c>
      <c r="I127" t="n">
        <v>54</v>
      </c>
      <c r="J127" t="n">
        <v>29</v>
      </c>
      <c r="K127" t="n">
        <v>142</v>
      </c>
      <c r="L127" t="n">
        <v>52</v>
      </c>
      <c r="M127" s="7" t="n">
        <v>0.519</v>
      </c>
      <c r="N127" s="7" t="n">
        <v>0.733</v>
      </c>
      <c r="O127" t="n">
        <v>709</v>
      </c>
      <c r="P127" t="n">
        <v>107.8</v>
      </c>
      <c r="Q127" t="inlineStr">
        <is>
          <t>2025-26 (597 FGA)</t>
        </is>
      </c>
      <c r="R127" t="n">
        <v>129</v>
      </c>
      <c r="S127" t="n">
        <v>170</v>
      </c>
    </row>
    <row r="128">
      <c r="A128" t="inlineStr">
        <is>
          <t>Klay Thompson</t>
        </is>
      </c>
      <c r="B128" t="inlineStr">
        <is>
          <t>MIA</t>
        </is>
      </c>
      <c r="C128" t="inlineStr">
        <is>
          <t>SG,SF</t>
        </is>
      </c>
      <c r="D128" t="n">
        <v>74</v>
      </c>
      <c r="E128" t="n">
        <v>1749</v>
      </c>
      <c r="F128" t="n">
        <v>941</v>
      </c>
      <c r="G128" t="n">
        <v>184</v>
      </c>
      <c r="H128" t="n">
        <v>126</v>
      </c>
      <c r="I128" t="n">
        <v>43</v>
      </c>
      <c r="J128" t="n">
        <v>22</v>
      </c>
      <c r="K128" t="n">
        <v>223</v>
      </c>
      <c r="L128" t="n">
        <v>73</v>
      </c>
      <c r="M128" s="7" t="n">
        <v>0.41</v>
      </c>
      <c r="N128" s="7" t="n">
        <v>0.832</v>
      </c>
      <c r="O128" t="n">
        <v>796.1</v>
      </c>
      <c r="P128" t="n">
        <v>78.40000000000001</v>
      </c>
      <c r="Q128" t="inlineStr">
        <is>
          <t>2025-26 (728 FGA)</t>
        </is>
      </c>
      <c r="R128" t="n">
        <v>130</v>
      </c>
      <c r="S128" t="n">
        <v>127</v>
      </c>
    </row>
    <row r="129">
      <c r="A129" t="inlineStr">
        <is>
          <t>Aaron Nesmith</t>
        </is>
      </c>
      <c r="B129" t="inlineStr">
        <is>
          <t>IND</t>
        </is>
      </c>
      <c r="C129" t="inlineStr">
        <is>
          <t>PF,SF,SG</t>
        </is>
      </c>
      <c r="D129" t="n">
        <v>71</v>
      </c>
      <c r="E129" t="n">
        <v>1982</v>
      </c>
      <c r="F129" t="n">
        <v>901</v>
      </c>
      <c r="G129" t="n">
        <v>290</v>
      </c>
      <c r="H129" t="n">
        <v>105</v>
      </c>
      <c r="I129" t="n">
        <v>50</v>
      </c>
      <c r="J129" t="n">
        <v>33</v>
      </c>
      <c r="K129" t="n">
        <v>145</v>
      </c>
      <c r="L129" t="n">
        <v>70</v>
      </c>
      <c r="M129" s="7" t="n">
        <v>0.472</v>
      </c>
      <c r="N129" s="7" t="n">
        <v>0.855</v>
      </c>
      <c r="O129" t="n">
        <v>666</v>
      </c>
      <c r="P129" t="n">
        <v>148.9</v>
      </c>
      <c r="Q129" t="inlineStr">
        <is>
          <t>2025-26 (512 FGA)</t>
        </is>
      </c>
      <c r="R129" t="n">
        <v>41</v>
      </c>
    </row>
    <row r="130">
      <c r="A130" t="inlineStr">
        <is>
          <t>Malik Monk</t>
        </is>
      </c>
      <c r="B130" t="inlineStr">
        <is>
          <t>SAC</t>
        </is>
      </c>
      <c r="C130" t="inlineStr">
        <is>
          <t>PG,SG</t>
        </is>
      </c>
      <c r="D130" t="n">
        <v>73</v>
      </c>
      <c r="E130" t="n">
        <v>1689</v>
      </c>
      <c r="F130" t="n">
        <v>923</v>
      </c>
      <c r="G130" t="n">
        <v>174</v>
      </c>
      <c r="H130" t="n">
        <v>275</v>
      </c>
      <c r="I130" t="n">
        <v>46</v>
      </c>
      <c r="J130" t="n">
        <v>32</v>
      </c>
      <c r="K130" t="n">
        <v>130</v>
      </c>
      <c r="L130" t="n">
        <v>127</v>
      </c>
      <c r="M130" s="7" t="n">
        <v>0.445</v>
      </c>
      <c r="N130" s="7" t="n">
        <v>0.863</v>
      </c>
      <c r="O130" t="n">
        <v>752.2</v>
      </c>
      <c r="P130" t="n">
        <v>143.2</v>
      </c>
      <c r="Q130" t="inlineStr">
        <is>
          <t>2025-26 (632 FGA)</t>
        </is>
      </c>
      <c r="S130" t="n">
        <v>110</v>
      </c>
    </row>
    <row r="131">
      <c r="A131" t="inlineStr">
        <is>
          <t>Bradley Beal</t>
        </is>
      </c>
      <c r="B131" t="inlineStr">
        <is>
          <t>LAC</t>
        </is>
      </c>
      <c r="C131" t="inlineStr">
        <is>
          <t>SF,SG</t>
        </is>
      </c>
      <c r="D131" t="n">
        <v>66</v>
      </c>
      <c r="E131" t="n">
        <v>1569</v>
      </c>
      <c r="F131" t="n">
        <v>813</v>
      </c>
      <c r="G131" t="n">
        <v>171</v>
      </c>
      <c r="H131" t="n">
        <v>180</v>
      </c>
      <c r="I131" t="n">
        <v>54</v>
      </c>
      <c r="J131" t="n">
        <v>23</v>
      </c>
      <c r="K131" t="n">
        <v>91</v>
      </c>
      <c r="L131" t="n">
        <v>95</v>
      </c>
      <c r="M131" s="7" t="n">
        <v>0.497</v>
      </c>
      <c r="N131" s="7" t="n">
        <v>0.804</v>
      </c>
      <c r="O131" t="n">
        <v>612.1</v>
      </c>
      <c r="P131" t="n">
        <v>141.2</v>
      </c>
      <c r="Q131" t="inlineStr">
        <is>
          <t>2025-26 (48 FGA)</t>
        </is>
      </c>
    </row>
    <row r="132">
      <c r="A132" t="inlineStr">
        <is>
          <t>Bobby Portis Jr.</t>
        </is>
      </c>
      <c r="B132" t="inlineStr">
        <is>
          <t>MIA</t>
        </is>
      </c>
      <c r="C132" t="inlineStr">
        <is>
          <t>PF,C</t>
        </is>
      </c>
      <c r="D132" t="n">
        <v>72</v>
      </c>
      <c r="E132" t="n">
        <v>1628</v>
      </c>
      <c r="F132" t="n">
        <v>889</v>
      </c>
      <c r="G132" t="n">
        <v>462</v>
      </c>
      <c r="H132" t="n">
        <v>116</v>
      </c>
      <c r="I132" t="n">
        <v>45</v>
      </c>
      <c r="J132" t="n">
        <v>17</v>
      </c>
      <c r="K132" t="n">
        <v>109</v>
      </c>
      <c r="L132" t="n">
        <v>65</v>
      </c>
      <c r="M132" s="7" t="n">
        <v>0.478</v>
      </c>
      <c r="N132" s="7" t="n">
        <v>0.752</v>
      </c>
      <c r="O132" t="n">
        <v>744.3</v>
      </c>
      <c r="P132" t="n">
        <v>91</v>
      </c>
      <c r="Q132" t="inlineStr">
        <is>
          <t>2025-26 (750 FGA)</t>
        </is>
      </c>
      <c r="R132" t="n">
        <v>152</v>
      </c>
      <c r="S132" t="n">
        <v>133</v>
      </c>
    </row>
    <row r="133">
      <c r="A133" t="inlineStr">
        <is>
          <t>Myles Turner</t>
        </is>
      </c>
      <c r="B133" t="inlineStr">
        <is>
          <t>MIL</t>
        </is>
      </c>
      <c r="C133" t="inlineStr">
        <is>
          <t>C</t>
        </is>
      </c>
      <c r="D133" t="n">
        <v>75</v>
      </c>
      <c r="E133" t="n">
        <v>2086</v>
      </c>
      <c r="F133" t="n">
        <v>925</v>
      </c>
      <c r="G133" t="n">
        <v>393</v>
      </c>
      <c r="H133" t="n">
        <v>105</v>
      </c>
      <c r="I133" t="n">
        <v>49</v>
      </c>
      <c r="J133" t="n">
        <v>114</v>
      </c>
      <c r="K133" t="n">
        <v>147</v>
      </c>
      <c r="L133" t="n">
        <v>102</v>
      </c>
      <c r="M133" s="7" t="n">
        <v>0.449</v>
      </c>
      <c r="N133" s="7" t="n">
        <v>0.753</v>
      </c>
      <c r="O133" t="n">
        <v>698.5</v>
      </c>
      <c r="P133" t="n">
        <v>200.2</v>
      </c>
      <c r="Q133" t="inlineStr">
        <is>
          <t>2025-26 (646 FGA)</t>
        </is>
      </c>
      <c r="R133" t="n">
        <v>110</v>
      </c>
      <c r="S133" t="n">
        <v>60</v>
      </c>
    </row>
    <row r="134">
      <c r="A134" t="inlineStr">
        <is>
          <t>Kingston Flemings</t>
        </is>
      </c>
      <c r="B134" t="inlineStr">
        <is>
          <t>ATL</t>
        </is>
      </c>
      <c r="C134" t="inlineStr">
        <is>
          <t>PG,SG</t>
        </is>
      </c>
      <c r="D134" t="n">
        <v>75</v>
      </c>
      <c r="E134" t="n">
        <v>1908</v>
      </c>
      <c r="F134" t="n">
        <v>909</v>
      </c>
      <c r="G134" t="n">
        <v>184</v>
      </c>
      <c r="H134" t="n">
        <v>297</v>
      </c>
      <c r="I134" t="n">
        <v>88</v>
      </c>
      <c r="J134" t="n">
        <v>24</v>
      </c>
      <c r="K134" t="n">
        <v>96</v>
      </c>
      <c r="L134" t="n">
        <v>151</v>
      </c>
      <c r="M134" s="7" t="n">
        <v>0.441</v>
      </c>
      <c r="N134" s="7" t="n">
        <v>0.794</v>
      </c>
      <c r="O134" t="n">
        <v>748.6</v>
      </c>
      <c r="P134" t="n">
        <v>192.3</v>
      </c>
      <c r="Q134" t="inlineStr">
        <is>
          <t>PG median</t>
        </is>
      </c>
    </row>
    <row r="135">
      <c r="A135" t="inlineStr">
        <is>
          <t>Kyshawn George</t>
        </is>
      </c>
      <c r="B135" t="inlineStr">
        <is>
          <t>WAS</t>
        </is>
      </c>
      <c r="C135" t="inlineStr">
        <is>
          <t>PF,SF,SG</t>
        </is>
      </c>
      <c r="D135" t="n">
        <v>72</v>
      </c>
      <c r="E135" t="n">
        <v>2053</v>
      </c>
      <c r="F135" t="n">
        <v>872</v>
      </c>
      <c r="G135" t="n">
        <v>335</v>
      </c>
      <c r="H135" t="n">
        <v>258</v>
      </c>
      <c r="I135" t="n">
        <v>69</v>
      </c>
      <c r="J135" t="n">
        <v>59</v>
      </c>
      <c r="K135" t="n">
        <v>127</v>
      </c>
      <c r="L135" t="n">
        <v>153</v>
      </c>
      <c r="M135" s="7" t="n">
        <v>0.425</v>
      </c>
      <c r="N135" s="7" t="n">
        <v>0.788</v>
      </c>
      <c r="O135" t="n">
        <v>722.1</v>
      </c>
      <c r="P135" t="n">
        <v>166.5</v>
      </c>
      <c r="Q135" t="inlineStr">
        <is>
          <t>2025-26 (577 FGA)</t>
        </is>
      </c>
      <c r="R135" t="n">
        <v>143</v>
      </c>
      <c r="S135" t="n">
        <v>145</v>
      </c>
    </row>
    <row r="136">
      <c r="A136" t="inlineStr">
        <is>
          <t>Josh Hart</t>
        </is>
      </c>
      <c r="B136" t="inlineStr">
        <is>
          <t>NYK</t>
        </is>
      </c>
      <c r="C136" t="inlineStr">
        <is>
          <t>SF,SG</t>
        </is>
      </c>
      <c r="D136" t="n">
        <v>73</v>
      </c>
      <c r="E136" t="n">
        <v>2385</v>
      </c>
      <c r="F136" t="n">
        <v>884</v>
      </c>
      <c r="G136" t="n">
        <v>604</v>
      </c>
      <c r="H136" t="n">
        <v>365</v>
      </c>
      <c r="I136" t="n">
        <v>93</v>
      </c>
      <c r="J136" t="n">
        <v>24</v>
      </c>
      <c r="K136" t="n">
        <v>100</v>
      </c>
      <c r="L136" t="n">
        <v>144</v>
      </c>
      <c r="M136" s="7" t="n">
        <v>0.506</v>
      </c>
      <c r="N136" s="7" t="n">
        <v>0.741</v>
      </c>
      <c r="O136" t="n">
        <v>667.2</v>
      </c>
      <c r="P136" t="n">
        <v>146.8</v>
      </c>
      <c r="Q136" t="inlineStr">
        <is>
          <t>2025-26 (592 FGA)</t>
        </is>
      </c>
      <c r="R136" t="n">
        <v>114</v>
      </c>
      <c r="S136" t="n">
        <v>48</v>
      </c>
    </row>
    <row r="137">
      <c r="A137" t="inlineStr">
        <is>
          <t>Max Christie</t>
        </is>
      </c>
      <c r="B137" t="inlineStr">
        <is>
          <t>DAL</t>
        </is>
      </c>
      <c r="C137" t="inlineStr">
        <is>
          <t>SG,SF</t>
        </is>
      </c>
      <c r="D137" t="n">
        <v>78</v>
      </c>
      <c r="E137" t="n">
        <v>2403</v>
      </c>
      <c r="F137" t="n">
        <v>934</v>
      </c>
      <c r="G137" t="n">
        <v>262</v>
      </c>
      <c r="H137" t="n">
        <v>165</v>
      </c>
      <c r="I137" t="n">
        <v>54</v>
      </c>
      <c r="J137" t="n">
        <v>31</v>
      </c>
      <c r="K137" t="n">
        <v>167</v>
      </c>
      <c r="L137" t="n">
        <v>95</v>
      </c>
      <c r="M137" s="7" t="n">
        <v>0.44</v>
      </c>
      <c r="N137" s="7" t="n">
        <v>0.885</v>
      </c>
      <c r="O137" t="n">
        <v>726.7</v>
      </c>
      <c r="P137" t="n">
        <v>144</v>
      </c>
      <c r="Q137" t="inlineStr">
        <is>
          <t>2025-26 (725 FGA)</t>
        </is>
      </c>
    </row>
    <row r="138">
      <c r="A138" t="inlineStr">
        <is>
          <t>Christian Braun</t>
        </is>
      </c>
      <c r="B138" t="inlineStr">
        <is>
          <t>DEN</t>
        </is>
      </c>
      <c r="C138" t="inlineStr">
        <is>
          <t>PF,SF,SG</t>
        </is>
      </c>
      <c r="D138" t="n">
        <v>72</v>
      </c>
      <c r="E138" t="n">
        <v>2189</v>
      </c>
      <c r="F138" t="n">
        <v>853</v>
      </c>
      <c r="G138" t="n">
        <v>322</v>
      </c>
      <c r="H138" t="n">
        <v>166</v>
      </c>
      <c r="I138" t="n">
        <v>54</v>
      </c>
      <c r="J138" t="n">
        <v>29</v>
      </c>
      <c r="K138" t="n">
        <v>68</v>
      </c>
      <c r="L138" t="n">
        <v>60</v>
      </c>
      <c r="M138" s="7" t="n">
        <v>0.536</v>
      </c>
      <c r="N138" s="7" t="n">
        <v>0.795</v>
      </c>
      <c r="O138" t="n">
        <v>616.5</v>
      </c>
      <c r="P138" t="n">
        <v>156.1</v>
      </c>
      <c r="Q138" t="inlineStr">
        <is>
          <t>2025-26 (389 FGA)</t>
        </is>
      </c>
      <c r="R138" t="n">
        <v>169</v>
      </c>
      <c r="S138" t="n">
        <v>83</v>
      </c>
    </row>
    <row r="139">
      <c r="A139" t="inlineStr">
        <is>
          <t>Jakob Poeltl</t>
        </is>
      </c>
      <c r="B139" t="inlineStr">
        <is>
          <t>TOR</t>
        </is>
      </c>
      <c r="C139" t="inlineStr">
        <is>
          <t>C</t>
        </is>
      </c>
      <c r="D139" t="n">
        <v>72</v>
      </c>
      <c r="E139" t="n">
        <v>1959</v>
      </c>
      <c r="F139" t="n">
        <v>858</v>
      </c>
      <c r="G139" t="n">
        <v>582</v>
      </c>
      <c r="H139" t="n">
        <v>168</v>
      </c>
      <c r="I139" t="n">
        <v>67</v>
      </c>
      <c r="J139" t="n">
        <v>77</v>
      </c>
      <c r="K139" t="n">
        <v>0</v>
      </c>
      <c r="L139" t="n">
        <v>109</v>
      </c>
      <c r="M139" s="7" t="n">
        <v>0.659</v>
      </c>
      <c r="N139" s="7" t="n">
        <v>0.628</v>
      </c>
      <c r="O139" t="n">
        <v>564.7</v>
      </c>
      <c r="P139" t="n">
        <v>181</v>
      </c>
      <c r="Q139" t="inlineStr">
        <is>
          <t>2025-26 (310 FGA)</t>
        </is>
      </c>
      <c r="R139" t="n">
        <v>177</v>
      </c>
      <c r="S139" t="n">
        <v>76</v>
      </c>
    </row>
    <row r="140">
      <c r="A140" t="inlineStr">
        <is>
          <t>Grayson Allen</t>
        </is>
      </c>
      <c r="B140" t="inlineStr">
        <is>
          <t>CHA</t>
        </is>
      </c>
      <c r="C140" t="inlineStr">
        <is>
          <t>PG,SF,SG</t>
        </is>
      </c>
      <c r="D140" t="n">
        <v>71</v>
      </c>
      <c r="E140" t="n">
        <v>1631</v>
      </c>
      <c r="F140" t="n">
        <v>839</v>
      </c>
      <c r="G140" t="n">
        <v>180</v>
      </c>
      <c r="H140" t="n">
        <v>181</v>
      </c>
      <c r="I140" t="n">
        <v>61</v>
      </c>
      <c r="J140" t="n">
        <v>17</v>
      </c>
      <c r="K140" t="n">
        <v>173</v>
      </c>
      <c r="L140" t="n">
        <v>84</v>
      </c>
      <c r="M140" s="7" t="n">
        <v>0.417</v>
      </c>
      <c r="N140" s="7" t="n">
        <v>0.847</v>
      </c>
      <c r="O140" t="n">
        <v>635.3</v>
      </c>
      <c r="P140" t="n">
        <v>160.8</v>
      </c>
      <c r="Q140" t="inlineStr">
        <is>
          <t>2025-26 (667 FGA)</t>
        </is>
      </c>
    </row>
    <row r="141">
      <c r="A141" t="inlineStr">
        <is>
          <t>Egor Demin</t>
        </is>
      </c>
      <c r="B141" t="inlineStr">
        <is>
          <t>BKN</t>
        </is>
      </c>
      <c r="C141" t="inlineStr">
        <is>
          <t>PG,SG</t>
        </is>
      </c>
      <c r="D141" t="n">
        <v>75</v>
      </c>
      <c r="E141" t="n">
        <v>2148</v>
      </c>
      <c r="F141" t="n">
        <v>882</v>
      </c>
      <c r="G141" t="n">
        <v>261</v>
      </c>
      <c r="H141" t="n">
        <v>273</v>
      </c>
      <c r="I141" t="n">
        <v>65</v>
      </c>
      <c r="J141" t="n">
        <v>27</v>
      </c>
      <c r="K141" t="n">
        <v>196</v>
      </c>
      <c r="L141" t="n">
        <v>136</v>
      </c>
      <c r="M141" s="7" t="n">
        <v>0.422</v>
      </c>
      <c r="N141" s="7" t="n">
        <v>0.835</v>
      </c>
      <c r="O141" t="n">
        <v>690.3</v>
      </c>
      <c r="P141" t="n">
        <v>123.8</v>
      </c>
      <c r="Q141" t="inlineStr">
        <is>
          <t>2025-26 (449 FGA)</t>
        </is>
      </c>
      <c r="R141" t="n">
        <v>185</v>
      </c>
      <c r="S141" t="n">
        <v>134</v>
      </c>
    </row>
    <row r="142">
      <c r="A142" t="inlineStr">
        <is>
          <t>Scoot Henderson</t>
        </is>
      </c>
      <c r="B142" t="inlineStr">
        <is>
          <t>POR</t>
        </is>
      </c>
      <c r="C142" t="inlineStr">
        <is>
          <t>PG,SG</t>
        </is>
      </c>
      <c r="D142" t="n">
        <v>72</v>
      </c>
      <c r="E142" t="n">
        <v>1696</v>
      </c>
      <c r="F142" t="n">
        <v>848</v>
      </c>
      <c r="G142" t="n">
        <v>179</v>
      </c>
      <c r="H142" t="n">
        <v>267</v>
      </c>
      <c r="I142" t="n">
        <v>62</v>
      </c>
      <c r="J142" t="n">
        <v>18</v>
      </c>
      <c r="K142" t="n">
        <v>109</v>
      </c>
      <c r="L142" t="n">
        <v>162</v>
      </c>
      <c r="M142" s="7" t="n">
        <v>0.418</v>
      </c>
      <c r="N142" s="7" t="n">
        <v>0.805</v>
      </c>
      <c r="O142" t="n">
        <v>696.6</v>
      </c>
      <c r="P142" t="n">
        <v>194.6</v>
      </c>
      <c r="Q142" t="inlineStr">
        <is>
          <t>2025-26 (342 FGA)</t>
        </is>
      </c>
      <c r="S142" t="n">
        <v>148</v>
      </c>
    </row>
    <row r="143">
      <c r="A143" t="inlineStr">
        <is>
          <t>Dyson Daniels</t>
        </is>
      </c>
      <c r="B143" t="inlineStr">
        <is>
          <t>ATL</t>
        </is>
      </c>
      <c r="C143" t="inlineStr">
        <is>
          <t>PG,SF,SG</t>
        </is>
      </c>
      <c r="D143" t="n">
        <v>77</v>
      </c>
      <c r="E143" t="n">
        <v>2530</v>
      </c>
      <c r="F143" t="n">
        <v>901</v>
      </c>
      <c r="G143" t="n">
        <v>464</v>
      </c>
      <c r="H143" t="n">
        <v>399</v>
      </c>
      <c r="I143" t="n">
        <v>159</v>
      </c>
      <c r="J143" t="n">
        <v>35</v>
      </c>
      <c r="K143" t="n">
        <v>38</v>
      </c>
      <c r="L143" t="n">
        <v>132</v>
      </c>
      <c r="M143" s="7" t="n">
        <v>0.507</v>
      </c>
      <c r="N143" s="7" t="n">
        <v>0.607</v>
      </c>
      <c r="O143" t="n">
        <v>769.4</v>
      </c>
      <c r="P143" t="n">
        <v>136.5</v>
      </c>
      <c r="Q143" t="inlineStr">
        <is>
          <t>2025-26 (777 FGA)</t>
        </is>
      </c>
      <c r="R143" t="n">
        <v>64</v>
      </c>
      <c r="S143" t="n">
        <v>49</v>
      </c>
    </row>
    <row r="144">
      <c r="A144" t="inlineStr">
        <is>
          <t>Anthony Black</t>
        </is>
      </c>
      <c r="B144" t="inlineStr">
        <is>
          <t>ORL</t>
        </is>
      </c>
      <c r="C144" t="inlineStr">
        <is>
          <t>PG,SG,SF</t>
        </is>
      </c>
      <c r="D144" t="n">
        <v>74</v>
      </c>
      <c r="E144" t="n">
        <v>1917</v>
      </c>
      <c r="F144" t="n">
        <v>860</v>
      </c>
      <c r="G144" t="n">
        <v>243</v>
      </c>
      <c r="H144" t="n">
        <v>226</v>
      </c>
      <c r="I144" t="n">
        <v>91</v>
      </c>
      <c r="J144" t="n">
        <v>45</v>
      </c>
      <c r="K144" t="n">
        <v>84</v>
      </c>
      <c r="L144" t="n">
        <v>126</v>
      </c>
      <c r="M144" s="7" t="n">
        <v>0.442</v>
      </c>
      <c r="N144" s="7" t="n">
        <v>0.737</v>
      </c>
      <c r="O144" t="n">
        <v>706.7</v>
      </c>
      <c r="P144" t="n">
        <v>205.3</v>
      </c>
      <c r="Q144" t="inlineStr">
        <is>
          <t>2025-26 (772 FGA)</t>
        </is>
      </c>
      <c r="R144" t="n">
        <v>174</v>
      </c>
      <c r="S144" t="n">
        <v>149</v>
      </c>
    </row>
    <row r="145">
      <c r="A145" t="inlineStr">
        <is>
          <t>Kyle Kuzma</t>
        </is>
      </c>
      <c r="B145" t="inlineStr">
        <is>
          <t>MIL</t>
        </is>
      </c>
      <c r="C145" t="inlineStr">
        <is>
          <t>SF,PF</t>
        </is>
      </c>
      <c r="D145" t="n">
        <v>73</v>
      </c>
      <c r="E145" t="n">
        <v>1791</v>
      </c>
      <c r="F145" t="n">
        <v>851</v>
      </c>
      <c r="G145" t="n">
        <v>301</v>
      </c>
      <c r="H145" t="n">
        <v>164</v>
      </c>
      <c r="I145" t="n">
        <v>39</v>
      </c>
      <c r="J145" t="n">
        <v>25</v>
      </c>
      <c r="K145" t="n">
        <v>80</v>
      </c>
      <c r="L145" t="n">
        <v>120</v>
      </c>
      <c r="M145" s="7" t="n">
        <v>0.465</v>
      </c>
      <c r="N145" s="7" t="n">
        <v>0.697</v>
      </c>
      <c r="O145" t="n">
        <v>691.8</v>
      </c>
      <c r="P145" t="n">
        <v>183</v>
      </c>
      <c r="Q145" t="inlineStr">
        <is>
          <t>2025-26 (689 FGA)</t>
        </is>
      </c>
      <c r="R145" t="n">
        <v>171</v>
      </c>
      <c r="S145" t="n">
        <v>172</v>
      </c>
    </row>
    <row r="146">
      <c r="A146" t="inlineStr">
        <is>
          <t>Nic Claxton</t>
        </is>
      </c>
      <c r="B146" t="inlineStr">
        <is>
          <t>CHI</t>
        </is>
      </c>
      <c r="C146" t="inlineStr">
        <is>
          <t>C</t>
        </is>
      </c>
      <c r="D146" t="n">
        <v>74</v>
      </c>
      <c r="E146" t="n">
        <v>2031</v>
      </c>
      <c r="F146" t="n">
        <v>854</v>
      </c>
      <c r="G146" t="n">
        <v>500</v>
      </c>
      <c r="H146" t="n">
        <v>238</v>
      </c>
      <c r="I146" t="n">
        <v>50</v>
      </c>
      <c r="J146" t="n">
        <v>92</v>
      </c>
      <c r="K146" t="n">
        <v>6</v>
      </c>
      <c r="L146" t="n">
        <v>95</v>
      </c>
      <c r="M146" s="7" t="n">
        <v>0.587</v>
      </c>
      <c r="N146" s="7" t="n">
        <v>0.591</v>
      </c>
      <c r="O146" t="n">
        <v>607.3</v>
      </c>
      <c r="P146" t="n">
        <v>228.4</v>
      </c>
      <c r="Q146" t="inlineStr">
        <is>
          <t>2025-26 (583 FGA)</t>
        </is>
      </c>
      <c r="R146" t="n">
        <v>108</v>
      </c>
      <c r="S146" t="n">
        <v>107</v>
      </c>
    </row>
    <row r="147">
      <c r="A147" t="inlineStr">
        <is>
          <t>Duncan Robinson</t>
        </is>
      </c>
      <c r="B147" t="inlineStr">
        <is>
          <t>DET</t>
        </is>
      </c>
      <c r="C147" t="inlineStr">
        <is>
          <t>SG,SF</t>
        </is>
      </c>
      <c r="D147" t="n">
        <v>77</v>
      </c>
      <c r="E147" t="n">
        <v>1969</v>
      </c>
      <c r="F147" t="n">
        <v>879</v>
      </c>
      <c r="G147" t="n">
        <v>192</v>
      </c>
      <c r="H147" t="n">
        <v>161</v>
      </c>
      <c r="I147" t="n">
        <v>47</v>
      </c>
      <c r="J147" t="n">
        <v>15</v>
      </c>
      <c r="K147" t="n">
        <v>205</v>
      </c>
      <c r="L147" t="n">
        <v>67</v>
      </c>
      <c r="M147" s="7" t="n">
        <v>0.452</v>
      </c>
      <c r="N147" s="7" t="n">
        <v>0.776</v>
      </c>
      <c r="O147" t="n">
        <v>649.7</v>
      </c>
      <c r="P147" t="n">
        <v>111.7</v>
      </c>
      <c r="Q147" t="inlineStr">
        <is>
          <t>2025-26 (698 FGA)</t>
        </is>
      </c>
      <c r="R147" t="n">
        <v>113</v>
      </c>
    </row>
    <row r="148">
      <c r="A148" t="inlineStr">
        <is>
          <t>Kelly Oubre Jr.</t>
        </is>
      </c>
      <c r="B148" t="inlineStr">
        <is>
          <t>IND</t>
        </is>
      </c>
      <c r="C148" t="inlineStr">
        <is>
          <t>PF,SF,SG</t>
        </is>
      </c>
      <c r="D148" t="n">
        <v>73</v>
      </c>
      <c r="E148" t="n">
        <v>1872</v>
      </c>
      <c r="F148" t="n">
        <v>832</v>
      </c>
      <c r="G148" t="n">
        <v>307</v>
      </c>
      <c r="H148" t="n">
        <v>100</v>
      </c>
      <c r="I148" t="n">
        <v>67</v>
      </c>
      <c r="J148" t="n">
        <v>31</v>
      </c>
      <c r="K148" t="n">
        <v>80</v>
      </c>
      <c r="L148" t="n">
        <v>71</v>
      </c>
      <c r="M148" s="7" t="n">
        <v>0.484</v>
      </c>
      <c r="N148" s="7" t="n">
        <v>0.758</v>
      </c>
      <c r="O148" t="n">
        <v>645.6</v>
      </c>
      <c r="P148" t="n">
        <v>167.6</v>
      </c>
      <c r="Q148" t="inlineStr">
        <is>
          <t>2025-26 (544 FGA)</t>
        </is>
      </c>
      <c r="R148" t="n">
        <v>139</v>
      </c>
      <c r="S148" t="n">
        <v>150</v>
      </c>
    </row>
    <row r="149">
      <c r="A149" t="inlineStr">
        <is>
          <t>Zach Edey</t>
        </is>
      </c>
      <c r="B149" t="inlineStr">
        <is>
          <t>MEM</t>
        </is>
      </c>
      <c r="C149" t="inlineStr">
        <is>
          <t>C</t>
        </is>
      </c>
      <c r="D149" t="n">
        <v>70</v>
      </c>
      <c r="E149" t="n">
        <v>1813</v>
      </c>
      <c r="F149" t="n">
        <v>801</v>
      </c>
      <c r="G149" t="n">
        <v>642</v>
      </c>
      <c r="H149" t="n">
        <v>83</v>
      </c>
      <c r="I149" t="n">
        <v>44</v>
      </c>
      <c r="J149" t="n">
        <v>106</v>
      </c>
      <c r="K149" t="n">
        <v>17</v>
      </c>
      <c r="L149" t="n">
        <v>131</v>
      </c>
      <c r="M149" s="7" t="n">
        <v>0.595</v>
      </c>
      <c r="N149" s="7" t="n">
        <v>0.736</v>
      </c>
      <c r="O149" t="n">
        <v>548</v>
      </c>
      <c r="P149" t="n">
        <v>179.2</v>
      </c>
      <c r="Q149" t="inlineStr">
        <is>
          <t>2025-26 (98 FGA)</t>
        </is>
      </c>
      <c r="R149" t="n">
        <v>72</v>
      </c>
      <c r="S149" t="n">
        <v>122</v>
      </c>
    </row>
    <row r="150">
      <c r="A150" t="inlineStr">
        <is>
          <t>Nikola Vucevic</t>
        </is>
      </c>
      <c r="B150" t="inlineStr">
        <is>
          <t>ORL</t>
        </is>
      </c>
      <c r="C150" t="inlineStr">
        <is>
          <t>C</t>
        </is>
      </c>
      <c r="D150" t="n">
        <v>75</v>
      </c>
      <c r="E150" t="n">
        <v>1695</v>
      </c>
      <c r="F150" t="n">
        <v>857</v>
      </c>
      <c r="G150" t="n">
        <v>501</v>
      </c>
      <c r="H150" t="n">
        <v>164</v>
      </c>
      <c r="I150" t="n">
        <v>44</v>
      </c>
      <c r="J150" t="n">
        <v>40</v>
      </c>
      <c r="K150" t="n">
        <v>71</v>
      </c>
      <c r="L150" t="n">
        <v>76</v>
      </c>
      <c r="M150" s="7" t="n">
        <v>0.501</v>
      </c>
      <c r="N150" s="7" t="n">
        <v>0.8139999999999999</v>
      </c>
      <c r="O150" t="n">
        <v>694.9</v>
      </c>
      <c r="P150" t="n">
        <v>110.2</v>
      </c>
      <c r="Q150" t="inlineStr">
        <is>
          <t>2025-26 (799 FGA)</t>
        </is>
      </c>
      <c r="R150" t="n">
        <v>141</v>
      </c>
      <c r="S150" t="n">
        <v>40</v>
      </c>
    </row>
    <row r="151">
      <c r="A151" t="inlineStr">
        <is>
          <t>De'Anthony Melton</t>
        </is>
      </c>
      <c r="B151" t="inlineStr">
        <is>
          <t>GSW</t>
        </is>
      </c>
      <c r="C151" t="inlineStr">
        <is>
          <t>PG,SG</t>
        </is>
      </c>
      <c r="D151" t="n">
        <v>72</v>
      </c>
      <c r="E151" t="n">
        <v>1575</v>
      </c>
      <c r="F151" t="n">
        <v>823</v>
      </c>
      <c r="G151" t="n">
        <v>224</v>
      </c>
      <c r="H151" t="n">
        <v>173</v>
      </c>
      <c r="I151" t="n">
        <v>109</v>
      </c>
      <c r="J151" t="n">
        <v>27</v>
      </c>
      <c r="K151" t="n">
        <v>106</v>
      </c>
      <c r="L151" t="n">
        <v>122</v>
      </c>
      <c r="M151" s="7" t="n">
        <v>0.398</v>
      </c>
      <c r="N151" s="7" t="n">
        <v>0.8169999999999999</v>
      </c>
      <c r="O151" t="n">
        <v>724.6</v>
      </c>
      <c r="P151" t="n">
        <v>171.6</v>
      </c>
      <c r="Q151" t="inlineStr">
        <is>
          <t>2025-26 (528 FGA)</t>
        </is>
      </c>
    </row>
    <row r="152">
      <c r="A152" t="inlineStr">
        <is>
          <t>Walker Kessler</t>
        </is>
      </c>
      <c r="B152" t="inlineStr">
        <is>
          <t>LAL</t>
        </is>
      </c>
      <c r="C152" t="inlineStr">
        <is>
          <t>C</t>
        </is>
      </c>
      <c r="D152" t="n">
        <v>72</v>
      </c>
      <c r="E152" t="n">
        <v>2213</v>
      </c>
      <c r="F152" t="n">
        <v>817</v>
      </c>
      <c r="G152" t="n">
        <v>825</v>
      </c>
      <c r="H152" t="n">
        <v>118</v>
      </c>
      <c r="I152" t="n">
        <v>53</v>
      </c>
      <c r="J152" t="n">
        <v>158</v>
      </c>
      <c r="K152" t="n">
        <v>11</v>
      </c>
      <c r="L152" t="n">
        <v>105</v>
      </c>
      <c r="M152" s="7" t="n">
        <v>0.681</v>
      </c>
      <c r="N152" s="7" t="n">
        <v>0.536</v>
      </c>
      <c r="O152" t="n">
        <v>518.2</v>
      </c>
      <c r="P152" t="n">
        <v>186.9</v>
      </c>
      <c r="Q152" t="inlineStr">
        <is>
          <t>2025-26 (37 FGA)</t>
        </is>
      </c>
      <c r="R152" t="n">
        <v>28</v>
      </c>
      <c r="S152" t="n">
        <v>63</v>
      </c>
    </row>
    <row r="153">
      <c r="A153" t="inlineStr">
        <is>
          <t>Tim Hardaway Jr.</t>
        </is>
      </c>
      <c r="B153" t="inlineStr">
        <is>
          <t>MIA</t>
        </is>
      </c>
      <c r="C153" t="inlineStr">
        <is>
          <t>SG,SF</t>
        </is>
      </c>
      <c r="D153" t="n">
        <v>79</v>
      </c>
      <c r="E153" t="n">
        <v>1984</v>
      </c>
      <c r="F153" t="n">
        <v>902</v>
      </c>
      <c r="G153" t="n">
        <v>186</v>
      </c>
      <c r="H153" t="n">
        <v>103</v>
      </c>
      <c r="I153" t="n">
        <v>40</v>
      </c>
      <c r="J153" t="n">
        <v>8</v>
      </c>
      <c r="K153" t="n">
        <v>182</v>
      </c>
      <c r="L153" t="n">
        <v>42</v>
      </c>
      <c r="M153" s="7" t="n">
        <v>0.43</v>
      </c>
      <c r="N153" s="7" t="n">
        <v>0.824</v>
      </c>
      <c r="O153" t="n">
        <v>677.8</v>
      </c>
      <c r="P153" t="n">
        <v>166.4</v>
      </c>
      <c r="Q153" t="inlineStr">
        <is>
          <t>2025-26 (779 FGA)</t>
        </is>
      </c>
    </row>
    <row r="154">
      <c r="A154" t="inlineStr">
        <is>
          <t>Brice Sensabaugh</t>
        </is>
      </c>
      <c r="B154" t="inlineStr">
        <is>
          <t>UTH</t>
        </is>
      </c>
      <c r="C154" t="inlineStr">
        <is>
          <t>PF,SF,SG</t>
        </is>
      </c>
      <c r="D154" t="n">
        <v>75</v>
      </c>
      <c r="E154" t="n">
        <v>1486</v>
      </c>
      <c r="F154" t="n">
        <v>854</v>
      </c>
      <c r="G154" t="n">
        <v>190</v>
      </c>
      <c r="H154" t="n">
        <v>113</v>
      </c>
      <c r="I154" t="n">
        <v>48</v>
      </c>
      <c r="J154" t="n">
        <v>7</v>
      </c>
      <c r="K154" t="n">
        <v>133</v>
      </c>
      <c r="L154" t="n">
        <v>97</v>
      </c>
      <c r="M154" s="7" t="n">
        <v>0.46</v>
      </c>
      <c r="N154" s="7" t="n">
        <v>0.836</v>
      </c>
      <c r="O154" t="n">
        <v>645.4</v>
      </c>
      <c r="P154" t="n">
        <v>152.1</v>
      </c>
      <c r="Q154" t="inlineStr">
        <is>
          <t>2025-26 (857 FGA)</t>
        </is>
      </c>
      <c r="S154" t="n">
        <v>191</v>
      </c>
    </row>
    <row r="155">
      <c r="A155" t="inlineStr">
        <is>
          <t>Derik Queen</t>
        </is>
      </c>
      <c r="B155" t="inlineStr">
        <is>
          <t>NOR</t>
        </is>
      </c>
      <c r="C155" t="inlineStr">
        <is>
          <t>C,PF</t>
        </is>
      </c>
      <c r="D155" t="n">
        <v>77</v>
      </c>
      <c r="E155" t="n">
        <v>1916</v>
      </c>
      <c r="F155" t="n">
        <v>876</v>
      </c>
      <c r="G155" t="n">
        <v>522</v>
      </c>
      <c r="H155" t="n">
        <v>269</v>
      </c>
      <c r="I155" t="n">
        <v>75</v>
      </c>
      <c r="J155" t="n">
        <v>68</v>
      </c>
      <c r="K155" t="n">
        <v>24</v>
      </c>
      <c r="L155" t="n">
        <v>177</v>
      </c>
      <c r="M155" s="7" t="n">
        <v>0.475</v>
      </c>
      <c r="N155" s="7" t="n">
        <v>0.801</v>
      </c>
      <c r="O155" t="n">
        <v>689.3</v>
      </c>
      <c r="P155" t="n">
        <v>246.1</v>
      </c>
      <c r="Q155" t="inlineStr">
        <is>
          <t>2025-26 (748 FGA)</t>
        </is>
      </c>
      <c r="R155" t="n">
        <v>92</v>
      </c>
      <c r="S155" t="n">
        <v>139</v>
      </c>
    </row>
    <row r="156">
      <c r="A156" t="inlineStr">
        <is>
          <t>Rudy Gobert</t>
        </is>
      </c>
      <c r="B156" t="inlineStr">
        <is>
          <t>MIN</t>
        </is>
      </c>
      <c r="C156" t="inlineStr">
        <is>
          <t>C</t>
        </is>
      </c>
      <c r="D156" t="n">
        <v>75</v>
      </c>
      <c r="E156" t="n">
        <v>2411</v>
      </c>
      <c r="F156" t="n">
        <v>853</v>
      </c>
      <c r="G156" t="n">
        <v>836</v>
      </c>
      <c r="H156" t="n">
        <v>127</v>
      </c>
      <c r="I156" t="n">
        <v>60</v>
      </c>
      <c r="J156" t="n">
        <v>118</v>
      </c>
      <c r="K156" t="n">
        <v>0</v>
      </c>
      <c r="L156" t="n">
        <v>99</v>
      </c>
      <c r="M156" s="7" t="n">
        <v>0.666</v>
      </c>
      <c r="N156" s="7" t="n">
        <v>0.59</v>
      </c>
      <c r="O156" t="n">
        <v>518.3</v>
      </c>
      <c r="P156" t="n">
        <v>275.6</v>
      </c>
      <c r="Q156" t="inlineStr">
        <is>
          <t>2025-26 (491 FGA)</t>
        </is>
      </c>
      <c r="R156" t="n">
        <v>80</v>
      </c>
      <c r="S156" t="n">
        <v>70</v>
      </c>
    </row>
    <row r="157">
      <c r="A157" t="inlineStr">
        <is>
          <t>Kevin Porter Jr.</t>
        </is>
      </c>
      <c r="B157" t="inlineStr">
        <is>
          <t>MIL</t>
        </is>
      </c>
      <c r="C157" t="inlineStr">
        <is>
          <t>PG,SG</t>
        </is>
      </c>
      <c r="D157" t="n">
        <v>72</v>
      </c>
      <c r="E157" t="n">
        <v>1617</v>
      </c>
      <c r="F157" t="n">
        <v>809</v>
      </c>
      <c r="G157" t="n">
        <v>251</v>
      </c>
      <c r="H157" t="n">
        <v>327</v>
      </c>
      <c r="I157" t="n">
        <v>94</v>
      </c>
      <c r="J157" t="n">
        <v>21</v>
      </c>
      <c r="K157" t="n">
        <v>59</v>
      </c>
      <c r="L157" t="n">
        <v>140</v>
      </c>
      <c r="M157" s="7" t="n">
        <v>0.451</v>
      </c>
      <c r="N157" s="7" t="n">
        <v>0.841</v>
      </c>
      <c r="O157" t="n">
        <v>654.3</v>
      </c>
      <c r="P157" t="n">
        <v>190</v>
      </c>
      <c r="Q157" t="inlineStr">
        <is>
          <t>2025-26 (514 FGA)</t>
        </is>
      </c>
      <c r="R157" t="n">
        <v>161</v>
      </c>
      <c r="S157" t="n">
        <v>79</v>
      </c>
    </row>
    <row r="158">
      <c r="A158" t="inlineStr">
        <is>
          <t>Keldon Johnson</t>
        </is>
      </c>
      <c r="B158" t="inlineStr">
        <is>
          <t>SAS</t>
        </is>
      </c>
      <c r="C158" t="inlineStr">
        <is>
          <t>PF,SF</t>
        </is>
      </c>
      <c r="D158" t="n">
        <v>78</v>
      </c>
      <c r="E158" t="n">
        <v>1631</v>
      </c>
      <c r="F158" t="n">
        <v>864</v>
      </c>
      <c r="G158" t="n">
        <v>336</v>
      </c>
      <c r="H158" t="n">
        <v>108</v>
      </c>
      <c r="I158" t="n">
        <v>40</v>
      </c>
      <c r="J158" t="n">
        <v>12</v>
      </c>
      <c r="K158" t="n">
        <v>81</v>
      </c>
      <c r="L158" t="n">
        <v>67</v>
      </c>
      <c r="M158" s="7" t="n">
        <v>0.494</v>
      </c>
      <c r="N158" s="7" t="n">
        <v>0.774</v>
      </c>
      <c r="O158" t="n">
        <v>665.8</v>
      </c>
      <c r="P158" t="n">
        <v>161.7</v>
      </c>
      <c r="Q158" t="inlineStr">
        <is>
          <t>2025-26 (797 FGA)</t>
        </is>
      </c>
    </row>
    <row r="159">
      <c r="A159" t="inlineStr">
        <is>
          <t>Jordan Poole</t>
        </is>
      </c>
      <c r="B159" t="inlineStr">
        <is>
          <t>NOR</t>
        </is>
      </c>
      <c r="C159" t="inlineStr">
        <is>
          <t>PG,SG</t>
        </is>
      </c>
      <c r="D159" t="n">
        <v>47</v>
      </c>
      <c r="E159" t="n">
        <v>923</v>
      </c>
      <c r="F159" t="n">
        <v>525</v>
      </c>
      <c r="G159" t="n">
        <v>80</v>
      </c>
      <c r="H159" t="n">
        <v>121</v>
      </c>
      <c r="I159" t="n">
        <v>31</v>
      </c>
      <c r="J159" t="n">
        <v>13</v>
      </c>
      <c r="K159" t="n">
        <v>81</v>
      </c>
      <c r="L159" t="n">
        <v>73</v>
      </c>
      <c r="M159" s="7" t="n">
        <v>0.43</v>
      </c>
      <c r="N159" s="7" t="n">
        <v>0.877</v>
      </c>
      <c r="O159" t="n">
        <v>409.1</v>
      </c>
      <c r="P159" t="n">
        <v>105.1</v>
      </c>
      <c r="Q159" t="inlineStr">
        <is>
          <t>2025-26 (444 FGA)</t>
        </is>
      </c>
      <c r="S159" t="n">
        <v>75</v>
      </c>
    </row>
    <row r="160">
      <c r="A160" t="inlineStr">
        <is>
          <t>Jaylon Tyson</t>
        </is>
      </c>
      <c r="B160" t="inlineStr">
        <is>
          <t>CLE</t>
        </is>
      </c>
      <c r="C160" t="inlineStr">
        <is>
          <t>PF,SF,SG</t>
        </is>
      </c>
      <c r="D160" t="n">
        <v>70</v>
      </c>
      <c r="E160" t="n">
        <v>1642</v>
      </c>
      <c r="F160" t="n">
        <v>774</v>
      </c>
      <c r="G160" t="n">
        <v>324</v>
      </c>
      <c r="H160" t="n">
        <v>143</v>
      </c>
      <c r="I160" t="n">
        <v>51</v>
      </c>
      <c r="J160" t="n">
        <v>24</v>
      </c>
      <c r="K160" t="n">
        <v>114</v>
      </c>
      <c r="L160" t="n">
        <v>91</v>
      </c>
      <c r="M160" s="7" t="n">
        <v>0.485</v>
      </c>
      <c r="N160" s="7" t="n">
        <v>0.741</v>
      </c>
      <c r="O160" t="n">
        <v>598.8</v>
      </c>
      <c r="P160" t="n">
        <v>106.8</v>
      </c>
      <c r="Q160" t="inlineStr">
        <is>
          <t>2025-26 (670 FGA)</t>
        </is>
      </c>
    </row>
    <row r="161">
      <c r="A161" t="inlineStr">
        <is>
          <t>Toumani Camara</t>
        </is>
      </c>
      <c r="B161" t="inlineStr">
        <is>
          <t>POR</t>
        </is>
      </c>
      <c r="C161" t="inlineStr">
        <is>
          <t>PF,SF</t>
        </is>
      </c>
      <c r="D161" t="n">
        <v>77</v>
      </c>
      <c r="E161" t="n">
        <v>2379</v>
      </c>
      <c r="F161" t="n">
        <v>844</v>
      </c>
      <c r="G161" t="n">
        <v>390</v>
      </c>
      <c r="H161" t="n">
        <v>156</v>
      </c>
      <c r="I161" t="n">
        <v>92</v>
      </c>
      <c r="J161" t="n">
        <v>40</v>
      </c>
      <c r="K161" t="n">
        <v>147</v>
      </c>
      <c r="L161" t="n">
        <v>111</v>
      </c>
      <c r="M161" s="7" t="n">
        <v>0.449</v>
      </c>
      <c r="N161" s="7" t="n">
        <v>0.722</v>
      </c>
      <c r="O161" t="n">
        <v>683</v>
      </c>
      <c r="P161" t="n">
        <v>115.9</v>
      </c>
      <c r="Q161" t="inlineStr">
        <is>
          <t>2025-26 (891 FGA)</t>
        </is>
      </c>
      <c r="R161" t="n">
        <v>172</v>
      </c>
      <c r="S161" t="n">
        <v>132</v>
      </c>
    </row>
    <row r="162">
      <c r="A162" t="inlineStr">
        <is>
          <t>Jaylen Wells</t>
        </is>
      </c>
      <c r="B162" t="inlineStr">
        <is>
          <t>MEM</t>
        </is>
      </c>
      <c r="C162" t="inlineStr">
        <is>
          <t>SF,SG</t>
        </is>
      </c>
      <c r="D162" t="n">
        <v>75</v>
      </c>
      <c r="E162" t="n">
        <v>1909</v>
      </c>
      <c r="F162" t="n">
        <v>819</v>
      </c>
      <c r="G162" t="n">
        <v>216</v>
      </c>
      <c r="H162" t="n">
        <v>112</v>
      </c>
      <c r="I162" t="n">
        <v>54</v>
      </c>
      <c r="J162" t="n">
        <v>7</v>
      </c>
      <c r="K162" t="n">
        <v>131</v>
      </c>
      <c r="L162" t="n">
        <v>70</v>
      </c>
      <c r="M162" s="7" t="n">
        <v>0.43</v>
      </c>
      <c r="N162" s="7" t="n">
        <v>0.794</v>
      </c>
      <c r="O162" t="n">
        <v>652.3</v>
      </c>
      <c r="P162" t="n">
        <v>160</v>
      </c>
      <c r="Q162" t="inlineStr">
        <is>
          <t>2025-26 (698 FGA)</t>
        </is>
      </c>
    </row>
    <row r="163">
      <c r="A163" t="inlineStr">
        <is>
          <t>Morez Johnson Jr.</t>
        </is>
      </c>
      <c r="B163" t="inlineStr">
        <is>
          <t>DAL</t>
        </is>
      </c>
      <c r="C163" t="inlineStr">
        <is>
          <t>C,PF</t>
        </is>
      </c>
      <c r="D163" t="n">
        <v>75</v>
      </c>
      <c r="E163" t="n">
        <v>1903</v>
      </c>
      <c r="F163" t="n">
        <v>806</v>
      </c>
      <c r="G163" t="n">
        <v>420</v>
      </c>
      <c r="H163" t="n">
        <v>117</v>
      </c>
      <c r="I163" t="n">
        <v>51</v>
      </c>
      <c r="J163" t="n">
        <v>73</v>
      </c>
      <c r="K163" t="n">
        <v>27</v>
      </c>
      <c r="L163" t="n">
        <v>77</v>
      </c>
      <c r="M163" s="7" t="n">
        <v>0.517</v>
      </c>
      <c r="N163" s="7" t="n">
        <v>0.738</v>
      </c>
      <c r="O163" t="n">
        <v>610.7</v>
      </c>
      <c r="P163" t="n">
        <v>199.9</v>
      </c>
      <c r="Q163" t="inlineStr">
        <is>
          <t>C median</t>
        </is>
      </c>
      <c r="R163" t="n">
        <v>192</v>
      </c>
    </row>
    <row r="164">
      <c r="A164" t="inlineStr">
        <is>
          <t>Mark Williams</t>
        </is>
      </c>
      <c r="B164" t="inlineStr">
        <is>
          <t>PHO</t>
        </is>
      </c>
      <c r="C164" t="inlineStr">
        <is>
          <t>C</t>
        </is>
      </c>
      <c r="D164" t="n">
        <v>29</v>
      </c>
      <c r="E164" t="n">
        <v>602</v>
      </c>
      <c r="F164" t="n">
        <v>307</v>
      </c>
      <c r="G164" t="n">
        <v>209</v>
      </c>
      <c r="H164" t="n">
        <v>37</v>
      </c>
      <c r="I164" t="n">
        <v>21</v>
      </c>
      <c r="J164" t="n">
        <v>25</v>
      </c>
      <c r="K164" t="n">
        <v>0</v>
      </c>
      <c r="L164" t="n">
        <v>28</v>
      </c>
      <c r="M164" s="7" t="n">
        <v>0.635</v>
      </c>
      <c r="N164" s="7" t="n">
        <v>0.783</v>
      </c>
      <c r="O164" t="n">
        <v>196.2</v>
      </c>
      <c r="P164" t="n">
        <v>73.90000000000001</v>
      </c>
      <c r="Q164" t="inlineStr">
        <is>
          <t>2025-26 (438 FGA)</t>
        </is>
      </c>
      <c r="R164" t="n">
        <v>122</v>
      </c>
      <c r="S164" t="n">
        <v>103</v>
      </c>
    </row>
    <row r="165">
      <c r="A165" t="inlineStr">
        <is>
          <t>Naji Marshall</t>
        </is>
      </c>
      <c r="B165" t="inlineStr">
        <is>
          <t>DAL</t>
        </is>
      </c>
      <c r="C165" t="inlineStr">
        <is>
          <t>PF,SF,SG</t>
        </is>
      </c>
      <c r="D165" t="n">
        <v>74</v>
      </c>
      <c r="E165" t="n">
        <v>1682</v>
      </c>
      <c r="F165" t="n">
        <v>794</v>
      </c>
      <c r="G165" t="n">
        <v>270</v>
      </c>
      <c r="H165" t="n">
        <v>185</v>
      </c>
      <c r="I165" t="n">
        <v>60</v>
      </c>
      <c r="J165" t="n">
        <v>7</v>
      </c>
      <c r="K165" t="n">
        <v>52</v>
      </c>
      <c r="L165" t="n">
        <v>87</v>
      </c>
      <c r="M165" s="7" t="n">
        <v>0.511</v>
      </c>
      <c r="N165" s="7" t="n">
        <v>0.779</v>
      </c>
      <c r="O165" t="n">
        <v>576.2</v>
      </c>
      <c r="P165" t="n">
        <v>196.5</v>
      </c>
      <c r="Q165" t="inlineStr">
        <is>
          <t>2025-26 (821 FGA)</t>
        </is>
      </c>
    </row>
    <row r="166">
      <c r="A166" t="inlineStr">
        <is>
          <t>Jrue Holiday</t>
        </is>
      </c>
      <c r="B166" t="inlineStr">
        <is>
          <t>POR</t>
        </is>
      </c>
      <c r="C166" t="inlineStr">
        <is>
          <t>PG,SG</t>
        </is>
      </c>
      <c r="D166" t="n">
        <v>73</v>
      </c>
      <c r="E166" t="n">
        <v>1879</v>
      </c>
      <c r="F166" t="n">
        <v>769</v>
      </c>
      <c r="G166" t="n">
        <v>279</v>
      </c>
      <c r="H166" t="n">
        <v>277</v>
      </c>
      <c r="I166" t="n">
        <v>61</v>
      </c>
      <c r="J166" t="n">
        <v>22</v>
      </c>
      <c r="K166" t="n">
        <v>115</v>
      </c>
      <c r="L166" t="n">
        <v>125</v>
      </c>
      <c r="M166" s="7" t="n">
        <v>0.454</v>
      </c>
      <c r="N166" s="7" t="n">
        <v>0.858</v>
      </c>
      <c r="O166" t="n">
        <v>619.5</v>
      </c>
      <c r="P166" t="n">
        <v>106.6</v>
      </c>
      <c r="Q166" t="inlineStr">
        <is>
          <t>2025-26 (709 FGA)</t>
        </is>
      </c>
      <c r="R166" t="n">
        <v>159</v>
      </c>
      <c r="S166" t="n">
        <v>140</v>
      </c>
    </row>
    <row r="167">
      <c r="A167" t="inlineStr">
        <is>
          <t>Yaxel Lendeborg</t>
        </is>
      </c>
      <c r="B167" t="inlineStr">
        <is>
          <t>GSW</t>
        </is>
      </c>
      <c r="C167" t="inlineStr">
        <is>
          <t>PF,SF</t>
        </is>
      </c>
      <c r="D167" t="n">
        <v>75</v>
      </c>
      <c r="E167" t="n">
        <v>1873</v>
      </c>
      <c r="F167" t="n">
        <v>790</v>
      </c>
      <c r="G167" t="n">
        <v>394</v>
      </c>
      <c r="H167" t="n">
        <v>138</v>
      </c>
      <c r="I167" t="n">
        <v>65</v>
      </c>
      <c r="J167" t="n">
        <v>61</v>
      </c>
      <c r="K167" t="n">
        <v>47</v>
      </c>
      <c r="L167" t="n">
        <v>96</v>
      </c>
      <c r="M167" s="7" t="n">
        <v>0.491</v>
      </c>
      <c r="N167" s="7" t="n">
        <v>0.755</v>
      </c>
      <c r="O167" t="n">
        <v>638.4</v>
      </c>
      <c r="P167" t="n">
        <v>153.7</v>
      </c>
      <c r="Q167" t="inlineStr">
        <is>
          <t>PF median</t>
        </is>
      </c>
      <c r="R167" t="n">
        <v>157</v>
      </c>
      <c r="S167" t="n">
        <v>141</v>
      </c>
    </row>
    <row r="168">
      <c r="A168" t="inlineStr">
        <is>
          <t>Kel'el Ware</t>
        </is>
      </c>
      <c r="B168" t="inlineStr">
        <is>
          <t>MIL</t>
        </is>
      </c>
      <c r="C168" t="inlineStr">
        <is>
          <t>C</t>
        </is>
      </c>
      <c r="D168" t="n">
        <v>75</v>
      </c>
      <c r="E168" t="n">
        <v>1752</v>
      </c>
      <c r="F168" t="n">
        <v>781</v>
      </c>
      <c r="G168" t="n">
        <v>620</v>
      </c>
      <c r="H168" t="n">
        <v>58</v>
      </c>
      <c r="I168" t="n">
        <v>53</v>
      </c>
      <c r="J168" t="n">
        <v>81</v>
      </c>
      <c r="K168" t="n">
        <v>77</v>
      </c>
      <c r="L168" t="n">
        <v>65</v>
      </c>
      <c r="M168" s="7" t="n">
        <v>0.532</v>
      </c>
      <c r="N168" s="7" t="n">
        <v>0.727</v>
      </c>
      <c r="O168" t="n">
        <v>585.6</v>
      </c>
      <c r="P168" t="n">
        <v>111.4</v>
      </c>
      <c r="Q168" t="inlineStr">
        <is>
          <t>2025-26 (649 FGA)</t>
        </is>
      </c>
      <c r="R168" t="n">
        <v>78</v>
      </c>
      <c r="S168" t="n">
        <v>124</v>
      </c>
    </row>
    <row r="169">
      <c r="A169" t="inlineStr">
        <is>
          <t>Moses Moody</t>
        </is>
      </c>
      <c r="B169" t="inlineStr">
        <is>
          <t>GSW</t>
        </is>
      </c>
      <c r="C169" t="inlineStr">
        <is>
          <t>PF,SF,SG</t>
        </is>
      </c>
      <c r="D169" t="n">
        <v>36</v>
      </c>
      <c r="E169" t="n">
        <v>817</v>
      </c>
      <c r="F169" t="n">
        <v>371</v>
      </c>
      <c r="G169" t="n">
        <v>102</v>
      </c>
      <c r="H169" t="n">
        <v>48</v>
      </c>
      <c r="I169" t="n">
        <v>31</v>
      </c>
      <c r="J169" t="n">
        <v>15</v>
      </c>
      <c r="K169" t="n">
        <v>74</v>
      </c>
      <c r="L169" t="n">
        <v>29</v>
      </c>
      <c r="M169" s="7" t="n">
        <v>0.435</v>
      </c>
      <c r="N169" s="7" t="n">
        <v>0.783</v>
      </c>
      <c r="O169" t="n">
        <v>286.5</v>
      </c>
      <c r="P169" t="n">
        <v>61</v>
      </c>
      <c r="Q169" t="inlineStr">
        <is>
          <t>2025-26 (557 FGA)</t>
        </is>
      </c>
    </row>
    <row r="170">
      <c r="A170" t="inlineStr">
        <is>
          <t>Jared McCain</t>
        </is>
      </c>
      <c r="B170" t="inlineStr">
        <is>
          <t>OKC</t>
        </is>
      </c>
      <c r="C170" t="inlineStr">
        <is>
          <t>PG,SG</t>
        </is>
      </c>
      <c r="D170" t="n">
        <v>74</v>
      </c>
      <c r="E170" t="n">
        <v>1501</v>
      </c>
      <c r="F170" t="n">
        <v>757</v>
      </c>
      <c r="G170" t="n">
        <v>168</v>
      </c>
      <c r="H170" t="n">
        <v>120</v>
      </c>
      <c r="I170" t="n">
        <v>43</v>
      </c>
      <c r="J170" t="n">
        <v>4</v>
      </c>
      <c r="K170" t="n">
        <v>128</v>
      </c>
      <c r="L170" t="n">
        <v>70</v>
      </c>
      <c r="M170" s="7" t="n">
        <v>0.439</v>
      </c>
      <c r="N170" s="7" t="n">
        <v>0.863</v>
      </c>
      <c r="O170" t="n">
        <v>617.8</v>
      </c>
      <c r="P170" t="n">
        <v>100.3</v>
      </c>
      <c r="Q170" t="inlineStr">
        <is>
          <t>2025-26 (480 FGA)</t>
        </is>
      </c>
      <c r="R170" t="n">
        <v>121</v>
      </c>
      <c r="S170" t="n">
        <v>137</v>
      </c>
    </row>
    <row r="171">
      <c r="A171" t="inlineStr">
        <is>
          <t>Reed Sheppard</t>
        </is>
      </c>
      <c r="B171" t="inlineStr">
        <is>
          <t>HOU</t>
        </is>
      </c>
      <c r="C171" t="inlineStr">
        <is>
          <t>PG,SG</t>
        </is>
      </c>
      <c r="D171" t="n">
        <v>77</v>
      </c>
      <c r="E171" t="n">
        <v>1644</v>
      </c>
      <c r="F171" t="n">
        <v>791</v>
      </c>
      <c r="G171" t="n">
        <v>180</v>
      </c>
      <c r="H171" t="n">
        <v>202</v>
      </c>
      <c r="I171" t="n">
        <v>90</v>
      </c>
      <c r="J171" t="n">
        <v>42</v>
      </c>
      <c r="K171" t="n">
        <v>165</v>
      </c>
      <c r="L171" t="n">
        <v>92</v>
      </c>
      <c r="M171" s="7" t="n">
        <v>0.423</v>
      </c>
      <c r="N171" s="7" t="n">
        <v>0.802</v>
      </c>
      <c r="O171" t="n">
        <v>664.4</v>
      </c>
      <c r="P171" t="n">
        <v>79.7</v>
      </c>
      <c r="Q171" t="inlineStr">
        <is>
          <t>2025-26 (946 FGA)</t>
        </is>
      </c>
      <c r="R171" t="n">
        <v>160</v>
      </c>
      <c r="S171" t="n">
        <v>91</v>
      </c>
    </row>
    <row r="172">
      <c r="A172" t="inlineStr">
        <is>
          <t>Wendell Carter Jr.</t>
        </is>
      </c>
      <c r="B172" t="inlineStr">
        <is>
          <t>ORL</t>
        </is>
      </c>
      <c r="C172" t="inlineStr">
        <is>
          <t>C</t>
        </is>
      </c>
      <c r="D172" t="n">
        <v>75</v>
      </c>
      <c r="E172" t="n">
        <v>2021</v>
      </c>
      <c r="F172" t="n">
        <v>766</v>
      </c>
      <c r="G172" t="n">
        <v>526</v>
      </c>
      <c r="H172" t="n">
        <v>142</v>
      </c>
      <c r="I172" t="n">
        <v>54</v>
      </c>
      <c r="J172" t="n">
        <v>43</v>
      </c>
      <c r="K172" t="n">
        <v>57</v>
      </c>
      <c r="L172" t="n">
        <v>86</v>
      </c>
      <c r="M172" s="7" t="n">
        <v>0.5</v>
      </c>
      <c r="N172" s="7" t="n">
        <v>0.761</v>
      </c>
      <c r="O172" t="n">
        <v>551</v>
      </c>
      <c r="P172" t="n">
        <v>207.7</v>
      </c>
      <c r="Q172" t="inlineStr">
        <is>
          <t>2025-26 (637 FGA)</t>
        </is>
      </c>
      <c r="R172" t="n">
        <v>135</v>
      </c>
    </row>
    <row r="173">
      <c r="A173" t="inlineStr">
        <is>
          <t>Isaiah Joe</t>
        </is>
      </c>
      <c r="B173" t="inlineStr">
        <is>
          <t>DET</t>
        </is>
      </c>
      <c r="C173" t="inlineStr">
        <is>
          <t>SF,SG</t>
        </is>
      </c>
      <c r="D173" t="n">
        <v>75</v>
      </c>
      <c r="E173" t="n">
        <v>1625</v>
      </c>
      <c r="F173" t="n">
        <v>762</v>
      </c>
      <c r="G173" t="n">
        <v>198</v>
      </c>
      <c r="H173" t="n">
        <v>108</v>
      </c>
      <c r="I173" t="n">
        <v>51</v>
      </c>
      <c r="J173" t="n">
        <v>15</v>
      </c>
      <c r="K173" t="n">
        <v>178</v>
      </c>
      <c r="L173" t="n">
        <v>48</v>
      </c>
      <c r="M173" s="7" t="n">
        <v>0.447</v>
      </c>
      <c r="N173" s="7" t="n">
        <v>0.879</v>
      </c>
      <c r="O173" t="n">
        <v>532</v>
      </c>
      <c r="P173" t="n">
        <v>123.3</v>
      </c>
      <c r="Q173" t="inlineStr">
        <is>
          <t>2025-26 (543 FGA)</t>
        </is>
      </c>
    </row>
    <row r="174">
      <c r="A174" t="inlineStr">
        <is>
          <t>Donovan Clingan</t>
        </is>
      </c>
      <c r="B174" t="inlineStr">
        <is>
          <t>POR</t>
        </is>
      </c>
      <c r="C174" t="inlineStr">
        <is>
          <t>C</t>
        </is>
      </c>
      <c r="D174" t="n">
        <v>76</v>
      </c>
      <c r="E174" t="n">
        <v>1908</v>
      </c>
      <c r="F174" t="n">
        <v>764</v>
      </c>
      <c r="G174" t="n">
        <v>766</v>
      </c>
      <c r="H174" t="n">
        <v>134</v>
      </c>
      <c r="I174" t="n">
        <v>42</v>
      </c>
      <c r="J174" t="n">
        <v>128</v>
      </c>
      <c r="K174" t="n">
        <v>62</v>
      </c>
      <c r="L174" t="n">
        <v>87</v>
      </c>
      <c r="M174" s="7" t="n">
        <v>0.521</v>
      </c>
      <c r="N174" s="7" t="n">
        <v>0.662</v>
      </c>
      <c r="O174" t="n">
        <v>564.7</v>
      </c>
      <c r="P174" t="n">
        <v>171.5</v>
      </c>
      <c r="Q174" t="inlineStr">
        <is>
          <t>2025-26 (684 FGA)</t>
        </is>
      </c>
      <c r="R174" t="n">
        <v>42</v>
      </c>
      <c r="S174" t="n">
        <v>96</v>
      </c>
    </row>
    <row r="175">
      <c r="A175" t="inlineStr">
        <is>
          <t>Deandre Ayton</t>
        </is>
      </c>
      <c r="B175" t="inlineStr">
        <is>
          <t>WAS</t>
        </is>
      </c>
      <c r="C175" t="inlineStr">
        <is>
          <t>C</t>
        </is>
      </c>
      <c r="D175" t="n">
        <v>71</v>
      </c>
      <c r="E175" t="n">
        <v>1597</v>
      </c>
      <c r="F175" t="n">
        <v>711</v>
      </c>
      <c r="G175" t="n">
        <v>491</v>
      </c>
      <c r="H175" t="n">
        <v>61</v>
      </c>
      <c r="I175" t="n">
        <v>35</v>
      </c>
      <c r="J175" t="n">
        <v>53</v>
      </c>
      <c r="K175" t="n">
        <v>1</v>
      </c>
      <c r="L175" t="n">
        <v>77</v>
      </c>
      <c r="M175" s="7" t="n">
        <v>0.59</v>
      </c>
      <c r="N175" s="7" t="n">
        <v>0.671</v>
      </c>
      <c r="O175" t="n">
        <v>524.8</v>
      </c>
      <c r="P175" t="n">
        <v>135.3</v>
      </c>
      <c r="Q175" t="inlineStr">
        <is>
          <t>2025-26 (601 FGA)</t>
        </is>
      </c>
      <c r="R175" t="n">
        <v>168</v>
      </c>
      <c r="S175" t="n">
        <v>104</v>
      </c>
    </row>
    <row r="176">
      <c r="A176" t="inlineStr">
        <is>
          <t>Ajay Mitchell</t>
        </is>
      </c>
      <c r="B176" t="inlineStr">
        <is>
          <t>OKC</t>
        </is>
      </c>
      <c r="C176" t="inlineStr">
        <is>
          <t>PG,SG</t>
        </is>
      </c>
      <c r="D176" t="n">
        <v>67</v>
      </c>
      <c r="E176" t="n">
        <v>1313</v>
      </c>
      <c r="F176" t="n">
        <v>660</v>
      </c>
      <c r="G176" t="n">
        <v>160</v>
      </c>
      <c r="H176" t="n">
        <v>174</v>
      </c>
      <c r="I176" t="n">
        <v>60</v>
      </c>
      <c r="J176" t="n">
        <v>14</v>
      </c>
      <c r="K176" t="n">
        <v>53</v>
      </c>
      <c r="L176" t="n">
        <v>70</v>
      </c>
      <c r="M176" s="7" t="n">
        <v>0.483</v>
      </c>
      <c r="N176" s="7" t="n">
        <v>0.87</v>
      </c>
      <c r="O176" t="n">
        <v>505.4</v>
      </c>
      <c r="P176" t="n">
        <v>136.5</v>
      </c>
      <c r="Q176" t="inlineStr">
        <is>
          <t>2025-26 (590 FGA)</t>
        </is>
      </c>
      <c r="R176" t="n">
        <v>144</v>
      </c>
    </row>
    <row r="177">
      <c r="A177" t="inlineStr">
        <is>
          <t>Jalen Smith</t>
        </is>
      </c>
      <c r="B177" t="inlineStr">
        <is>
          <t>CHI</t>
        </is>
      </c>
      <c r="C177" t="inlineStr">
        <is>
          <t>PF,C</t>
        </is>
      </c>
      <c r="D177" t="n">
        <v>72</v>
      </c>
      <c r="E177" t="n">
        <v>1501</v>
      </c>
      <c r="F177" t="n">
        <v>712</v>
      </c>
      <c r="G177" t="n">
        <v>454</v>
      </c>
      <c r="H177" t="n">
        <v>87</v>
      </c>
      <c r="I177" t="n">
        <v>28</v>
      </c>
      <c r="J177" t="n">
        <v>58</v>
      </c>
      <c r="K177" t="n">
        <v>98</v>
      </c>
      <c r="L177" t="n">
        <v>65</v>
      </c>
      <c r="M177" s="7" t="n">
        <v>0.478</v>
      </c>
      <c r="N177" s="7" t="n">
        <v>0.76</v>
      </c>
      <c r="O177" t="n">
        <v>541.6</v>
      </c>
      <c r="P177" t="n">
        <v>126.6</v>
      </c>
      <c r="Q177" t="inlineStr">
        <is>
          <t>2025-26 (404 FGA)</t>
        </is>
      </c>
    </row>
    <row r="178">
      <c r="A178" t="inlineStr">
        <is>
          <t>Santi Aldama</t>
        </is>
      </c>
      <c r="B178" t="inlineStr">
        <is>
          <t>DAL</t>
        </is>
      </c>
      <c r="C178" t="inlineStr">
        <is>
          <t>PF,SF</t>
        </is>
      </c>
      <c r="D178" t="n">
        <v>72</v>
      </c>
      <c r="E178" t="n">
        <v>1577</v>
      </c>
      <c r="F178" t="n">
        <v>712</v>
      </c>
      <c r="G178" t="n">
        <v>349</v>
      </c>
      <c r="H178" t="n">
        <v>156</v>
      </c>
      <c r="I178" t="n">
        <v>43</v>
      </c>
      <c r="J178" t="n">
        <v>35</v>
      </c>
      <c r="K178" t="n">
        <v>93</v>
      </c>
      <c r="L178" t="n">
        <v>60</v>
      </c>
      <c r="M178" s="7" t="n">
        <v>0.484</v>
      </c>
      <c r="N178" s="7" t="n">
        <v>0.671</v>
      </c>
      <c r="O178" t="n">
        <v>548.3</v>
      </c>
      <c r="P178" t="n">
        <v>131.5</v>
      </c>
      <c r="Q178" t="inlineStr">
        <is>
          <t>2025-26 (476 FGA)</t>
        </is>
      </c>
      <c r="S178" t="n">
        <v>131</v>
      </c>
    </row>
    <row r="179">
      <c r="A179" t="inlineStr">
        <is>
          <t>Ausar Thompson</t>
        </is>
      </c>
      <c r="B179" t="inlineStr">
        <is>
          <t>DET</t>
        </is>
      </c>
      <c r="C179" t="inlineStr">
        <is>
          <t>PF,SF,SG</t>
        </is>
      </c>
      <c r="D179" t="n">
        <v>74</v>
      </c>
      <c r="E179" t="n">
        <v>1930</v>
      </c>
      <c r="F179" t="n">
        <v>730</v>
      </c>
      <c r="G179" t="n">
        <v>431</v>
      </c>
      <c r="H179" t="n">
        <v>214</v>
      </c>
      <c r="I179" t="n">
        <v>142</v>
      </c>
      <c r="J179" t="n">
        <v>73</v>
      </c>
      <c r="K179" t="n">
        <v>8</v>
      </c>
      <c r="L179" t="n">
        <v>113</v>
      </c>
      <c r="M179" s="7" t="n">
        <v>0.523</v>
      </c>
      <c r="N179" s="7" t="n">
        <v>0.585</v>
      </c>
      <c r="O179" t="n">
        <v>588.9</v>
      </c>
      <c r="P179" t="n">
        <v>181.3</v>
      </c>
      <c r="Q179" t="inlineStr">
        <is>
          <t>2025-26 (577 FGA)</t>
        </is>
      </c>
      <c r="R179" t="n">
        <v>100</v>
      </c>
      <c r="S179" t="n">
        <v>98</v>
      </c>
    </row>
    <row r="180">
      <c r="A180" t="inlineStr">
        <is>
          <t>Collin Gillespie</t>
        </is>
      </c>
      <c r="B180" t="inlineStr">
        <is>
          <t>PHO</t>
        </is>
      </c>
      <c r="C180" t="inlineStr">
        <is>
          <t>PG,SG</t>
        </is>
      </c>
      <c r="D180" t="n">
        <v>76</v>
      </c>
      <c r="E180" t="n">
        <v>1738</v>
      </c>
      <c r="F180" t="n">
        <v>741</v>
      </c>
      <c r="G180" t="n">
        <v>261</v>
      </c>
      <c r="H180" t="n">
        <v>279</v>
      </c>
      <c r="I180" t="n">
        <v>84</v>
      </c>
      <c r="J180" t="n">
        <v>15</v>
      </c>
      <c r="K180" t="n">
        <v>167</v>
      </c>
      <c r="L180" t="n">
        <v>88</v>
      </c>
      <c r="M180" s="7" t="n">
        <v>0.42</v>
      </c>
      <c r="N180" s="7" t="n">
        <v>0.871</v>
      </c>
      <c r="O180" t="n">
        <v>600.6</v>
      </c>
      <c r="P180" t="n">
        <v>79.8</v>
      </c>
      <c r="Q180" t="inlineStr">
        <is>
          <t>2025-26 (842 FGA)</t>
        </is>
      </c>
      <c r="R180" t="n">
        <v>194</v>
      </c>
    </row>
    <row r="181">
      <c r="A181" t="inlineStr">
        <is>
          <t>Derrick Jones Jr.</t>
        </is>
      </c>
      <c r="B181" t="inlineStr">
        <is>
          <t>LAC</t>
        </is>
      </c>
      <c r="C181" t="inlineStr">
        <is>
          <t>SF,PF</t>
        </is>
      </c>
      <c r="D181" t="n">
        <v>73</v>
      </c>
      <c r="E181" t="n">
        <v>1852</v>
      </c>
      <c r="F181" t="n">
        <v>716</v>
      </c>
      <c r="G181" t="n">
        <v>245</v>
      </c>
      <c r="H181" t="n">
        <v>76</v>
      </c>
      <c r="I181" t="n">
        <v>66</v>
      </c>
      <c r="J181" t="n">
        <v>52</v>
      </c>
      <c r="K181" t="n">
        <v>80</v>
      </c>
      <c r="L181" t="n">
        <v>57</v>
      </c>
      <c r="M181" s="7" t="n">
        <v>0.506</v>
      </c>
      <c r="N181" s="7" t="n">
        <v>0.729</v>
      </c>
      <c r="O181" t="n">
        <v>534</v>
      </c>
      <c r="P181" t="n">
        <v>131.2</v>
      </c>
      <c r="Q181" t="inlineStr">
        <is>
          <t>2025-26 (379 FGA)</t>
        </is>
      </c>
    </row>
    <row r="182">
      <c r="A182" t="inlineStr">
        <is>
          <t>Obi Toppin</t>
        </is>
      </c>
      <c r="B182" t="inlineStr">
        <is>
          <t>IND</t>
        </is>
      </c>
      <c r="C182" t="inlineStr">
        <is>
          <t>PF,SF</t>
        </is>
      </c>
      <c r="D182" t="n">
        <v>71</v>
      </c>
      <c r="E182" t="n">
        <v>1304</v>
      </c>
      <c r="F182" t="n">
        <v>687</v>
      </c>
      <c r="G182" t="n">
        <v>262</v>
      </c>
      <c r="H182" t="n">
        <v>111</v>
      </c>
      <c r="I182" t="n">
        <v>36</v>
      </c>
      <c r="J182" t="n">
        <v>21</v>
      </c>
      <c r="K182" t="n">
        <v>85</v>
      </c>
      <c r="L182" t="n">
        <v>58</v>
      </c>
      <c r="M182" s="7" t="n">
        <v>0.536</v>
      </c>
      <c r="N182" s="7" t="n">
        <v>0.799</v>
      </c>
      <c r="O182" t="n">
        <v>477.6</v>
      </c>
      <c r="P182" t="n">
        <v>112.7</v>
      </c>
      <c r="Q182" t="inlineStr">
        <is>
          <t>2025-26 (199 FGA)</t>
        </is>
      </c>
      <c r="S182" t="n">
        <v>165</v>
      </c>
    </row>
    <row r="183">
      <c r="A183" t="inlineStr">
        <is>
          <t>Isaiah Hartenstein</t>
        </is>
      </c>
      <c r="B183" t="inlineStr">
        <is>
          <t>OKC</t>
        </is>
      </c>
      <c r="C183" t="inlineStr">
        <is>
          <t>C</t>
        </is>
      </c>
      <c r="D183" t="n">
        <v>71</v>
      </c>
      <c r="E183" t="n">
        <v>1788</v>
      </c>
      <c r="F183" t="n">
        <v>691</v>
      </c>
      <c r="G183" t="n">
        <v>640</v>
      </c>
      <c r="H183" t="n">
        <v>234</v>
      </c>
      <c r="I183" t="n">
        <v>67</v>
      </c>
      <c r="J183" t="n">
        <v>55</v>
      </c>
      <c r="K183" t="n">
        <v>0</v>
      </c>
      <c r="L183" t="n">
        <v>116</v>
      </c>
      <c r="M183" s="7" t="n">
        <v>0.612</v>
      </c>
      <c r="N183" s="7" t="n">
        <v>0.649</v>
      </c>
      <c r="O183" t="n">
        <v>477.5</v>
      </c>
      <c r="P183" t="n">
        <v>164.1</v>
      </c>
      <c r="Q183" t="inlineStr">
        <is>
          <t>2025-26 (296 FGA)</t>
        </is>
      </c>
      <c r="R183" t="n">
        <v>120</v>
      </c>
      <c r="S183" t="n">
        <v>112</v>
      </c>
    </row>
    <row r="184">
      <c r="A184" t="inlineStr">
        <is>
          <t>Sam Merrill</t>
        </is>
      </c>
      <c r="B184" t="inlineStr">
        <is>
          <t>CLE</t>
        </is>
      </c>
      <c r="C184" t="inlineStr">
        <is>
          <t>SF,SG</t>
        </is>
      </c>
      <c r="D184" t="n">
        <v>70</v>
      </c>
      <c r="E184" t="n">
        <v>1585</v>
      </c>
      <c r="F184" t="n">
        <v>680</v>
      </c>
      <c r="G184" t="n">
        <v>164</v>
      </c>
      <c r="H184" t="n">
        <v>136</v>
      </c>
      <c r="I184" t="n">
        <v>46</v>
      </c>
      <c r="J184" t="n">
        <v>10</v>
      </c>
      <c r="K184" t="n">
        <v>167</v>
      </c>
      <c r="L184" t="n">
        <v>46</v>
      </c>
      <c r="M184" s="7" t="n">
        <v>0.441</v>
      </c>
      <c r="N184" s="7" t="n">
        <v>0.868</v>
      </c>
      <c r="O184" t="n">
        <v>497.1</v>
      </c>
      <c r="P184" t="n">
        <v>85.90000000000001</v>
      </c>
      <c r="Q184" t="inlineStr">
        <is>
          <t>2025-26 (484 FGA)</t>
        </is>
      </c>
    </row>
    <row r="185">
      <c r="A185" t="inlineStr">
        <is>
          <t>Scotty Pippen Jr.</t>
        </is>
      </c>
      <c r="B185" t="inlineStr">
        <is>
          <t>MEM</t>
        </is>
      </c>
      <c r="C185" t="inlineStr">
        <is>
          <t>PG,SG</t>
        </is>
      </c>
      <c r="D185" t="n">
        <v>71</v>
      </c>
      <c r="E185" t="n">
        <v>1483</v>
      </c>
      <c r="F185" t="n">
        <v>680</v>
      </c>
      <c r="G185" t="n">
        <v>191</v>
      </c>
      <c r="H185" t="n">
        <v>292</v>
      </c>
      <c r="I185" t="n">
        <v>96</v>
      </c>
      <c r="J185" t="n">
        <v>25</v>
      </c>
      <c r="K185" t="n">
        <v>74</v>
      </c>
      <c r="L185" t="n">
        <v>133</v>
      </c>
      <c r="M185" s="7" t="n">
        <v>0.459</v>
      </c>
      <c r="N185" s="7" t="n">
        <v>0.747</v>
      </c>
      <c r="O185" t="n">
        <v>548.1</v>
      </c>
      <c r="P185" t="n">
        <v>137.7</v>
      </c>
      <c r="Q185" t="inlineStr">
        <is>
          <t>2025-26 (96 FGA)</t>
        </is>
      </c>
      <c r="S185" t="n">
        <v>159</v>
      </c>
    </row>
    <row r="186">
      <c r="A186" t="inlineStr">
        <is>
          <t>Dennis Schroder</t>
        </is>
      </c>
      <c r="B186" t="inlineStr">
        <is>
          <t>CHA</t>
        </is>
      </c>
      <c r="C186" t="inlineStr">
        <is>
          <t>PG,SG</t>
        </is>
      </c>
      <c r="D186" t="n">
        <v>75</v>
      </c>
      <c r="E186" t="n">
        <v>1643</v>
      </c>
      <c r="F186" t="n">
        <v>717</v>
      </c>
      <c r="G186" t="n">
        <v>164</v>
      </c>
      <c r="H186" t="n">
        <v>306</v>
      </c>
      <c r="I186" t="n">
        <v>44</v>
      </c>
      <c r="J186" t="n">
        <v>11</v>
      </c>
      <c r="K186" t="n">
        <v>96</v>
      </c>
      <c r="L186" t="n">
        <v>111</v>
      </c>
      <c r="M186" s="7" t="n">
        <v>0.408</v>
      </c>
      <c r="N186" s="7" t="n">
        <v>0.833</v>
      </c>
      <c r="O186" t="n">
        <v>578.4</v>
      </c>
      <c r="P186" t="n">
        <v>178.9</v>
      </c>
      <c r="Q186" t="inlineStr">
        <is>
          <t>2025-26 (629 FGA)</t>
        </is>
      </c>
      <c r="S186" t="n">
        <v>175</v>
      </c>
    </row>
    <row r="187">
      <c r="A187" t="inlineStr">
        <is>
          <t>Tre Jones</t>
        </is>
      </c>
      <c r="B187" t="inlineStr">
        <is>
          <t>CHI</t>
        </is>
      </c>
      <c r="C187" t="inlineStr">
        <is>
          <t>PG,SG</t>
        </is>
      </c>
      <c r="D187" t="n">
        <v>73</v>
      </c>
      <c r="E187" t="n">
        <v>1478</v>
      </c>
      <c r="F187" t="n">
        <v>682</v>
      </c>
      <c r="G187" t="n">
        <v>161</v>
      </c>
      <c r="H187" t="n">
        <v>281</v>
      </c>
      <c r="I187" t="n">
        <v>62</v>
      </c>
      <c r="J187" t="n">
        <v>7</v>
      </c>
      <c r="K187" t="n">
        <v>32</v>
      </c>
      <c r="L187" t="n">
        <v>69</v>
      </c>
      <c r="M187" s="7" t="n">
        <v>0.545</v>
      </c>
      <c r="N187" s="7" t="n">
        <v>0.841</v>
      </c>
      <c r="O187" t="n">
        <v>472.2</v>
      </c>
      <c r="P187" t="n">
        <v>160.9</v>
      </c>
      <c r="Q187" t="inlineStr">
        <is>
          <t>2025-26 (617 FGA)</t>
        </is>
      </c>
    </row>
    <row r="188">
      <c r="A188" t="inlineStr">
        <is>
          <t>Sam Hauser</t>
        </is>
      </c>
      <c r="B188" t="inlineStr">
        <is>
          <t>BOS</t>
        </is>
      </c>
      <c r="C188" t="inlineStr">
        <is>
          <t>SF,PF</t>
        </is>
      </c>
      <c r="D188" t="n">
        <v>78</v>
      </c>
      <c r="E188" t="n">
        <v>1880</v>
      </c>
      <c r="F188" t="n">
        <v>723</v>
      </c>
      <c r="G188" t="n">
        <v>286</v>
      </c>
      <c r="H188" t="n">
        <v>96</v>
      </c>
      <c r="I188" t="n">
        <v>37</v>
      </c>
      <c r="J188" t="n">
        <v>19</v>
      </c>
      <c r="K188" t="n">
        <v>198</v>
      </c>
      <c r="L188" t="n">
        <v>32</v>
      </c>
      <c r="M188" s="7" t="n">
        <v>0.423</v>
      </c>
      <c r="N188" s="7" t="n">
        <v>0.888</v>
      </c>
      <c r="O188" t="n">
        <v>569</v>
      </c>
      <c r="P188" t="n">
        <v>49.2</v>
      </c>
      <c r="Q188" t="inlineStr">
        <is>
          <t>2025-26 (601 FGA)</t>
        </is>
      </c>
      <c r="R188" t="n">
        <v>133</v>
      </c>
    </row>
    <row r="189">
      <c r="A189" t="inlineStr">
        <is>
          <t>Jusuf Nurkic</t>
        </is>
      </c>
      <c r="B189" t="inlineStr">
        <is>
          <t>UTH</t>
        </is>
      </c>
      <c r="C189" t="inlineStr">
        <is>
          <t>C</t>
        </is>
      </c>
      <c r="D189" t="n">
        <v>68</v>
      </c>
      <c r="E189" t="n">
        <v>1557</v>
      </c>
      <c r="F189" t="n">
        <v>627</v>
      </c>
      <c r="G189" t="n">
        <v>560</v>
      </c>
      <c r="H189" t="n">
        <v>220</v>
      </c>
      <c r="I189" t="n">
        <v>68</v>
      </c>
      <c r="J189" t="n">
        <v>40</v>
      </c>
      <c r="K189" t="n">
        <v>33</v>
      </c>
      <c r="L189" t="n">
        <v>132</v>
      </c>
      <c r="M189" s="7" t="n">
        <v>0.495</v>
      </c>
      <c r="N189" s="7" t="n">
        <v>0.615</v>
      </c>
      <c r="O189" t="n">
        <v>500.6</v>
      </c>
      <c r="P189" t="n">
        <v>160.1</v>
      </c>
      <c r="Q189" t="inlineStr">
        <is>
          <t>2025-26 (358 FGA)</t>
        </is>
      </c>
      <c r="R189" t="n">
        <v>166</v>
      </c>
      <c r="S189" t="n">
        <v>158</v>
      </c>
    </row>
    <row r="190">
      <c r="A190" t="inlineStr">
        <is>
          <t>Bilal Coulibaly</t>
        </is>
      </c>
      <c r="B190" t="inlineStr">
        <is>
          <t>WAS</t>
        </is>
      </c>
      <c r="C190" t="inlineStr">
        <is>
          <t>SG,SF</t>
        </is>
      </c>
      <c r="D190" t="n">
        <v>73</v>
      </c>
      <c r="E190" t="n">
        <v>1686</v>
      </c>
      <c r="F190" t="n">
        <v>677</v>
      </c>
      <c r="G190" t="n">
        <v>260</v>
      </c>
      <c r="H190" t="n">
        <v>154</v>
      </c>
      <c r="I190" t="n">
        <v>76</v>
      </c>
      <c r="J190" t="n">
        <v>50</v>
      </c>
      <c r="K190" t="n">
        <v>60</v>
      </c>
      <c r="L190" t="n">
        <v>96</v>
      </c>
      <c r="M190" s="7" t="n">
        <v>0.433</v>
      </c>
      <c r="N190" s="7" t="n">
        <v>0.747</v>
      </c>
      <c r="O190" t="n">
        <v>566.5</v>
      </c>
      <c r="P190" t="n">
        <v>169.2</v>
      </c>
      <c r="Q190" t="inlineStr">
        <is>
          <t>2025-26 (541 FGA)</t>
        </is>
      </c>
    </row>
    <row r="191">
      <c r="A191" t="inlineStr">
        <is>
          <t>Brook Lopez</t>
        </is>
      </c>
      <c r="B191" t="inlineStr">
        <is>
          <t>LAC</t>
        </is>
      </c>
      <c r="C191" t="inlineStr">
        <is>
          <t>C</t>
        </is>
      </c>
      <c r="D191" t="n">
        <v>75</v>
      </c>
      <c r="E191" t="n">
        <v>1760</v>
      </c>
      <c r="F191" t="n">
        <v>694</v>
      </c>
      <c r="G191" t="n">
        <v>289</v>
      </c>
      <c r="H191" t="n">
        <v>99</v>
      </c>
      <c r="I191" t="n">
        <v>42</v>
      </c>
      <c r="J191" t="n">
        <v>104</v>
      </c>
      <c r="K191" t="n">
        <v>106</v>
      </c>
      <c r="L191" t="n">
        <v>59</v>
      </c>
      <c r="M191" s="7" t="n">
        <v>0.473</v>
      </c>
      <c r="N191" s="7" t="n">
        <v>0.8080000000000001</v>
      </c>
      <c r="O191" t="n">
        <v>535.6</v>
      </c>
      <c r="P191" t="n">
        <v>100.7</v>
      </c>
      <c r="Q191" t="inlineStr">
        <is>
          <t>2025-26 (542 FGA)</t>
        </is>
      </c>
      <c r="R191" t="n">
        <v>77</v>
      </c>
    </row>
    <row r="192">
      <c r="A192" t="inlineStr">
        <is>
          <t>Danny Wolf</t>
        </is>
      </c>
      <c r="B192" t="inlineStr">
        <is>
          <t>BKN</t>
        </is>
      </c>
      <c r="C192" t="inlineStr">
        <is>
          <t>C,PF</t>
        </is>
      </c>
      <c r="D192" t="n">
        <v>75</v>
      </c>
      <c r="E192" t="n">
        <v>1569</v>
      </c>
      <c r="F192" t="n">
        <v>689</v>
      </c>
      <c r="G192" t="n">
        <v>356</v>
      </c>
      <c r="H192" t="n">
        <v>161</v>
      </c>
      <c r="I192" t="n">
        <v>38</v>
      </c>
      <c r="J192" t="n">
        <v>41</v>
      </c>
      <c r="K192" t="n">
        <v>87</v>
      </c>
      <c r="L192" t="n">
        <v>93</v>
      </c>
      <c r="M192" s="7" t="n">
        <v>0.436</v>
      </c>
      <c r="N192" s="7" t="n">
        <v>0.771</v>
      </c>
      <c r="O192" t="n">
        <v>556.3</v>
      </c>
      <c r="P192" t="n">
        <v>151.6</v>
      </c>
      <c r="Q192" t="inlineStr">
        <is>
          <t>2025-26 (440 FGA)</t>
        </is>
      </c>
    </row>
    <row r="193">
      <c r="A193" t="inlineStr">
        <is>
          <t>Kyle Filipowski</t>
        </is>
      </c>
      <c r="B193" t="inlineStr">
        <is>
          <t>UTH</t>
        </is>
      </c>
      <c r="C193" t="inlineStr">
        <is>
          <t>C,PF</t>
        </is>
      </c>
      <c r="D193" t="n">
        <v>76</v>
      </c>
      <c r="E193" t="n">
        <v>1514</v>
      </c>
      <c r="F193" t="n">
        <v>695</v>
      </c>
      <c r="G193" t="n">
        <v>430</v>
      </c>
      <c r="H193" t="n">
        <v>156</v>
      </c>
      <c r="I193" t="n">
        <v>60</v>
      </c>
      <c r="J193" t="n">
        <v>30</v>
      </c>
      <c r="K193" t="n">
        <v>62</v>
      </c>
      <c r="L193" t="n">
        <v>97</v>
      </c>
      <c r="M193" s="7" t="n">
        <v>0.492</v>
      </c>
      <c r="N193" s="7" t="n">
        <v>0.725</v>
      </c>
      <c r="O193" t="n">
        <v>519.4</v>
      </c>
      <c r="P193" t="n">
        <v>168.2</v>
      </c>
      <c r="Q193" t="inlineStr">
        <is>
          <t>2025-26 (657 FGA)</t>
        </is>
      </c>
      <c r="R193" t="n">
        <v>173</v>
      </c>
      <c r="S193" t="n">
        <v>183</v>
      </c>
    </row>
    <row r="194">
      <c r="A194" t="inlineStr">
        <is>
          <t>Daniel Gafford</t>
        </is>
      </c>
      <c r="B194" t="inlineStr">
        <is>
          <t>DAL</t>
        </is>
      </c>
      <c r="C194" t="inlineStr">
        <is>
          <t>C</t>
        </is>
      </c>
      <c r="D194" t="n">
        <v>73</v>
      </c>
      <c r="E194" t="n">
        <v>1403</v>
      </c>
      <c r="F194" t="n">
        <v>671</v>
      </c>
      <c r="G194" t="n">
        <v>419</v>
      </c>
      <c r="H194" t="n">
        <v>81</v>
      </c>
      <c r="I194" t="n">
        <v>40</v>
      </c>
      <c r="J194" t="n">
        <v>95</v>
      </c>
      <c r="K194" t="n">
        <v>0</v>
      </c>
      <c r="L194" t="n">
        <v>66</v>
      </c>
      <c r="M194" s="7" t="n">
        <v>0.696</v>
      </c>
      <c r="N194" s="7" t="n">
        <v>0.6870000000000001</v>
      </c>
      <c r="O194" t="n">
        <v>396.2</v>
      </c>
      <c r="P194" t="n">
        <v>173.9</v>
      </c>
      <c r="Q194" t="inlineStr">
        <is>
          <t>2025-26 (316 FGA)</t>
        </is>
      </c>
      <c r="R194" t="n">
        <v>109</v>
      </c>
      <c r="S194" t="n">
        <v>130</v>
      </c>
    </row>
    <row r="195">
      <c r="A195" t="inlineStr">
        <is>
          <t>Kevin Huerter</t>
        </is>
      </c>
      <c r="B195" t="inlineStr">
        <is>
          <t>DET</t>
        </is>
      </c>
      <c r="C195" t="inlineStr">
        <is>
          <t>SG,SF</t>
        </is>
      </c>
      <c r="D195" t="n">
        <v>74</v>
      </c>
      <c r="E195" t="n">
        <v>1645</v>
      </c>
      <c r="F195" t="n">
        <v>673</v>
      </c>
      <c r="G195" t="n">
        <v>233</v>
      </c>
      <c r="H195" t="n">
        <v>165</v>
      </c>
      <c r="I195" t="n">
        <v>69</v>
      </c>
      <c r="J195" t="n">
        <v>34</v>
      </c>
      <c r="K195" t="n">
        <v>105</v>
      </c>
      <c r="L195" t="n">
        <v>73</v>
      </c>
      <c r="M195" s="7" t="n">
        <v>0.444</v>
      </c>
      <c r="N195" s="7" t="n">
        <v>0.764</v>
      </c>
      <c r="O195" t="n">
        <v>568.7</v>
      </c>
      <c r="P195" t="n">
        <v>82.40000000000001</v>
      </c>
      <c r="Q195" t="inlineStr">
        <is>
          <t>2025-26 (596 FGA)</t>
        </is>
      </c>
    </row>
    <row r="196">
      <c r="A196" t="inlineStr">
        <is>
          <t>Tari Eason</t>
        </is>
      </c>
      <c r="B196" t="inlineStr">
        <is>
          <t>HOU</t>
        </is>
      </c>
      <c r="C196" t="inlineStr">
        <is>
          <t>PF,SF,SG</t>
        </is>
      </c>
      <c r="D196" t="n">
        <v>72</v>
      </c>
      <c r="E196" t="n">
        <v>1583</v>
      </c>
      <c r="F196" t="n">
        <v>653</v>
      </c>
      <c r="G196" t="n">
        <v>381</v>
      </c>
      <c r="H196" t="n">
        <v>86</v>
      </c>
      <c r="I196" t="n">
        <v>81</v>
      </c>
      <c r="J196" t="n">
        <v>36</v>
      </c>
      <c r="K196" t="n">
        <v>86</v>
      </c>
      <c r="L196" t="n">
        <v>80</v>
      </c>
      <c r="M196" s="7" t="n">
        <v>0.444</v>
      </c>
      <c r="N196" s="7" t="n">
        <v>0.765</v>
      </c>
      <c r="O196" t="n">
        <v>566.5</v>
      </c>
      <c r="P196" t="n">
        <v>83.59999999999999</v>
      </c>
      <c r="Q196" t="inlineStr">
        <is>
          <t>2025-26 (580 FGA)</t>
        </is>
      </c>
      <c r="S196" t="n">
        <v>142</v>
      </c>
    </row>
    <row r="197">
      <c r="A197" t="inlineStr">
        <is>
          <t>Neemias Queta</t>
        </is>
      </c>
      <c r="B197" t="inlineStr">
        <is>
          <t>BOS</t>
        </is>
      </c>
      <c r="C197" t="inlineStr">
        <is>
          <t>C</t>
        </is>
      </c>
      <c r="D197" t="n">
        <v>75</v>
      </c>
      <c r="E197" t="n">
        <v>1640</v>
      </c>
      <c r="F197" t="n">
        <v>679</v>
      </c>
      <c r="G197" t="n">
        <v>534</v>
      </c>
      <c r="H197" t="n">
        <v>99</v>
      </c>
      <c r="I197" t="n">
        <v>45</v>
      </c>
      <c r="J197" t="n">
        <v>79</v>
      </c>
      <c r="K197" t="n">
        <v>0</v>
      </c>
      <c r="L197" t="n">
        <v>70</v>
      </c>
      <c r="M197" s="7" t="n">
        <v>0.642</v>
      </c>
      <c r="N197" s="7" t="n">
        <v>0.713</v>
      </c>
      <c r="O197" t="n">
        <v>444</v>
      </c>
      <c r="P197" t="n">
        <v>152.7</v>
      </c>
      <c r="Q197" t="inlineStr">
        <is>
          <t>2025-26 (499 FGA)</t>
        </is>
      </c>
      <c r="R197" t="n">
        <v>124</v>
      </c>
      <c r="S197" t="n">
        <v>147</v>
      </c>
    </row>
    <row r="198">
      <c r="A198" t="inlineStr">
        <is>
          <t>Julian Champagnie</t>
        </is>
      </c>
      <c r="B198" t="inlineStr">
        <is>
          <t>SAS</t>
        </is>
      </c>
      <c r="C198" t="inlineStr">
        <is>
          <t>PF,SF,SG</t>
        </is>
      </c>
      <c r="D198" t="n">
        <v>80</v>
      </c>
      <c r="E198" t="n">
        <v>1873</v>
      </c>
      <c r="F198" t="n">
        <v>719</v>
      </c>
      <c r="G198" t="n">
        <v>359</v>
      </c>
      <c r="H198" t="n">
        <v>101</v>
      </c>
      <c r="I198" t="n">
        <v>51</v>
      </c>
      <c r="J198" t="n">
        <v>32</v>
      </c>
      <c r="K198" t="n">
        <v>154</v>
      </c>
      <c r="L198" t="n">
        <v>55</v>
      </c>
      <c r="M198" s="7" t="n">
        <v>0.432</v>
      </c>
      <c r="N198" s="7" t="n">
        <v>0.855</v>
      </c>
      <c r="O198" t="n">
        <v>543.2</v>
      </c>
      <c r="P198" t="n">
        <v>111.9</v>
      </c>
      <c r="Q198" t="inlineStr">
        <is>
          <t>2025-26 (689 FGA)</t>
        </is>
      </c>
      <c r="R198" t="n">
        <v>165</v>
      </c>
      <c r="S198" t="n">
        <v>163</v>
      </c>
    </row>
    <row r="199">
      <c r="A199" t="inlineStr">
        <is>
          <t>Isaiah Collier</t>
        </is>
      </c>
      <c r="B199" t="inlineStr">
        <is>
          <t>UTH</t>
        </is>
      </c>
      <c r="C199" t="inlineStr">
        <is>
          <t>PG,SG</t>
        </is>
      </c>
      <c r="D199" t="n">
        <v>73</v>
      </c>
      <c r="E199" t="n">
        <v>1666</v>
      </c>
      <c r="F199" t="n">
        <v>651</v>
      </c>
      <c r="G199" t="n">
        <v>171</v>
      </c>
      <c r="H199" t="n">
        <v>425</v>
      </c>
      <c r="I199" t="n">
        <v>70</v>
      </c>
      <c r="J199" t="n">
        <v>18</v>
      </c>
      <c r="K199" t="n">
        <v>30</v>
      </c>
      <c r="L199" t="n">
        <v>157</v>
      </c>
      <c r="M199" s="7" t="n">
        <v>0.467</v>
      </c>
      <c r="N199" s="7" t="n">
        <v>0.714</v>
      </c>
      <c r="O199" t="n">
        <v>520.1</v>
      </c>
      <c r="P199" t="n">
        <v>189.4</v>
      </c>
      <c r="Q199" t="inlineStr">
        <is>
          <t>2025-26 (515 FGA)</t>
        </is>
      </c>
      <c r="R199" t="n">
        <v>178</v>
      </c>
      <c r="S199" t="n">
        <v>169</v>
      </c>
    </row>
    <row r="200">
      <c r="A200" t="inlineStr">
        <is>
          <t>Luguentz Dort</t>
        </is>
      </c>
      <c r="B200" t="inlineStr">
        <is>
          <t>ATL</t>
        </is>
      </c>
      <c r="C200" t="inlineStr">
        <is>
          <t>SG,SF</t>
        </is>
      </c>
      <c r="D200" t="n">
        <v>75</v>
      </c>
      <c r="E200" t="n">
        <v>2090</v>
      </c>
      <c r="F200" t="n">
        <v>669</v>
      </c>
      <c r="G200" t="n">
        <v>267</v>
      </c>
      <c r="H200" t="n">
        <v>107</v>
      </c>
      <c r="I200" t="n">
        <v>67</v>
      </c>
      <c r="J200" t="n">
        <v>32</v>
      </c>
      <c r="K200" t="n">
        <v>152</v>
      </c>
      <c r="L200" t="n">
        <v>61</v>
      </c>
      <c r="M200" s="7" t="n">
        <v>0.409</v>
      </c>
      <c r="N200" s="7" t="n">
        <v>0.749</v>
      </c>
      <c r="O200" t="n">
        <v>559.6</v>
      </c>
      <c r="P200" t="n">
        <v>79.09999999999999</v>
      </c>
      <c r="Q200" t="inlineStr">
        <is>
          <t>2025-26 (524 FGA)</t>
        </is>
      </c>
      <c r="S200" t="n">
        <v>188</v>
      </c>
    </row>
    <row r="201">
      <c r="A201" t="inlineStr">
        <is>
          <t>Dereck Lively II</t>
        </is>
      </c>
      <c r="B201" t="inlineStr">
        <is>
          <t>DAL</t>
        </is>
      </c>
      <c r="C201" t="inlineStr">
        <is>
          <t>C</t>
        </is>
      </c>
      <c r="D201" t="n">
        <v>72</v>
      </c>
      <c r="E201" t="n">
        <v>1678</v>
      </c>
      <c r="F201" t="n">
        <v>634</v>
      </c>
      <c r="G201" t="n">
        <v>487</v>
      </c>
      <c r="H201" t="n">
        <v>152</v>
      </c>
      <c r="I201" t="n">
        <v>42</v>
      </c>
      <c r="J201" t="n">
        <v>98</v>
      </c>
      <c r="K201" t="n">
        <v>0</v>
      </c>
      <c r="L201" t="n">
        <v>72</v>
      </c>
      <c r="M201" s="7" t="n">
        <v>0.725</v>
      </c>
      <c r="N201" s="7" t="n">
        <v>0.618</v>
      </c>
      <c r="O201" t="n">
        <v>381</v>
      </c>
      <c r="P201" t="n">
        <v>131.9</v>
      </c>
      <c r="Q201" t="inlineStr">
        <is>
          <t>2025-26 (18 FGA)</t>
        </is>
      </c>
    </row>
    <row r="202">
      <c r="A202" t="inlineStr">
        <is>
          <t>Davion Mitchell</t>
        </is>
      </c>
      <c r="B202" t="inlineStr">
        <is>
          <t>MIA</t>
        </is>
      </c>
      <c r="C202" t="inlineStr">
        <is>
          <t>PG</t>
        </is>
      </c>
      <c r="D202" t="n">
        <v>75</v>
      </c>
      <c r="E202" t="n">
        <v>2096</v>
      </c>
      <c r="F202" t="n">
        <v>659</v>
      </c>
      <c r="G202" t="n">
        <v>182</v>
      </c>
      <c r="H202" t="n">
        <v>437</v>
      </c>
      <c r="I202" t="n">
        <v>73</v>
      </c>
      <c r="J202" t="n">
        <v>15</v>
      </c>
      <c r="K202" t="n">
        <v>92</v>
      </c>
      <c r="L202" t="n">
        <v>114</v>
      </c>
      <c r="M202" s="7" t="n">
        <v>0.488</v>
      </c>
      <c r="N202" s="7" t="n">
        <v>0.654</v>
      </c>
      <c r="O202" t="n">
        <v>525.1</v>
      </c>
      <c r="P202" t="n">
        <v>83.40000000000001</v>
      </c>
      <c r="Q202" t="inlineStr">
        <is>
          <t>2025-26 (533 FGA)</t>
        </is>
      </c>
      <c r="R202" t="n">
        <v>151</v>
      </c>
      <c r="S202" t="n">
        <v>185</v>
      </c>
    </row>
    <row r="203">
      <c r="A203" t="inlineStr">
        <is>
          <t>Day'Ron Sharpe</t>
        </is>
      </c>
      <c r="B203" t="inlineStr">
        <is>
          <t>BKN</t>
        </is>
      </c>
      <c r="C203" t="inlineStr">
        <is>
          <t>C</t>
        </is>
      </c>
      <c r="D203" t="n">
        <v>74</v>
      </c>
      <c r="E203" t="n">
        <v>1503</v>
      </c>
      <c r="F203" t="n">
        <v>648</v>
      </c>
      <c r="G203" t="n">
        <v>511</v>
      </c>
      <c r="H203" t="n">
        <v>153</v>
      </c>
      <c r="I203" t="n">
        <v>65</v>
      </c>
      <c r="J203" t="n">
        <v>59</v>
      </c>
      <c r="K203" t="n">
        <v>15</v>
      </c>
      <c r="L203" t="n">
        <v>111</v>
      </c>
      <c r="M203" s="7" t="n">
        <v>0.5580000000000001</v>
      </c>
      <c r="N203" s="7" t="n">
        <v>0.698</v>
      </c>
      <c r="O203" t="n">
        <v>455.7</v>
      </c>
      <c r="P203" t="n">
        <v>178.2</v>
      </c>
      <c r="Q203" t="inlineStr">
        <is>
          <t>2025-26 (356 FGA)</t>
        </is>
      </c>
      <c r="R203" t="n">
        <v>103</v>
      </c>
    </row>
    <row r="204">
      <c r="A204" t="inlineStr">
        <is>
          <t>Herbert Jones</t>
        </is>
      </c>
      <c r="B204" t="inlineStr">
        <is>
          <t>NOR</t>
        </is>
      </c>
      <c r="C204" t="inlineStr">
        <is>
          <t>PF,SF,SG</t>
        </is>
      </c>
      <c r="D204" t="n">
        <v>71</v>
      </c>
      <c r="E204" t="n">
        <v>1997</v>
      </c>
      <c r="F204" t="n">
        <v>617</v>
      </c>
      <c r="G204" t="n">
        <v>230</v>
      </c>
      <c r="H204" t="n">
        <v>184</v>
      </c>
      <c r="I204" t="n">
        <v>101</v>
      </c>
      <c r="J204" t="n">
        <v>32</v>
      </c>
      <c r="K204" t="n">
        <v>90</v>
      </c>
      <c r="L204" t="n">
        <v>90</v>
      </c>
      <c r="M204" s="7" t="n">
        <v>0.402</v>
      </c>
      <c r="N204" s="7" t="n">
        <v>0.8129999999999999</v>
      </c>
      <c r="O204" t="n">
        <v>563</v>
      </c>
      <c r="P204" t="n">
        <v>91.5</v>
      </c>
      <c r="Q204" t="inlineStr">
        <is>
          <t>2025-26 (478 FGA)</t>
        </is>
      </c>
    </row>
    <row r="205">
      <c r="A205" t="inlineStr">
        <is>
          <t>Khris Middleton</t>
        </is>
      </c>
      <c r="B205" t="inlineStr">
        <is>
          <t>WAS</t>
        </is>
      </c>
      <c r="C205" t="inlineStr">
        <is>
          <t>PF,SF,SG</t>
        </is>
      </c>
      <c r="D205" t="n">
        <v>66</v>
      </c>
      <c r="E205" t="n">
        <v>1222</v>
      </c>
      <c r="F205" t="n">
        <v>564</v>
      </c>
      <c r="G205" t="n">
        <v>193</v>
      </c>
      <c r="H205" t="n">
        <v>174</v>
      </c>
      <c r="I205" t="n">
        <v>39</v>
      </c>
      <c r="J205" t="n">
        <v>10</v>
      </c>
      <c r="K205" t="n">
        <v>59</v>
      </c>
      <c r="L205" t="n">
        <v>92</v>
      </c>
      <c r="M205" s="7" t="n">
        <v>0.45</v>
      </c>
      <c r="N205" s="7" t="n">
        <v>0.864</v>
      </c>
      <c r="O205" t="n">
        <v>452.9</v>
      </c>
      <c r="P205" t="n">
        <v>112.7</v>
      </c>
      <c r="Q205" t="inlineStr">
        <is>
          <t>2025-26 (540 FGA)</t>
        </is>
      </c>
    </row>
    <row r="206">
      <c r="A206" t="inlineStr">
        <is>
          <t>T.J. McConnell</t>
        </is>
      </c>
      <c r="B206" t="inlineStr">
        <is>
          <t>IND</t>
        </is>
      </c>
      <c r="C206" t="inlineStr">
        <is>
          <t>PG</t>
        </is>
      </c>
      <c r="D206" t="n">
        <v>74</v>
      </c>
      <c r="E206" t="n">
        <v>1208</v>
      </c>
      <c r="F206" t="n">
        <v>631</v>
      </c>
      <c r="G206" t="n">
        <v>165</v>
      </c>
      <c r="H206" t="n">
        <v>321</v>
      </c>
      <c r="I206" t="n">
        <v>63</v>
      </c>
      <c r="J206" t="n">
        <v>12</v>
      </c>
      <c r="K206" t="n">
        <v>16</v>
      </c>
      <c r="L206" t="n">
        <v>89</v>
      </c>
      <c r="M206" s="7" t="n">
        <v>0.538</v>
      </c>
      <c r="N206" s="7" t="n">
        <v>0.778</v>
      </c>
      <c r="O206" t="n">
        <v>524.7</v>
      </c>
      <c r="P206" t="n">
        <v>64.90000000000001</v>
      </c>
      <c r="Q206" t="inlineStr">
        <is>
          <t>2025-26 (450 FGA)</t>
        </is>
      </c>
      <c r="R206" t="n">
        <v>96</v>
      </c>
      <c r="S206" t="n">
        <v>105</v>
      </c>
    </row>
    <row r="207">
      <c r="A207" t="inlineStr">
        <is>
          <t>Aaron Wiggins</t>
        </is>
      </c>
      <c r="B207" t="inlineStr">
        <is>
          <t>ATL</t>
        </is>
      </c>
      <c r="C207" t="inlineStr">
        <is>
          <t>SG,SF</t>
        </is>
      </c>
      <c r="D207" t="n">
        <v>75</v>
      </c>
      <c r="E207" t="n">
        <v>1319</v>
      </c>
      <c r="F207" t="n">
        <v>623</v>
      </c>
      <c r="G207" t="n">
        <v>201</v>
      </c>
      <c r="H207" t="n">
        <v>101</v>
      </c>
      <c r="I207" t="n">
        <v>43</v>
      </c>
      <c r="J207" t="n">
        <v>15</v>
      </c>
      <c r="K207" t="n">
        <v>91</v>
      </c>
      <c r="L207" t="n">
        <v>63</v>
      </c>
      <c r="M207" s="7" t="n">
        <v>0.469</v>
      </c>
      <c r="N207" s="7" t="n">
        <v>0.802</v>
      </c>
      <c r="O207" t="n">
        <v>499.6</v>
      </c>
      <c r="P207" t="n">
        <v>79</v>
      </c>
      <c r="Q207" t="inlineStr">
        <is>
          <t>2025-26 (536 FGA)</t>
        </is>
      </c>
      <c r="R207" t="n">
        <v>90</v>
      </c>
      <c r="S207" t="n">
        <v>199</v>
      </c>
    </row>
    <row r="208">
      <c r="A208" t="inlineStr">
        <is>
          <t>Draymond Green</t>
        </is>
      </c>
      <c r="B208" t="inlineStr">
        <is>
          <t>GSW</t>
        </is>
      </c>
      <c r="C208" t="inlineStr">
        <is>
          <t>PF,C</t>
        </is>
      </c>
      <c r="D208" t="n">
        <v>72</v>
      </c>
      <c r="E208" t="n">
        <v>1940</v>
      </c>
      <c r="F208" t="n">
        <v>591</v>
      </c>
      <c r="G208" t="n">
        <v>405</v>
      </c>
      <c r="H208" t="n">
        <v>377</v>
      </c>
      <c r="I208" t="n">
        <v>82</v>
      </c>
      <c r="J208" t="n">
        <v>52</v>
      </c>
      <c r="K208" t="n">
        <v>90</v>
      </c>
      <c r="L208" t="n">
        <v>180</v>
      </c>
      <c r="M208" s="7" t="n">
        <v>0.425</v>
      </c>
      <c r="N208" s="7" t="n">
        <v>0.696</v>
      </c>
      <c r="O208" t="n">
        <v>509.6</v>
      </c>
      <c r="P208" t="n">
        <v>97.5</v>
      </c>
      <c r="Q208" t="inlineStr">
        <is>
          <t>2025-26 (491 FGA)</t>
        </is>
      </c>
      <c r="R208" t="n">
        <v>145</v>
      </c>
      <c r="S208" t="n">
        <v>106</v>
      </c>
    </row>
    <row r="209">
      <c r="A209" t="inlineStr">
        <is>
          <t>Max Strus</t>
        </is>
      </c>
      <c r="B209" t="inlineStr">
        <is>
          <t>LAC</t>
        </is>
      </c>
      <c r="C209" t="inlineStr">
        <is>
          <t>PF,SF</t>
        </is>
      </c>
      <c r="D209" t="n">
        <v>70</v>
      </c>
      <c r="E209" t="n">
        <v>1559</v>
      </c>
      <c r="F209" t="n">
        <v>572</v>
      </c>
      <c r="G209" t="n">
        <v>257</v>
      </c>
      <c r="H209" t="n">
        <v>178</v>
      </c>
      <c r="I209" t="n">
        <v>41</v>
      </c>
      <c r="J209" t="n">
        <v>17</v>
      </c>
      <c r="K209" t="n">
        <v>125</v>
      </c>
      <c r="L209" t="n">
        <v>68</v>
      </c>
      <c r="M209" s="7" t="n">
        <v>0.437</v>
      </c>
      <c r="N209" s="7" t="n">
        <v>0.824</v>
      </c>
      <c r="O209" t="n">
        <v>434.9</v>
      </c>
      <c r="P209" t="n">
        <v>81.2</v>
      </c>
      <c r="Q209" t="inlineStr">
        <is>
          <t>2025-26 (106 FGA)</t>
        </is>
      </c>
    </row>
    <row r="210">
      <c r="A210" t="inlineStr">
        <is>
          <t>Cason Wallace</t>
        </is>
      </c>
      <c r="B210" t="inlineStr">
        <is>
          <t>OKC</t>
        </is>
      </c>
      <c r="C210" t="inlineStr">
        <is>
          <t>PG,SF,SG</t>
        </is>
      </c>
      <c r="D210" t="n">
        <v>77</v>
      </c>
      <c r="E210" t="n">
        <v>2028</v>
      </c>
      <c r="F210" t="n">
        <v>632</v>
      </c>
      <c r="G210" t="n">
        <v>230</v>
      </c>
      <c r="H210" t="n">
        <v>186</v>
      </c>
      <c r="I210" t="n">
        <v>142</v>
      </c>
      <c r="J210" t="n">
        <v>30</v>
      </c>
      <c r="K210" t="n">
        <v>94</v>
      </c>
      <c r="L210" t="n">
        <v>67</v>
      </c>
      <c r="M210" s="7" t="n">
        <v>0.445</v>
      </c>
      <c r="N210" s="7" t="n">
        <v>0.804</v>
      </c>
      <c r="O210" t="n">
        <v>531.4</v>
      </c>
      <c r="P210" t="n">
        <v>80.90000000000001</v>
      </c>
      <c r="Q210" t="inlineStr">
        <is>
          <t>2025-26 (584 FGA)</t>
        </is>
      </c>
      <c r="R210" t="n">
        <v>150</v>
      </c>
      <c r="S210" t="n">
        <v>155</v>
      </c>
    </row>
    <row r="211">
      <c r="A211" t="inlineStr">
        <is>
          <t>Al Horford</t>
        </is>
      </c>
      <c r="B211" t="inlineStr">
        <is>
          <t>GSW</t>
        </is>
      </c>
      <c r="C211" t="inlineStr">
        <is>
          <t>PF,C</t>
        </is>
      </c>
      <c r="D211" t="n">
        <v>68</v>
      </c>
      <c r="E211" t="n">
        <v>1628</v>
      </c>
      <c r="F211" t="n">
        <v>550</v>
      </c>
      <c r="G211" t="n">
        <v>362</v>
      </c>
      <c r="H211" t="n">
        <v>152</v>
      </c>
      <c r="I211" t="n">
        <v>45</v>
      </c>
      <c r="J211" t="n">
        <v>59</v>
      </c>
      <c r="K211" t="n">
        <v>110</v>
      </c>
      <c r="L211" t="n">
        <v>57</v>
      </c>
      <c r="M211" s="7" t="n">
        <v>0.436</v>
      </c>
      <c r="N211" s="7" t="n">
        <v>0.875</v>
      </c>
      <c r="O211" t="n">
        <v>441.8</v>
      </c>
      <c r="P211" t="n">
        <v>62.5</v>
      </c>
      <c r="Q211" t="inlineStr">
        <is>
          <t>2025-26 (324 FGA)</t>
        </is>
      </c>
      <c r="R211" t="n">
        <v>87</v>
      </c>
      <c r="S211" t="n">
        <v>196</v>
      </c>
    </row>
    <row r="212">
      <c r="A212" t="inlineStr">
        <is>
          <t>Precious Achiuwa</t>
        </is>
      </c>
      <c r="B212" t="inlineStr">
        <is>
          <t>SAC</t>
        </is>
      </c>
      <c r="C212" t="inlineStr">
        <is>
          <t>PF,C</t>
        </is>
      </c>
      <c r="D212" t="n">
        <v>75</v>
      </c>
      <c r="E212" t="n">
        <v>1578</v>
      </c>
      <c r="F212" t="n">
        <v>604</v>
      </c>
      <c r="G212" t="n">
        <v>419</v>
      </c>
      <c r="H212" t="n">
        <v>85</v>
      </c>
      <c r="I212" t="n">
        <v>57</v>
      </c>
      <c r="J212" t="n">
        <v>49</v>
      </c>
      <c r="K212" t="n">
        <v>21</v>
      </c>
      <c r="L212" t="n">
        <v>58</v>
      </c>
      <c r="M212" s="7" t="n">
        <v>0.528</v>
      </c>
      <c r="N212" s="7" t="n">
        <v>0.5649999999999999</v>
      </c>
      <c r="O212" t="n">
        <v>490.5</v>
      </c>
      <c r="P212" t="n">
        <v>115</v>
      </c>
      <c r="Q212" t="inlineStr">
        <is>
          <t>2025-26 (598 FGA)</t>
        </is>
      </c>
    </row>
    <row r="213">
      <c r="A213" t="inlineStr">
        <is>
          <t>Noah Clowney</t>
        </is>
      </c>
      <c r="B213" t="inlineStr">
        <is>
          <t>BKN</t>
        </is>
      </c>
      <c r="C213" t="inlineStr">
        <is>
          <t>C,PF</t>
        </is>
      </c>
      <c r="D213" t="n">
        <v>74</v>
      </c>
      <c r="E213" t="n">
        <v>1420</v>
      </c>
      <c r="F213" t="n">
        <v>594</v>
      </c>
      <c r="G213" t="n">
        <v>214</v>
      </c>
      <c r="H213" t="n">
        <v>74</v>
      </c>
      <c r="I213" t="n">
        <v>36</v>
      </c>
      <c r="J213" t="n">
        <v>36</v>
      </c>
      <c r="K213" t="n">
        <v>98</v>
      </c>
      <c r="L213" t="n">
        <v>73</v>
      </c>
      <c r="M213" s="7" t="n">
        <v>0.387</v>
      </c>
      <c r="N213" s="7" t="n">
        <v>0.8080000000000001</v>
      </c>
      <c r="O213" t="n">
        <v>469.9</v>
      </c>
      <c r="P213" t="n">
        <v>163.7</v>
      </c>
      <c r="Q213" t="inlineStr">
        <is>
          <t>2025-26 (631 FGA)</t>
        </is>
      </c>
    </row>
    <row r="214">
      <c r="A214" t="inlineStr">
        <is>
          <t>Bub Carrington</t>
        </is>
      </c>
      <c r="B214" t="inlineStr">
        <is>
          <t>WAS</t>
        </is>
      </c>
      <c r="C214" t="inlineStr">
        <is>
          <t>PG,SG</t>
        </is>
      </c>
      <c r="D214" t="n">
        <v>80</v>
      </c>
      <c r="E214" t="n">
        <v>1892</v>
      </c>
      <c r="F214" t="n">
        <v>644</v>
      </c>
      <c r="G214" t="n">
        <v>230</v>
      </c>
      <c r="H214" t="n">
        <v>283</v>
      </c>
      <c r="I214" t="n">
        <v>41</v>
      </c>
      <c r="J214" t="n">
        <v>16</v>
      </c>
      <c r="K214" t="n">
        <v>115</v>
      </c>
      <c r="L214" t="n">
        <v>137</v>
      </c>
      <c r="M214" s="7" t="n">
        <v>0.415</v>
      </c>
      <c r="N214" s="7" t="n">
        <v>0.755</v>
      </c>
      <c r="O214" t="n">
        <v>550.9</v>
      </c>
      <c r="P214" t="n">
        <v>95.09999999999999</v>
      </c>
      <c r="Q214" t="inlineStr">
        <is>
          <t>2025-26 (741 FGA)</t>
        </is>
      </c>
    </row>
    <row r="215">
      <c r="A215" t="inlineStr">
        <is>
          <t>Marvin Bagley III</t>
        </is>
      </c>
      <c r="B215" t="inlineStr">
        <is>
          <t>DEN</t>
        </is>
      </c>
      <c r="C215" t="inlineStr">
        <is>
          <t>PF,C</t>
        </is>
      </c>
      <c r="D215" t="n">
        <v>70</v>
      </c>
      <c r="E215" t="n">
        <v>1073</v>
      </c>
      <c r="F215" t="n">
        <v>558</v>
      </c>
      <c r="G215" t="n">
        <v>322</v>
      </c>
      <c r="H215" t="n">
        <v>73</v>
      </c>
      <c r="I215" t="n">
        <v>23</v>
      </c>
      <c r="J215" t="n">
        <v>38</v>
      </c>
      <c r="K215" t="n">
        <v>20</v>
      </c>
      <c r="L215" t="n">
        <v>52</v>
      </c>
      <c r="M215" s="7" t="n">
        <v>0.626</v>
      </c>
      <c r="N215" s="7" t="n">
        <v>0.663</v>
      </c>
      <c r="O215" t="n">
        <v>368.4</v>
      </c>
      <c r="P215" t="n">
        <v>115.9</v>
      </c>
      <c r="Q215" t="inlineStr">
        <is>
          <t>2025-26 (411 FGA)</t>
        </is>
      </c>
    </row>
    <row r="216">
      <c r="A216" t="inlineStr">
        <is>
          <t>Yves Missi</t>
        </is>
      </c>
      <c r="B216" t="inlineStr">
        <is>
          <t>NOR</t>
        </is>
      </c>
      <c r="C216" t="inlineStr">
        <is>
          <t>C</t>
        </is>
      </c>
      <c r="D216" t="n">
        <v>73</v>
      </c>
      <c r="E216" t="n">
        <v>1831</v>
      </c>
      <c r="F216" t="n">
        <v>574</v>
      </c>
      <c r="G216" t="n">
        <v>529</v>
      </c>
      <c r="H216" t="n">
        <v>106</v>
      </c>
      <c r="I216" t="n">
        <v>29</v>
      </c>
      <c r="J216" t="n">
        <v>113</v>
      </c>
      <c r="K216" t="n">
        <v>0</v>
      </c>
      <c r="L216" t="n">
        <v>73</v>
      </c>
      <c r="M216" s="7" t="n">
        <v>0.553</v>
      </c>
      <c r="N216" s="7" t="n">
        <v>0.588</v>
      </c>
      <c r="O216" t="n">
        <v>439.7</v>
      </c>
      <c r="P216" t="n">
        <v>149.1</v>
      </c>
      <c r="Q216" t="inlineStr">
        <is>
          <t>2025-26 (294 FGA)</t>
        </is>
      </c>
    </row>
    <row r="217">
      <c r="A217" t="inlineStr">
        <is>
          <t>Royce O'Neale</t>
        </is>
      </c>
      <c r="B217" t="inlineStr">
        <is>
          <t>CHA</t>
        </is>
      </c>
      <c r="C217" t="inlineStr">
        <is>
          <t>SF,PF</t>
        </is>
      </c>
      <c r="D217" t="n">
        <v>77</v>
      </c>
      <c r="E217" t="n">
        <v>1718</v>
      </c>
      <c r="F217" t="n">
        <v>608</v>
      </c>
      <c r="G217" t="n">
        <v>295</v>
      </c>
      <c r="H217" t="n">
        <v>152</v>
      </c>
      <c r="I217" t="n">
        <v>56</v>
      </c>
      <c r="J217" t="n">
        <v>26</v>
      </c>
      <c r="K217" t="n">
        <v>169</v>
      </c>
      <c r="L217" t="n">
        <v>73</v>
      </c>
      <c r="M217" s="7" t="n">
        <v>0.425</v>
      </c>
      <c r="N217" s="7" t="n">
        <v>0.721</v>
      </c>
      <c r="O217" t="n">
        <v>474</v>
      </c>
      <c r="P217" t="n">
        <v>50.1</v>
      </c>
      <c r="Q217" t="inlineStr">
        <is>
          <t>2025-26 (625 FGA)</t>
        </is>
      </c>
    </row>
    <row r="218">
      <c r="A218" t="inlineStr">
        <is>
          <t>Luke Kennard</t>
        </is>
      </c>
      <c r="B218" t="inlineStr">
        <is>
          <t>PHO</t>
        </is>
      </c>
      <c r="C218" t="inlineStr">
        <is>
          <t>PG,SF,SG</t>
        </is>
      </c>
      <c r="D218" t="n">
        <v>76</v>
      </c>
      <c r="E218" t="n">
        <v>1614</v>
      </c>
      <c r="F218" t="n">
        <v>597</v>
      </c>
      <c r="G218" t="n">
        <v>183</v>
      </c>
      <c r="H218" t="n">
        <v>171</v>
      </c>
      <c r="I218" t="n">
        <v>57</v>
      </c>
      <c r="J218" t="n">
        <v>8</v>
      </c>
      <c r="K218" t="n">
        <v>112</v>
      </c>
      <c r="L218" t="n">
        <v>59</v>
      </c>
      <c r="M218" s="7" t="n">
        <v>0.501</v>
      </c>
      <c r="N218" s="7" t="n">
        <v>0.9</v>
      </c>
      <c r="O218" t="n">
        <v>414.4</v>
      </c>
      <c r="P218" t="n">
        <v>77.59999999999999</v>
      </c>
      <c r="Q218" t="inlineStr">
        <is>
          <t>2025-26 (443 FGA)</t>
        </is>
      </c>
      <c r="R218" t="n">
        <v>95</v>
      </c>
    </row>
    <row r="219">
      <c r="A219" t="inlineStr">
        <is>
          <t>Collin Murray-Boyles</t>
        </is>
      </c>
      <c r="B219" t="inlineStr">
        <is>
          <t>TOR</t>
        </is>
      </c>
      <c r="C219" t="inlineStr">
        <is>
          <t>C,PF</t>
        </is>
      </c>
      <c r="D219" t="n">
        <v>72</v>
      </c>
      <c r="E219" t="n">
        <v>1435</v>
      </c>
      <c r="F219" t="n">
        <v>566</v>
      </c>
      <c r="G219" t="n">
        <v>319</v>
      </c>
      <c r="H219" t="n">
        <v>116</v>
      </c>
      <c r="I219" t="n">
        <v>61</v>
      </c>
      <c r="J219" t="n">
        <v>60</v>
      </c>
      <c r="K219" t="n">
        <v>18</v>
      </c>
      <c r="L219" t="n">
        <v>69</v>
      </c>
      <c r="M219" s="7" t="n">
        <v>0.6</v>
      </c>
      <c r="N219" s="7" t="n">
        <v>0.675</v>
      </c>
      <c r="O219" t="n">
        <v>387</v>
      </c>
      <c r="P219" t="n">
        <v>123.9</v>
      </c>
      <c r="Q219" t="inlineStr">
        <is>
          <t>2025-26 (342 FGA)</t>
        </is>
      </c>
      <c r="R219" t="n">
        <v>184</v>
      </c>
      <c r="S219" t="n">
        <v>180</v>
      </c>
    </row>
    <row r="220">
      <c r="A220" t="inlineStr">
        <is>
          <t>Nate Ament</t>
        </is>
      </c>
      <c r="B220" t="inlineStr">
        <is>
          <t>MIL</t>
        </is>
      </c>
      <c r="C220" t="inlineStr">
        <is>
          <t>PF,SF</t>
        </is>
      </c>
      <c r="D220" t="n">
        <v>74</v>
      </c>
      <c r="E220" t="n">
        <v>1592</v>
      </c>
      <c r="F220" t="n">
        <v>580</v>
      </c>
      <c r="G220" t="n">
        <v>339</v>
      </c>
      <c r="H220" t="n">
        <v>86</v>
      </c>
      <c r="I220" t="n">
        <v>48</v>
      </c>
      <c r="J220" t="n">
        <v>54</v>
      </c>
      <c r="K220" t="n">
        <v>35</v>
      </c>
      <c r="L220" t="n">
        <v>86</v>
      </c>
      <c r="M220" s="7" t="n">
        <v>0.475</v>
      </c>
      <c r="N220" s="7" t="n">
        <v>0.711</v>
      </c>
      <c r="O220" t="n">
        <v>486.1</v>
      </c>
      <c r="P220" t="n">
        <v>117.1</v>
      </c>
      <c r="Q220" t="inlineStr">
        <is>
          <t>PF median</t>
        </is>
      </c>
    </row>
    <row r="221">
      <c r="A221" t="inlineStr">
        <is>
          <t>Jake LaRavia</t>
        </is>
      </c>
      <c r="B221" t="inlineStr">
        <is>
          <t>LAL</t>
        </is>
      </c>
      <c r="C221" t="inlineStr">
        <is>
          <t>SF,PF</t>
        </is>
      </c>
      <c r="D221" t="n">
        <v>78</v>
      </c>
      <c r="E221" t="n">
        <v>1928</v>
      </c>
      <c r="F221" t="n">
        <v>608</v>
      </c>
      <c r="G221" t="n">
        <v>312</v>
      </c>
      <c r="H221" t="n">
        <v>143</v>
      </c>
      <c r="I221" t="n">
        <v>88</v>
      </c>
      <c r="J221" t="n">
        <v>31</v>
      </c>
      <c r="K221" t="n">
        <v>74</v>
      </c>
      <c r="L221" t="n">
        <v>89</v>
      </c>
      <c r="M221" s="7" t="n">
        <v>0.454</v>
      </c>
      <c r="N221" s="7" t="n">
        <v>0.743</v>
      </c>
      <c r="O221" t="n">
        <v>479</v>
      </c>
      <c r="P221" t="n">
        <v>133.3</v>
      </c>
      <c r="Q221" t="inlineStr">
        <is>
          <t>2025-26 (523 FGA)</t>
        </is>
      </c>
    </row>
    <row r="222">
      <c r="A222" t="inlineStr">
        <is>
          <t>Tristan Vukcevic</t>
        </is>
      </c>
      <c r="B222" t="inlineStr">
        <is>
          <t>WAS</t>
        </is>
      </c>
      <c r="C222" t="inlineStr">
        <is>
          <t>PF,C</t>
        </is>
      </c>
      <c r="D222" t="n">
        <v>67</v>
      </c>
      <c r="E222" t="n">
        <v>812</v>
      </c>
      <c r="F222" t="n">
        <v>508</v>
      </c>
      <c r="G222" t="n">
        <v>181</v>
      </c>
      <c r="H222" t="n">
        <v>61</v>
      </c>
      <c r="I222" t="n">
        <v>27</v>
      </c>
      <c r="J222" t="n">
        <v>39</v>
      </c>
      <c r="K222" t="n">
        <v>54</v>
      </c>
      <c r="L222" t="n">
        <v>72</v>
      </c>
      <c r="M222" s="7" t="n">
        <v>0.496</v>
      </c>
      <c r="N222" s="7" t="n">
        <v>0.782</v>
      </c>
      <c r="O222" t="n">
        <v>368.3</v>
      </c>
      <c r="P222" t="n">
        <v>113.4</v>
      </c>
      <c r="Q222" t="inlineStr">
        <is>
          <t>2025-26 (317 FGA)</t>
        </is>
      </c>
    </row>
    <row r="223">
      <c r="A223" t="inlineStr">
        <is>
          <t>Isaiah Stewart</t>
        </is>
      </c>
      <c r="B223" t="inlineStr">
        <is>
          <t>MEM</t>
        </is>
      </c>
      <c r="C223" t="inlineStr">
        <is>
          <t>C,PF</t>
        </is>
      </c>
      <c r="D223" t="n">
        <v>74</v>
      </c>
      <c r="E223" t="n">
        <v>1455</v>
      </c>
      <c r="F223" t="n">
        <v>556</v>
      </c>
      <c r="G223" t="n">
        <v>325</v>
      </c>
      <c r="H223" t="n">
        <v>87</v>
      </c>
      <c r="I223" t="n">
        <v>18</v>
      </c>
      <c r="J223" t="n">
        <v>91</v>
      </c>
      <c r="K223" t="n">
        <v>39</v>
      </c>
      <c r="L223" t="n">
        <v>69</v>
      </c>
      <c r="M223" s="7" t="n">
        <v>0.544</v>
      </c>
      <c r="N223" s="7" t="n">
        <v>0.753</v>
      </c>
      <c r="O223" t="n">
        <v>387.6</v>
      </c>
      <c r="P223" t="n">
        <v>126.5</v>
      </c>
      <c r="Q223" t="inlineStr">
        <is>
          <t>2025-26 (402 FGA)</t>
        </is>
      </c>
      <c r="R223" t="n">
        <v>142</v>
      </c>
    </row>
    <row r="224">
      <c r="A224" t="inlineStr">
        <is>
          <t>Hannes Steinbach</t>
        </is>
      </c>
      <c r="B224" t="inlineStr">
        <is>
          <t>CHA</t>
        </is>
      </c>
      <c r="C224" t="inlineStr">
        <is>
          <t>PF</t>
        </is>
      </c>
      <c r="D224" t="n">
        <v>75</v>
      </c>
      <c r="E224" t="n">
        <v>1533</v>
      </c>
      <c r="F224" t="n">
        <v>556</v>
      </c>
      <c r="G224" t="n">
        <v>317</v>
      </c>
      <c r="H224" t="n">
        <v>89</v>
      </c>
      <c r="I224" t="n">
        <v>42</v>
      </c>
      <c r="J224" t="n">
        <v>55</v>
      </c>
      <c r="K224" t="n">
        <v>31</v>
      </c>
      <c r="L224" t="n">
        <v>70</v>
      </c>
      <c r="M224" s="7" t="n">
        <v>0.481</v>
      </c>
      <c r="N224" s="7" t="n">
        <v>0.731</v>
      </c>
      <c r="O224" t="n">
        <v>461.3</v>
      </c>
      <c r="P224" t="n">
        <v>111.1</v>
      </c>
      <c r="Q224" t="inlineStr">
        <is>
          <t>PF median</t>
        </is>
      </c>
    </row>
    <row r="225">
      <c r="A225" t="inlineStr">
        <is>
          <t>Nikola Jovic</t>
        </is>
      </c>
      <c r="B225" t="inlineStr">
        <is>
          <t>MIA</t>
        </is>
      </c>
      <c r="C225" t="inlineStr">
        <is>
          <t>C,PF</t>
        </is>
      </c>
      <c r="D225" t="n">
        <v>50</v>
      </c>
      <c r="E225" t="n">
        <v>856</v>
      </c>
      <c r="F225" t="n">
        <v>354</v>
      </c>
      <c r="G225" t="n">
        <v>152</v>
      </c>
      <c r="H225" t="n">
        <v>103</v>
      </c>
      <c r="I225" t="n">
        <v>26</v>
      </c>
      <c r="J225" t="n">
        <v>17</v>
      </c>
      <c r="K225" t="n">
        <v>48</v>
      </c>
      <c r="L225" t="n">
        <v>59</v>
      </c>
      <c r="M225" s="7" t="n">
        <v>0.393</v>
      </c>
      <c r="N225" s="7" t="n">
        <v>0.732</v>
      </c>
      <c r="O225" t="n">
        <v>299.1</v>
      </c>
      <c r="P225" t="n">
        <v>96.90000000000001</v>
      </c>
      <c r="Q225" t="inlineStr">
        <is>
          <t>2025-26 (314 FGA)</t>
        </is>
      </c>
      <c r="S225" t="n">
        <v>174</v>
      </c>
    </row>
    <row r="226">
      <c r="A226" t="inlineStr">
        <is>
          <t>Tristan da Silva</t>
        </is>
      </c>
      <c r="B226" t="inlineStr">
        <is>
          <t>ORL</t>
        </is>
      </c>
      <c r="C226" t="inlineStr">
        <is>
          <t>SF,PF</t>
        </is>
      </c>
      <c r="D226" t="n">
        <v>78</v>
      </c>
      <c r="E226" t="n">
        <v>1487</v>
      </c>
      <c r="F226" t="n">
        <v>548</v>
      </c>
      <c r="G226" t="n">
        <v>224</v>
      </c>
      <c r="H226" t="n">
        <v>95</v>
      </c>
      <c r="I226" t="n">
        <v>45</v>
      </c>
      <c r="J226" t="n">
        <v>20</v>
      </c>
      <c r="K226" t="n">
        <v>85</v>
      </c>
      <c r="L226" t="n">
        <v>54</v>
      </c>
      <c r="M226" s="7" t="n">
        <v>0.443</v>
      </c>
      <c r="N226" s="7" t="n">
        <v>0.877</v>
      </c>
      <c r="O226" t="n">
        <v>445.1</v>
      </c>
      <c r="P226" t="n">
        <v>78.3</v>
      </c>
      <c r="Q226" t="inlineStr">
        <is>
          <t>2025-26 (620 FGA)</t>
        </is>
      </c>
    </row>
    <row r="227">
      <c r="A227" t="inlineStr">
        <is>
          <t>Moussa Diabate</t>
        </is>
      </c>
      <c r="B227" t="inlineStr">
        <is>
          <t>CHA</t>
        </is>
      </c>
      <c r="C227" t="inlineStr">
        <is>
          <t>PF,C</t>
        </is>
      </c>
      <c r="D227" t="n">
        <v>74</v>
      </c>
      <c r="E227" t="n">
        <v>1806</v>
      </c>
      <c r="F227" t="n">
        <v>516</v>
      </c>
      <c r="G227" t="n">
        <v>569</v>
      </c>
      <c r="H227" t="n">
        <v>116</v>
      </c>
      <c r="I227" t="n">
        <v>52</v>
      </c>
      <c r="J227" t="n">
        <v>62</v>
      </c>
      <c r="K227" t="n">
        <v>0</v>
      </c>
      <c r="L227" t="n">
        <v>72</v>
      </c>
      <c r="M227" s="7" t="n">
        <v>0.623</v>
      </c>
      <c r="N227" s="7" t="n">
        <v>0.641</v>
      </c>
      <c r="O227" t="n">
        <v>343.7</v>
      </c>
      <c r="P227" t="n">
        <v>136.9</v>
      </c>
      <c r="Q227" t="inlineStr">
        <is>
          <t>2025-26 (363 FGA)</t>
        </is>
      </c>
      <c r="R227" t="n">
        <v>106</v>
      </c>
    </row>
    <row r="228">
      <c r="A228" t="inlineStr">
        <is>
          <t>Isaiah Jackson</t>
        </is>
      </c>
      <c r="B228" t="inlineStr">
        <is>
          <t>LAC</t>
        </is>
      </c>
      <c r="C228" t="inlineStr">
        <is>
          <t>PF,C</t>
        </is>
      </c>
      <c r="D228" t="n">
        <v>73</v>
      </c>
      <c r="E228" t="n">
        <v>1276</v>
      </c>
      <c r="F228" t="n">
        <v>501</v>
      </c>
      <c r="G228" t="n">
        <v>399</v>
      </c>
      <c r="H228" t="n">
        <v>73</v>
      </c>
      <c r="I228" t="n">
        <v>50</v>
      </c>
      <c r="J228" t="n">
        <v>66</v>
      </c>
      <c r="K228" t="n">
        <v>0</v>
      </c>
      <c r="L228" t="n">
        <v>80</v>
      </c>
      <c r="M228" s="7" t="n">
        <v>0.644</v>
      </c>
      <c r="N228" s="7" t="n">
        <v>0.639</v>
      </c>
      <c r="O228" t="n">
        <v>331.4</v>
      </c>
      <c r="P228" t="n">
        <v>116.1</v>
      </c>
      <c r="Q228" t="inlineStr">
        <is>
          <t>2025-26 (237 FGA)</t>
        </is>
      </c>
    </row>
    <row r="229">
      <c r="A229" t="inlineStr">
        <is>
          <t>Jose Alvarado</t>
        </is>
      </c>
      <c r="B229" t="inlineStr">
        <is>
          <t>NYK</t>
        </is>
      </c>
      <c r="C229" t="inlineStr">
        <is>
          <t>PG</t>
        </is>
      </c>
      <c r="D229" t="n">
        <v>72</v>
      </c>
      <c r="E229" t="n">
        <v>1268</v>
      </c>
      <c r="F229" t="n">
        <v>497</v>
      </c>
      <c r="G229" t="n">
        <v>155</v>
      </c>
      <c r="H229" t="n">
        <v>217</v>
      </c>
      <c r="I229" t="n">
        <v>62</v>
      </c>
      <c r="J229" t="n">
        <v>8</v>
      </c>
      <c r="K229" t="n">
        <v>99</v>
      </c>
      <c r="L229" t="n">
        <v>72</v>
      </c>
      <c r="M229" s="7" t="n">
        <v>0.416</v>
      </c>
      <c r="N229" s="7" t="n">
        <v>0.779</v>
      </c>
      <c r="O229" t="n">
        <v>419.4</v>
      </c>
      <c r="P229" t="n">
        <v>62.9</v>
      </c>
      <c r="Q229" t="inlineStr">
        <is>
          <t>2025-26 (449 FGA)</t>
        </is>
      </c>
      <c r="S229" t="n">
        <v>179</v>
      </c>
    </row>
    <row r="230">
      <c r="A230" t="inlineStr">
        <is>
          <t>Jarace Walker</t>
        </is>
      </c>
      <c r="B230" t="inlineStr">
        <is>
          <t>IND</t>
        </is>
      </c>
      <c r="C230" t="inlineStr">
        <is>
          <t>PF,SF</t>
        </is>
      </c>
      <c r="D230" t="n">
        <v>71</v>
      </c>
      <c r="E230" t="n">
        <v>1181</v>
      </c>
      <c r="F230" t="n">
        <v>485</v>
      </c>
      <c r="G230" t="n">
        <v>225</v>
      </c>
      <c r="H230" t="n">
        <v>113</v>
      </c>
      <c r="I230" t="n">
        <v>41</v>
      </c>
      <c r="J230" t="n">
        <v>18</v>
      </c>
      <c r="K230" t="n">
        <v>74</v>
      </c>
      <c r="L230" t="n">
        <v>74</v>
      </c>
      <c r="M230" s="7" t="n">
        <v>0.444</v>
      </c>
      <c r="N230" s="7" t="n">
        <v>0.724</v>
      </c>
      <c r="O230" t="n">
        <v>385.1</v>
      </c>
      <c r="P230" t="n">
        <v>95.40000000000001</v>
      </c>
      <c r="Q230" t="inlineStr">
        <is>
          <t>2025-26 (733 FGA)</t>
        </is>
      </c>
    </row>
    <row r="231">
      <c r="A231" t="inlineStr">
        <is>
          <t>Gui Santos</t>
        </is>
      </c>
      <c r="B231" t="inlineStr">
        <is>
          <t>GSW</t>
        </is>
      </c>
      <c r="C231" t="inlineStr">
        <is>
          <t>SF,PF</t>
        </is>
      </c>
      <c r="D231" t="n">
        <v>73</v>
      </c>
      <c r="E231" t="n">
        <v>1418</v>
      </c>
      <c r="F231" t="n">
        <v>490</v>
      </c>
      <c r="G231" t="n">
        <v>304</v>
      </c>
      <c r="H231" t="n">
        <v>147</v>
      </c>
      <c r="I231" t="n">
        <v>53</v>
      </c>
      <c r="J231" t="n">
        <v>19</v>
      </c>
      <c r="K231" t="n">
        <v>70</v>
      </c>
      <c r="L231" t="n">
        <v>86</v>
      </c>
      <c r="M231" s="7" t="n">
        <v>0.477</v>
      </c>
      <c r="N231" s="7" t="n">
        <v>0.719</v>
      </c>
      <c r="O231" t="n">
        <v>369</v>
      </c>
      <c r="P231" t="n">
        <v>94.59999999999999</v>
      </c>
      <c r="Q231" t="inlineStr">
        <is>
          <t>2025-26 (460 FGA)</t>
        </is>
      </c>
    </row>
    <row r="232">
      <c r="A232" t="inlineStr">
        <is>
          <t>Ronald Holland II</t>
        </is>
      </c>
      <c r="B232" t="inlineStr">
        <is>
          <t>DET</t>
        </is>
      </c>
      <c r="C232" t="inlineStr">
        <is>
          <t>PF,SF</t>
        </is>
      </c>
      <c r="D232" t="n">
        <v>79</v>
      </c>
      <c r="E232" t="n">
        <v>1311</v>
      </c>
      <c r="F232" t="n">
        <v>528</v>
      </c>
      <c r="G232" t="n">
        <v>256</v>
      </c>
      <c r="H232" t="n">
        <v>81</v>
      </c>
      <c r="I232" t="n">
        <v>70</v>
      </c>
      <c r="J232" t="n">
        <v>24</v>
      </c>
      <c r="K232" t="n">
        <v>40</v>
      </c>
      <c r="L232" t="n">
        <v>77</v>
      </c>
      <c r="M232" s="7" t="n">
        <v>0.441</v>
      </c>
      <c r="N232" s="7" t="n">
        <v>0.786</v>
      </c>
      <c r="O232" t="n">
        <v>455.5</v>
      </c>
      <c r="P232" t="n">
        <v>109.7</v>
      </c>
      <c r="Q232" t="inlineStr">
        <is>
          <t>PF median</t>
        </is>
      </c>
    </row>
    <row r="233">
      <c r="A233" t="inlineStr">
        <is>
          <t>Oso Ighodaro</t>
        </is>
      </c>
      <c r="B233" t="inlineStr">
        <is>
          <t>PHO</t>
        </is>
      </c>
      <c r="C233" t="inlineStr">
        <is>
          <t>C,PF</t>
        </is>
      </c>
      <c r="D233" t="n">
        <v>79</v>
      </c>
      <c r="E233" t="n">
        <v>1869</v>
      </c>
      <c r="F233" t="n">
        <v>527</v>
      </c>
      <c r="G233" t="n">
        <v>433</v>
      </c>
      <c r="H233" t="n">
        <v>177</v>
      </c>
      <c r="I233" t="n">
        <v>76</v>
      </c>
      <c r="J233" t="n">
        <v>62</v>
      </c>
      <c r="K233" t="n">
        <v>0</v>
      </c>
      <c r="L233" t="n">
        <v>97</v>
      </c>
      <c r="M233" s="7" t="n">
        <v>0.635</v>
      </c>
      <c r="N233" s="7" t="n">
        <v>0.481</v>
      </c>
      <c r="O233" t="n">
        <v>369.8</v>
      </c>
      <c r="P233" t="n">
        <v>119.2</v>
      </c>
      <c r="Q233" t="inlineStr">
        <is>
          <t>2025-26 (366 FGA)</t>
        </is>
      </c>
    </row>
    <row r="234">
      <c r="A234" t="inlineStr">
        <is>
          <t>Patrick Williams</t>
        </is>
      </c>
      <c r="B234" t="inlineStr">
        <is>
          <t>CHI</t>
        </is>
      </c>
      <c r="C234" t="inlineStr">
        <is>
          <t>PF,SF</t>
        </is>
      </c>
      <c r="D234" t="n">
        <v>75</v>
      </c>
      <c r="E234" t="n">
        <v>1542</v>
      </c>
      <c r="F234" t="n">
        <v>496</v>
      </c>
      <c r="G234" t="n">
        <v>207</v>
      </c>
      <c r="H234" t="n">
        <v>104</v>
      </c>
      <c r="I234" t="n">
        <v>49</v>
      </c>
      <c r="J234" t="n">
        <v>29</v>
      </c>
      <c r="K234" t="n">
        <v>87</v>
      </c>
      <c r="L234" t="n">
        <v>74</v>
      </c>
      <c r="M234" s="7" t="n">
        <v>0.38</v>
      </c>
      <c r="N234" s="7" t="n">
        <v>0.722</v>
      </c>
      <c r="O234" t="n">
        <v>459</v>
      </c>
      <c r="P234" t="n">
        <v>83.40000000000001</v>
      </c>
      <c r="Q234" t="inlineStr">
        <is>
          <t>2025-26 (478 FGA)</t>
        </is>
      </c>
    </row>
    <row r="235">
      <c r="A235" t="inlineStr">
        <is>
          <t>Jamal Shead</t>
        </is>
      </c>
      <c r="B235" t="inlineStr">
        <is>
          <t>TOR</t>
        </is>
      </c>
      <c r="C235" t="inlineStr">
        <is>
          <t>PG</t>
        </is>
      </c>
      <c r="D235" t="n">
        <v>80</v>
      </c>
      <c r="E235" t="n">
        <v>1684</v>
      </c>
      <c r="F235" t="n">
        <v>518</v>
      </c>
      <c r="G235" t="n">
        <v>129</v>
      </c>
      <c r="H235" t="n">
        <v>380</v>
      </c>
      <c r="I235" t="n">
        <v>70</v>
      </c>
      <c r="J235" t="n">
        <v>13</v>
      </c>
      <c r="K235" t="n">
        <v>78</v>
      </c>
      <c r="L235" t="n">
        <v>107</v>
      </c>
      <c r="M235" s="7" t="n">
        <v>0.387</v>
      </c>
      <c r="N235" s="7" t="n">
        <v>0.777</v>
      </c>
      <c r="O235" t="n">
        <v>458.9</v>
      </c>
      <c r="P235" t="n">
        <v>109.1</v>
      </c>
      <c r="Q235" t="inlineStr">
        <is>
          <t>2025-26 (504 FGA)</t>
        </is>
      </c>
    </row>
    <row r="236">
      <c r="A236" t="inlineStr">
        <is>
          <t>Baylor Scheierman</t>
        </is>
      </c>
      <c r="B236" t="inlineStr">
        <is>
          <t>BOS</t>
        </is>
      </c>
      <c r="C236" t="inlineStr">
        <is>
          <t>SG,SF</t>
        </is>
      </c>
      <c r="D236" t="n">
        <v>75</v>
      </c>
      <c r="E236" t="n">
        <v>1540</v>
      </c>
      <c r="F236" t="n">
        <v>483</v>
      </c>
      <c r="G236" t="n">
        <v>290</v>
      </c>
      <c r="H236" t="n">
        <v>121</v>
      </c>
      <c r="I236" t="n">
        <v>50</v>
      </c>
      <c r="J236" t="n">
        <v>8</v>
      </c>
      <c r="K236" t="n">
        <v>109</v>
      </c>
      <c r="L236" t="n">
        <v>53</v>
      </c>
      <c r="M236" s="7" t="n">
        <v>0.434</v>
      </c>
      <c r="N236" s="7" t="n">
        <v>0.877</v>
      </c>
      <c r="O236" t="n">
        <v>377</v>
      </c>
      <c r="P236" t="n">
        <v>53.3</v>
      </c>
      <c r="Q236" t="inlineStr">
        <is>
          <t>2025-26 (333 FGA)</t>
        </is>
      </c>
    </row>
    <row r="237">
      <c r="A237" t="inlineStr">
        <is>
          <t>Paul Reed</t>
        </is>
      </c>
      <c r="B237" t="inlineStr">
        <is>
          <t>DET</t>
        </is>
      </c>
      <c r="C237" t="inlineStr">
        <is>
          <t>C,PF</t>
        </is>
      </c>
      <c r="D237" t="n">
        <v>71</v>
      </c>
      <c r="E237" t="n">
        <v>864</v>
      </c>
      <c r="F237" t="n">
        <v>450</v>
      </c>
      <c r="G237" t="n">
        <v>273</v>
      </c>
      <c r="H237" t="n">
        <v>73</v>
      </c>
      <c r="I237" t="n">
        <v>58</v>
      </c>
      <c r="J237" t="n">
        <v>57</v>
      </c>
      <c r="K237" t="n">
        <v>14</v>
      </c>
      <c r="L237" t="n">
        <v>55</v>
      </c>
      <c r="M237" s="7" t="n">
        <v>0.602</v>
      </c>
      <c r="N237" s="7" t="n">
        <v>0.681</v>
      </c>
      <c r="O237" t="n">
        <v>305.8</v>
      </c>
      <c r="P237" t="n">
        <v>99.5</v>
      </c>
      <c r="Q237" t="inlineStr">
        <is>
          <t>2025-26 (339 FGA)</t>
        </is>
      </c>
      <c r="R237" t="n">
        <v>189</v>
      </c>
    </row>
    <row r="238">
      <c r="A238" t="inlineStr">
        <is>
          <t>Jeremy Sochan</t>
        </is>
      </c>
      <c r="B238" t="inlineStr">
        <is>
          <t>POR</t>
        </is>
      </c>
      <c r="C238" t="inlineStr">
        <is>
          <t>C,PF</t>
        </is>
      </c>
      <c r="D238" t="n">
        <v>47</v>
      </c>
      <c r="E238" t="n">
        <v>715</v>
      </c>
      <c r="F238" t="n">
        <v>294</v>
      </c>
      <c r="G238" t="n">
        <v>172</v>
      </c>
      <c r="H238" t="n">
        <v>69</v>
      </c>
      <c r="I238" t="n">
        <v>23</v>
      </c>
      <c r="J238" t="n">
        <v>16</v>
      </c>
      <c r="K238" t="n">
        <v>19</v>
      </c>
      <c r="L238" t="n">
        <v>45</v>
      </c>
      <c r="M238" s="7" t="n">
        <v>0.514</v>
      </c>
      <c r="N238" s="7" t="n">
        <v>0.718</v>
      </c>
      <c r="O238" t="n">
        <v>224</v>
      </c>
      <c r="P238" t="n">
        <v>62.3</v>
      </c>
      <c r="Q238" t="inlineStr">
        <is>
          <t>2025-26 (129 FGA)</t>
        </is>
      </c>
    </row>
    <row r="239">
      <c r="A239" t="inlineStr">
        <is>
          <t>Mitchell Robinson</t>
        </is>
      </c>
      <c r="B239" t="inlineStr">
        <is>
          <t>BOS</t>
        </is>
      </c>
      <c r="C239" t="inlineStr">
        <is>
          <t>C</t>
        </is>
      </c>
      <c r="D239" t="n">
        <v>70</v>
      </c>
      <c r="E239" t="n">
        <v>1543</v>
      </c>
      <c r="F239" t="n">
        <v>432</v>
      </c>
      <c r="G239" t="n">
        <v>661</v>
      </c>
      <c r="H239" t="n">
        <v>62</v>
      </c>
      <c r="I239" t="n">
        <v>65</v>
      </c>
      <c r="J239" t="n">
        <v>91</v>
      </c>
      <c r="K239" t="n">
        <v>0</v>
      </c>
      <c r="L239" t="n">
        <v>55</v>
      </c>
      <c r="M239" s="7" t="n">
        <v>0.698</v>
      </c>
      <c r="N239" s="7" t="n">
        <v>0.409</v>
      </c>
      <c r="O239" t="n">
        <v>275.9</v>
      </c>
      <c r="P239" t="n">
        <v>114.5</v>
      </c>
      <c r="Q239" t="inlineStr">
        <is>
          <t>2025-26 (206 FGA)</t>
        </is>
      </c>
      <c r="R239" t="n">
        <v>148</v>
      </c>
      <c r="S239" t="n">
        <v>171</v>
      </c>
    </row>
    <row r="240">
      <c r="A240" t="inlineStr">
        <is>
          <t>Ryan Kalkbrenner</t>
        </is>
      </c>
      <c r="B240" t="inlineStr">
        <is>
          <t>CHA</t>
        </is>
      </c>
      <c r="C240" t="inlineStr">
        <is>
          <t>C</t>
        </is>
      </c>
      <c r="D240" t="n">
        <v>74</v>
      </c>
      <c r="E240" t="n">
        <v>1438</v>
      </c>
      <c r="F240" t="n">
        <v>455</v>
      </c>
      <c r="G240" t="n">
        <v>342</v>
      </c>
      <c r="H240" t="n">
        <v>49</v>
      </c>
      <c r="I240" t="n">
        <v>31</v>
      </c>
      <c r="J240" t="n">
        <v>93</v>
      </c>
      <c r="K240" t="n">
        <v>0</v>
      </c>
      <c r="L240" t="n">
        <v>59</v>
      </c>
      <c r="M240" s="7" t="n">
        <v>0.708</v>
      </c>
      <c r="N240" s="7" t="n">
        <v>0.724</v>
      </c>
      <c r="O240" t="n">
        <v>270.3</v>
      </c>
      <c r="P240" t="n">
        <v>99.90000000000001</v>
      </c>
      <c r="Q240" t="inlineStr">
        <is>
          <t>2025-26 (291 FGA)</t>
        </is>
      </c>
    </row>
    <row r="241">
      <c r="A241" t="inlineStr">
        <is>
          <t>Grant Williams</t>
        </is>
      </c>
      <c r="B241" t="inlineStr">
        <is>
          <t>CHA</t>
        </is>
      </c>
      <c r="C241" t="inlineStr">
        <is>
          <t>PF,C</t>
        </is>
      </c>
      <c r="D241" t="n">
        <v>71</v>
      </c>
      <c r="E241" t="n">
        <v>1282</v>
      </c>
      <c r="F241" t="n">
        <v>435</v>
      </c>
      <c r="G241" t="n">
        <v>227</v>
      </c>
      <c r="H241" t="n">
        <v>95</v>
      </c>
      <c r="I241" t="n">
        <v>33</v>
      </c>
      <c r="J241" t="n">
        <v>31</v>
      </c>
      <c r="K241" t="n">
        <v>84</v>
      </c>
      <c r="L241" t="n">
        <v>58</v>
      </c>
      <c r="M241" s="7" t="n">
        <v>0.426</v>
      </c>
      <c r="N241" s="7" t="n">
        <v>0.8149999999999999</v>
      </c>
      <c r="O241" t="n">
        <v>328.2</v>
      </c>
      <c r="P241" t="n">
        <v>87.59999999999999</v>
      </c>
      <c r="Q241" t="inlineStr">
        <is>
          <t>2025-26 (183 FGA)</t>
        </is>
      </c>
    </row>
    <row r="242">
      <c r="A242" t="inlineStr">
        <is>
          <t>Jaylin Williams</t>
        </is>
      </c>
      <c r="B242" t="inlineStr">
        <is>
          <t>OKC</t>
        </is>
      </c>
      <c r="C242" t="inlineStr">
        <is>
          <t>PF,C</t>
        </is>
      </c>
      <c r="D242" t="n">
        <v>73</v>
      </c>
      <c r="E242" t="n">
        <v>1266</v>
      </c>
      <c r="F242" t="n">
        <v>444</v>
      </c>
      <c r="G242" t="n">
        <v>350</v>
      </c>
      <c r="H242" t="n">
        <v>154</v>
      </c>
      <c r="I242" t="n">
        <v>36</v>
      </c>
      <c r="J242" t="n">
        <v>39</v>
      </c>
      <c r="K242" t="n">
        <v>93</v>
      </c>
      <c r="L242" t="n">
        <v>63</v>
      </c>
      <c r="M242" s="7" t="n">
        <v>0.423</v>
      </c>
      <c r="N242" s="7" t="n">
        <v>0.776</v>
      </c>
      <c r="O242" t="n">
        <v>336.5</v>
      </c>
      <c r="P242" t="n">
        <v>85.40000000000001</v>
      </c>
      <c r="Q242" t="inlineStr">
        <is>
          <t>2025-26 (352 FGA)</t>
        </is>
      </c>
      <c r="S242" t="n">
        <v>193</v>
      </c>
    </row>
    <row r="243">
      <c r="A243" t="inlineStr">
        <is>
          <t>Robert Williams III</t>
        </is>
      </c>
      <c r="B243" t="inlineStr">
        <is>
          <t>POR</t>
        </is>
      </c>
      <c r="C243" t="inlineStr">
        <is>
          <t>C</t>
        </is>
      </c>
      <c r="D243" t="n">
        <v>69</v>
      </c>
      <c r="E243" t="n">
        <v>1122</v>
      </c>
      <c r="F243" t="n">
        <v>412</v>
      </c>
      <c r="G243" t="n">
        <v>437</v>
      </c>
      <c r="H243" t="n">
        <v>67</v>
      </c>
      <c r="I243" t="n">
        <v>39</v>
      </c>
      <c r="J243" t="n">
        <v>94</v>
      </c>
      <c r="K243" t="n">
        <v>9</v>
      </c>
      <c r="L243" t="n">
        <v>53</v>
      </c>
      <c r="M243" s="7" t="n">
        <v>0.6870000000000001</v>
      </c>
      <c r="N243" s="7" t="n">
        <v>0.655</v>
      </c>
      <c r="O243" t="n">
        <v>259.6</v>
      </c>
      <c r="P243" t="n">
        <v>70.59999999999999</v>
      </c>
      <c r="Q243" t="inlineStr">
        <is>
          <t>2025-26 (250 FGA)</t>
        </is>
      </c>
    </row>
    <row r="244">
      <c r="A244" t="inlineStr">
        <is>
          <t>Ryan Dunn</t>
        </is>
      </c>
      <c r="B244" t="inlineStr">
        <is>
          <t>PHO</t>
        </is>
      </c>
      <c r="C244" t="inlineStr">
        <is>
          <t>SF,PF</t>
        </is>
      </c>
      <c r="D244" t="n">
        <v>75</v>
      </c>
      <c r="E244" t="n">
        <v>1416</v>
      </c>
      <c r="F244" t="n">
        <v>432</v>
      </c>
      <c r="G244" t="n">
        <v>297</v>
      </c>
      <c r="H244" t="n">
        <v>90</v>
      </c>
      <c r="I244" t="n">
        <v>63</v>
      </c>
      <c r="J244" t="n">
        <v>34</v>
      </c>
      <c r="K244" t="n">
        <v>62</v>
      </c>
      <c r="L244" t="n">
        <v>52</v>
      </c>
      <c r="M244" s="7" t="n">
        <v>0.445</v>
      </c>
      <c r="N244" s="7" t="n">
        <v>0.49</v>
      </c>
      <c r="O244" t="n">
        <v>379.9</v>
      </c>
      <c r="P244" t="n">
        <v>65</v>
      </c>
      <c r="Q244" t="inlineStr">
        <is>
          <t>2025-26 (362 FGA)</t>
        </is>
      </c>
    </row>
    <row r="245">
      <c r="A245" t="inlineStr">
        <is>
          <t>Zach Collins</t>
        </is>
      </c>
      <c r="B245" t="inlineStr">
        <is>
          <t>CHI</t>
        </is>
      </c>
      <c r="C245" t="inlineStr">
        <is>
          <t>C</t>
        </is>
      </c>
      <c r="D245" t="n">
        <v>67</v>
      </c>
      <c r="E245" t="n">
        <v>885</v>
      </c>
      <c r="F245" t="n">
        <v>386</v>
      </c>
      <c r="G245" t="n">
        <v>233</v>
      </c>
      <c r="H245" t="n">
        <v>87</v>
      </c>
      <c r="I245" t="n">
        <v>19</v>
      </c>
      <c r="J245" t="n">
        <v>22</v>
      </c>
      <c r="K245" t="n">
        <v>33</v>
      </c>
      <c r="L245" t="n">
        <v>52</v>
      </c>
      <c r="M245" s="7" t="n">
        <v>0.52</v>
      </c>
      <c r="N245" s="7" t="n">
        <v>0.806</v>
      </c>
      <c r="O245" t="n">
        <v>271.4</v>
      </c>
      <c r="P245" t="n">
        <v>87.8</v>
      </c>
      <c r="Q245" t="inlineStr">
        <is>
          <t>2025-26 (64 FGA)</t>
        </is>
      </c>
    </row>
    <row r="246">
      <c r="A246" t="inlineStr">
        <is>
          <t>Andre Drummond</t>
        </is>
      </c>
      <c r="B246" t="inlineStr">
        <is>
          <t>NYK</t>
        </is>
      </c>
      <c r="C246" t="inlineStr">
        <is>
          <t>C</t>
        </is>
      </c>
      <c r="D246" t="n">
        <v>69</v>
      </c>
      <c r="E246" t="n">
        <v>1146</v>
      </c>
      <c r="F246" t="n">
        <v>393</v>
      </c>
      <c r="G246" t="n">
        <v>505</v>
      </c>
      <c r="H246" t="n">
        <v>71</v>
      </c>
      <c r="I246" t="n">
        <v>41</v>
      </c>
      <c r="J246" t="n">
        <v>38</v>
      </c>
      <c r="K246" t="n">
        <v>24</v>
      </c>
      <c r="L246" t="n">
        <v>60</v>
      </c>
      <c r="M246" s="7" t="n">
        <v>0.506</v>
      </c>
      <c r="N246" s="7" t="n">
        <v>0.633</v>
      </c>
      <c r="O246" t="n">
        <v>310.6</v>
      </c>
      <c r="P246" t="n">
        <v>86.40000000000001</v>
      </c>
      <c r="Q246" t="inlineStr">
        <is>
          <t>2025-26 (337 FGA)</t>
        </is>
      </c>
      <c r="R246" t="n">
        <v>101</v>
      </c>
    </row>
    <row r="247">
      <c r="A247" t="inlineStr">
        <is>
          <t>Matisse Thybulle</t>
        </is>
      </c>
      <c r="B247" t="inlineStr">
        <is>
          <t>LAL</t>
        </is>
      </c>
      <c r="C247" t="inlineStr">
        <is>
          <t>PF,SF,SG</t>
        </is>
      </c>
      <c r="D247" t="n">
        <v>68</v>
      </c>
      <c r="E247" t="n">
        <v>1222</v>
      </c>
      <c r="F247" t="n">
        <v>384</v>
      </c>
      <c r="G247" t="n">
        <v>148</v>
      </c>
      <c r="H247" t="n">
        <v>77</v>
      </c>
      <c r="I247" t="n">
        <v>118</v>
      </c>
      <c r="J247" t="n">
        <v>33</v>
      </c>
      <c r="K247" t="n">
        <v>78</v>
      </c>
      <c r="L247" t="n">
        <v>53</v>
      </c>
      <c r="M247" s="7" t="n">
        <v>0.447</v>
      </c>
      <c r="N247" s="7" t="n">
        <v>0.747</v>
      </c>
      <c r="O247" t="n">
        <v>289.3</v>
      </c>
      <c r="P247" t="n">
        <v>63.4</v>
      </c>
      <c r="Q247" t="inlineStr">
        <is>
          <t>2025-26 (134 FGA)</t>
        </is>
      </c>
    </row>
    <row r="248">
      <c r="A248" t="inlineStr">
        <is>
          <t>Kris Dunn</t>
        </is>
      </c>
      <c r="B248" t="inlineStr">
        <is>
          <t>LAC</t>
        </is>
      </c>
      <c r="C248" t="inlineStr">
        <is>
          <t>PG,SG</t>
        </is>
      </c>
      <c r="D248" t="n">
        <v>77</v>
      </c>
      <c r="E248" t="n">
        <v>1590</v>
      </c>
      <c r="F248" t="n">
        <v>426</v>
      </c>
      <c r="G248" t="n">
        <v>213</v>
      </c>
      <c r="H248" t="n">
        <v>210</v>
      </c>
      <c r="I248" t="n">
        <v>100</v>
      </c>
      <c r="J248" t="n">
        <v>20</v>
      </c>
      <c r="K248" t="n">
        <v>63</v>
      </c>
      <c r="L248" t="n">
        <v>73</v>
      </c>
      <c r="M248" s="7" t="n">
        <v>0.462</v>
      </c>
      <c r="N248" s="7" t="n">
        <v>0.745</v>
      </c>
      <c r="O248" t="n">
        <v>339.4</v>
      </c>
      <c r="P248" t="n">
        <v>66.40000000000001</v>
      </c>
      <c r="Q248" t="inlineStr">
        <is>
          <t>2025-26 (477 FGA)</t>
        </is>
      </c>
    </row>
    <row r="249">
      <c r="A249" t="inlineStr">
        <is>
          <t>Jaxson Hayes</t>
        </is>
      </c>
      <c r="B249" t="inlineStr">
        <is>
          <t>UTH</t>
        </is>
      </c>
      <c r="C249" t="inlineStr">
        <is>
          <t>C</t>
        </is>
      </c>
      <c r="D249" t="n">
        <v>71</v>
      </c>
      <c r="E249" t="n">
        <v>1085</v>
      </c>
      <c r="F249" t="n">
        <v>386</v>
      </c>
      <c r="G249" t="n">
        <v>241</v>
      </c>
      <c r="H249" t="n">
        <v>53</v>
      </c>
      <c r="I249" t="n">
        <v>30</v>
      </c>
      <c r="J249" t="n">
        <v>41</v>
      </c>
      <c r="K249" t="n">
        <v>1</v>
      </c>
      <c r="L249" t="n">
        <v>37</v>
      </c>
      <c r="M249" s="7" t="n">
        <v>0.709</v>
      </c>
      <c r="N249" s="7" t="n">
        <v>0.645</v>
      </c>
      <c r="O249" t="n">
        <v>224</v>
      </c>
      <c r="P249" t="n">
        <v>104.5</v>
      </c>
      <c r="Q249" t="inlineStr">
        <is>
          <t>2025-26 (262 FGA)</t>
        </is>
      </c>
    </row>
    <row r="250">
      <c r="A250" t="inlineStr">
        <is>
          <t>Mike Conley</t>
        </is>
      </c>
      <c r="B250" t="inlineStr">
        <is>
          <t>BOS</t>
        </is>
      </c>
      <c r="C250" t="inlineStr">
        <is>
          <t>PG</t>
        </is>
      </c>
      <c r="D250" t="n">
        <v>67</v>
      </c>
      <c r="E250" t="n">
        <v>1218</v>
      </c>
      <c r="F250" t="n">
        <v>358</v>
      </c>
      <c r="G250" t="n">
        <v>125</v>
      </c>
      <c r="H250" t="n">
        <v>188</v>
      </c>
      <c r="I250" t="n">
        <v>44</v>
      </c>
      <c r="J250" t="n">
        <v>13</v>
      </c>
      <c r="K250" t="n">
        <v>82</v>
      </c>
      <c r="L250" t="n">
        <v>44</v>
      </c>
      <c r="M250" s="7" t="n">
        <v>0.368</v>
      </c>
      <c r="N250" s="7" t="n">
        <v>0.901</v>
      </c>
      <c r="O250" t="n">
        <v>288.7</v>
      </c>
      <c r="P250" t="n">
        <v>70.5</v>
      </c>
      <c r="Q250" t="inlineStr">
        <is>
          <t>2025-26 (215 FGA)</t>
        </is>
      </c>
    </row>
    <row r="251">
      <c r="A251" t="inlineStr">
        <is>
          <t>Ben Sheppard</t>
        </is>
      </c>
      <c r="B251" t="inlineStr">
        <is>
          <t>IND</t>
        </is>
      </c>
      <c r="C251" t="inlineStr">
        <is>
          <t>SG,SF</t>
        </is>
      </c>
      <c r="D251" t="n">
        <v>70</v>
      </c>
      <c r="E251" t="n">
        <v>1285</v>
      </c>
      <c r="F251" t="n">
        <v>365</v>
      </c>
      <c r="G251" t="n">
        <v>168</v>
      </c>
      <c r="H251" t="n">
        <v>92</v>
      </c>
      <c r="I251" t="n">
        <v>37</v>
      </c>
      <c r="J251" t="n">
        <v>7</v>
      </c>
      <c r="K251" t="n">
        <v>69</v>
      </c>
      <c r="L251" t="n">
        <v>27</v>
      </c>
      <c r="M251" s="7" t="n">
        <v>0.43</v>
      </c>
      <c r="N251" s="7" t="n">
        <v>0.826</v>
      </c>
      <c r="O251" t="n">
        <v>297.7</v>
      </c>
      <c r="P251" t="n">
        <v>48.4</v>
      </c>
      <c r="Q251" t="inlineStr">
        <is>
          <t>2025-26 (387 FGA)</t>
        </is>
      </c>
    </row>
    <row r="252">
      <c r="A252" t="inlineStr">
        <is>
          <t>Khaman Maluach</t>
        </is>
      </c>
      <c r="B252" t="inlineStr">
        <is>
          <t>PHO</t>
        </is>
      </c>
      <c r="C252" t="inlineStr">
        <is>
          <t>C</t>
        </is>
      </c>
      <c r="D252" t="n">
        <v>72</v>
      </c>
      <c r="E252" t="n">
        <v>1070</v>
      </c>
      <c r="F252" t="n">
        <v>361</v>
      </c>
      <c r="G252" t="n">
        <v>352</v>
      </c>
      <c r="H252" t="n">
        <v>15</v>
      </c>
      <c r="I252" t="n">
        <v>15</v>
      </c>
      <c r="J252" t="n">
        <v>88</v>
      </c>
      <c r="K252" t="n">
        <v>18</v>
      </c>
      <c r="L252" t="n">
        <v>65</v>
      </c>
      <c r="M252" s="7" t="n">
        <v>0.541</v>
      </c>
      <c r="N252" s="7" t="n">
        <v>0.716</v>
      </c>
      <c r="O252" t="n">
        <v>262.1</v>
      </c>
      <c r="P252" t="n">
        <v>82.90000000000001</v>
      </c>
      <c r="Q252" t="inlineStr">
        <is>
          <t>2025-26 (105 FGA)</t>
        </is>
      </c>
    </row>
    <row r="253">
      <c r="A253" t="inlineStr">
        <is>
          <t>Trayce Jackson-Davis</t>
        </is>
      </c>
      <c r="B253" t="inlineStr">
        <is>
          <t>TOR</t>
        </is>
      </c>
      <c r="C253" t="inlineStr">
        <is>
          <t>PF,C</t>
        </is>
      </c>
      <c r="D253" t="n">
        <v>47</v>
      </c>
      <c r="E253" t="n">
        <v>506</v>
      </c>
      <c r="F253" t="n">
        <v>226</v>
      </c>
      <c r="G253" t="n">
        <v>160</v>
      </c>
      <c r="H253" t="n">
        <v>45</v>
      </c>
      <c r="I253" t="n">
        <v>15</v>
      </c>
      <c r="J253" t="n">
        <v>25</v>
      </c>
      <c r="K253" t="n">
        <v>0</v>
      </c>
      <c r="L253" t="n">
        <v>23</v>
      </c>
      <c r="M253" s="7" t="n">
        <v>0.599</v>
      </c>
      <c r="N253" s="7" t="n">
        <v>0.551</v>
      </c>
      <c r="O253" t="n">
        <v>160.8</v>
      </c>
      <c r="P253" t="n">
        <v>60.6</v>
      </c>
      <c r="Q253" t="inlineStr">
        <is>
          <t>2025-26 (124 FGA)</t>
        </is>
      </c>
    </row>
    <row r="254">
      <c r="A254" t="inlineStr">
        <is>
          <t>Kyle Anderson</t>
        </is>
      </c>
      <c r="B254" t="inlineStr">
        <is>
          <t>TOR</t>
        </is>
      </c>
      <c r="C254" t="inlineStr">
        <is>
          <t>PF,SF</t>
        </is>
      </c>
      <c r="D254" t="n">
        <v>70</v>
      </c>
      <c r="E254" t="n">
        <v>1067</v>
      </c>
      <c r="F254" t="n">
        <v>338</v>
      </c>
      <c r="G254" t="n">
        <v>188</v>
      </c>
      <c r="H254" t="n">
        <v>167</v>
      </c>
      <c r="I254" t="n">
        <v>48</v>
      </c>
      <c r="J254" t="n">
        <v>32</v>
      </c>
      <c r="K254" t="n">
        <v>13</v>
      </c>
      <c r="L254" t="n">
        <v>46</v>
      </c>
      <c r="M254" s="7" t="n">
        <v>0.486</v>
      </c>
      <c r="N254" s="7" t="n">
        <v>0.702</v>
      </c>
      <c r="O254" t="n">
        <v>276.6</v>
      </c>
      <c r="P254" t="n">
        <v>79.90000000000001</v>
      </c>
      <c r="Q254" t="inlineStr">
        <is>
          <t>2025-26 (202 FGA)</t>
        </is>
      </c>
    </row>
    <row r="255">
      <c r="A255" t="inlineStr">
        <is>
          <t>Luke Kornet</t>
        </is>
      </c>
      <c r="B255" t="inlineStr">
        <is>
          <t>SAS</t>
        </is>
      </c>
      <c r="C255" t="inlineStr">
        <is>
          <t>C</t>
        </is>
      </c>
      <c r="D255" t="n">
        <v>75</v>
      </c>
      <c r="E255" t="n">
        <v>1095</v>
      </c>
      <c r="F255" t="n">
        <v>353</v>
      </c>
      <c r="G255" t="n">
        <v>303</v>
      </c>
      <c r="H255" t="n">
        <v>90</v>
      </c>
      <c r="I255" t="n">
        <v>29</v>
      </c>
      <c r="J255" t="n">
        <v>54</v>
      </c>
      <c r="K255" t="n">
        <v>0</v>
      </c>
      <c r="L255" t="n">
        <v>23</v>
      </c>
      <c r="M255" s="7" t="n">
        <v>0.658</v>
      </c>
      <c r="N255" s="7" t="n">
        <v>0.783</v>
      </c>
      <c r="O255" t="n">
        <v>218.8</v>
      </c>
      <c r="P255" t="n">
        <v>83.2</v>
      </c>
      <c r="Q255" t="inlineStr">
        <is>
          <t>2025-26 (272 FGA)</t>
        </is>
      </c>
      <c r="R255" t="n">
        <v>79</v>
      </c>
      <c r="S255" t="n">
        <v>200</v>
      </c>
    </row>
    <row r="256">
      <c r="A256" t="inlineStr">
        <is>
          <t>Goga Bitadze</t>
        </is>
      </c>
      <c r="B256" t="inlineStr">
        <is>
          <t>ORL</t>
        </is>
      </c>
      <c r="C256" t="inlineStr">
        <is>
          <t>C</t>
        </is>
      </c>
      <c r="D256" t="n">
        <v>72</v>
      </c>
      <c r="E256" t="n">
        <v>930</v>
      </c>
      <c r="F256" t="n">
        <v>335</v>
      </c>
      <c r="G256" t="n">
        <v>300</v>
      </c>
      <c r="H256" t="n">
        <v>82</v>
      </c>
      <c r="I256" t="n">
        <v>35</v>
      </c>
      <c r="J256" t="n">
        <v>61</v>
      </c>
      <c r="K256" t="n">
        <v>1</v>
      </c>
      <c r="L256" t="n">
        <v>42</v>
      </c>
      <c r="M256" s="7" t="n">
        <v>0.635</v>
      </c>
      <c r="N256" s="7" t="n">
        <v>0.6879999999999999</v>
      </c>
      <c r="O256" t="n">
        <v>217.9</v>
      </c>
      <c r="P256" t="n">
        <v>83.3</v>
      </c>
      <c r="Q256" t="inlineStr">
        <is>
          <t>2025-26 (225 FGA)</t>
        </is>
      </c>
    </row>
    <row r="257">
      <c r="A257" t="inlineStr">
        <is>
          <t>Thomas Bryant</t>
        </is>
      </c>
      <c r="B257" t="inlineStr">
        <is>
          <t>CLE</t>
        </is>
      </c>
      <c r="C257" t="inlineStr">
        <is>
          <t>C</t>
        </is>
      </c>
      <c r="D257" t="n">
        <v>48</v>
      </c>
      <c r="E257" t="n">
        <v>443</v>
      </c>
      <c r="F257" t="n">
        <v>224</v>
      </c>
      <c r="G257" t="n">
        <v>131</v>
      </c>
      <c r="H257" t="n">
        <v>22</v>
      </c>
      <c r="I257" t="n">
        <v>15</v>
      </c>
      <c r="J257" t="n">
        <v>18</v>
      </c>
      <c r="K257" t="n">
        <v>26</v>
      </c>
      <c r="L257" t="n">
        <v>19</v>
      </c>
      <c r="M257" s="7" t="n">
        <v>0.509</v>
      </c>
      <c r="N257" s="7" t="n">
        <v>0.8169999999999999</v>
      </c>
      <c r="O257" t="n">
        <v>158.7</v>
      </c>
      <c r="P257" t="n">
        <v>44.7</v>
      </c>
      <c r="Q257" t="inlineStr">
        <is>
          <t>2025-26 (267 FGA)</t>
        </is>
      </c>
    </row>
    <row r="258">
      <c r="A258" t="inlineStr">
        <is>
          <t>Clint Capela</t>
        </is>
      </c>
      <c r="B258" t="inlineStr">
        <is>
          <t>HOU</t>
        </is>
      </c>
      <c r="C258" t="inlineStr">
        <is>
          <t>C</t>
        </is>
      </c>
      <c r="D258" t="n">
        <v>45</v>
      </c>
      <c r="E258" t="n">
        <v>518</v>
      </c>
      <c r="F258" t="n">
        <v>201</v>
      </c>
      <c r="G258" t="n">
        <v>211</v>
      </c>
      <c r="H258" t="n">
        <v>26</v>
      </c>
      <c r="I258" t="n">
        <v>17</v>
      </c>
      <c r="J258" t="n">
        <v>27</v>
      </c>
      <c r="K258" t="n">
        <v>0</v>
      </c>
      <c r="L258" t="n">
        <v>22</v>
      </c>
      <c r="M258" s="7" t="n">
        <v>0.598</v>
      </c>
      <c r="N258" s="7" t="n">
        <v>0.573</v>
      </c>
      <c r="O258" t="n">
        <v>144.8</v>
      </c>
      <c r="P258" t="n">
        <v>48.6</v>
      </c>
      <c r="Q258" t="inlineStr">
        <is>
          <t>2025-26 (227 FGA)</t>
        </is>
      </c>
    </row>
    <row r="259">
      <c r="A259" t="inlineStr">
        <is>
          <t>Adem Bona</t>
        </is>
      </c>
      <c r="B259" t="inlineStr">
        <is>
          <t>PHI</t>
        </is>
      </c>
      <c r="C259" t="inlineStr">
        <is>
          <t>C</t>
        </is>
      </c>
      <c r="D259" t="n">
        <v>74</v>
      </c>
      <c r="E259" t="n">
        <v>1099</v>
      </c>
      <c r="F259" t="n">
        <v>317</v>
      </c>
      <c r="G259" t="n">
        <v>277</v>
      </c>
      <c r="H259" t="n">
        <v>29</v>
      </c>
      <c r="I259" t="n">
        <v>26</v>
      </c>
      <c r="J259" t="n">
        <v>80</v>
      </c>
      <c r="K259" t="n">
        <v>1</v>
      </c>
      <c r="L259" t="n">
        <v>53</v>
      </c>
      <c r="M259" s="7" t="n">
        <v>0.64</v>
      </c>
      <c r="N259" s="7" t="n">
        <v>0.697</v>
      </c>
      <c r="O259" t="n">
        <v>200.5</v>
      </c>
      <c r="P259" t="n">
        <v>85.2</v>
      </c>
      <c r="Q259" t="inlineStr">
        <is>
          <t>2025-26 (220 FGA)</t>
        </is>
      </c>
      <c r="R259" t="n">
        <v>89</v>
      </c>
    </row>
    <row r="260">
      <c r="A260" t="inlineStr">
        <is>
          <t>Jarred Vanderbilt</t>
        </is>
      </c>
      <c r="B260" t="inlineStr">
        <is>
          <t>LAL</t>
        </is>
      </c>
      <c r="C260" t="inlineStr">
        <is>
          <t>C,PF,SF</t>
        </is>
      </c>
      <c r="D260" t="n">
        <v>71</v>
      </c>
      <c r="E260" t="n">
        <v>1142</v>
      </c>
      <c r="F260" t="n">
        <v>277</v>
      </c>
      <c r="G260" t="n">
        <v>309</v>
      </c>
      <c r="H260" t="n">
        <v>74</v>
      </c>
      <c r="I260" t="n">
        <v>59</v>
      </c>
      <c r="J260" t="n">
        <v>18</v>
      </c>
      <c r="K260" t="n">
        <v>23</v>
      </c>
      <c r="L260" t="n">
        <v>56</v>
      </c>
      <c r="M260" s="7" t="n">
        <v>0.472</v>
      </c>
      <c r="N260" s="7" t="n">
        <v>0.59</v>
      </c>
      <c r="O260" t="n">
        <v>229.5</v>
      </c>
      <c r="P260" t="n">
        <v>63.3</v>
      </c>
      <c r="Q260" t="inlineStr">
        <is>
          <t>2025-26 (240 FGA)</t>
        </is>
      </c>
    </row>
    <row r="261">
      <c r="A261" t="inlineStr">
        <is>
          <t>Mouhamed Gueye</t>
        </is>
      </c>
      <c r="B261" t="inlineStr">
        <is>
          <t>ATL</t>
        </is>
      </c>
      <c r="C261" t="inlineStr">
        <is>
          <t>PF,C</t>
        </is>
      </c>
      <c r="D261" t="n">
        <v>74</v>
      </c>
      <c r="E261" t="n">
        <v>998</v>
      </c>
      <c r="F261" t="n">
        <v>290</v>
      </c>
      <c r="G261" t="n">
        <v>222</v>
      </c>
      <c r="H261" t="n">
        <v>55</v>
      </c>
      <c r="I261" t="n">
        <v>49</v>
      </c>
      <c r="J261" t="n">
        <v>35</v>
      </c>
      <c r="K261" t="n">
        <v>33</v>
      </c>
      <c r="L261" t="n">
        <v>25</v>
      </c>
      <c r="M261" s="7" t="n">
        <v>0.45</v>
      </c>
      <c r="N261" s="7" t="n">
        <v>0.669</v>
      </c>
      <c r="O261" t="n">
        <v>244.7</v>
      </c>
      <c r="P261" t="n">
        <v>55</v>
      </c>
      <c r="Q261" t="inlineStr">
        <is>
          <t>2025-26 (290 FGA)</t>
        </is>
      </c>
    </row>
    <row r="262">
      <c r="A262" t="inlineStr">
        <is>
          <t>Kevon Looney</t>
        </is>
      </c>
      <c r="B262" t="inlineStr">
        <is>
          <t>LAL</t>
        </is>
      </c>
      <c r="C262" t="inlineStr">
        <is>
          <t>C,PF</t>
        </is>
      </c>
      <c r="D262" t="n">
        <v>72</v>
      </c>
      <c r="E262" t="n">
        <v>1016</v>
      </c>
      <c r="F262" t="n">
        <v>272</v>
      </c>
      <c r="G262" t="n">
        <v>375</v>
      </c>
      <c r="H262" t="n">
        <v>99</v>
      </c>
      <c r="I262" t="n">
        <v>33</v>
      </c>
      <c r="J262" t="n">
        <v>27</v>
      </c>
      <c r="K262" t="n">
        <v>1</v>
      </c>
      <c r="L262" t="n">
        <v>37</v>
      </c>
      <c r="M262" s="7" t="n">
        <v>0.532</v>
      </c>
      <c r="N262" s="7" t="n">
        <v>0.606</v>
      </c>
      <c r="O262" t="n">
        <v>218.6</v>
      </c>
      <c r="P262" t="n">
        <v>63.4</v>
      </c>
      <c r="Q262" t="inlineStr">
        <is>
          <t>2025-26 (60 FGA)</t>
        </is>
      </c>
    </row>
    <row r="263">
      <c r="A263" t="inlineStr">
        <is>
          <t>Jericho Sims</t>
        </is>
      </c>
      <c r="B263" t="inlineStr">
        <is>
          <t>MIL</t>
        </is>
      </c>
      <c r="C263" t="inlineStr">
        <is>
          <t>C,PF</t>
        </is>
      </c>
      <c r="D263" t="n">
        <v>46</v>
      </c>
      <c r="E263" t="n">
        <v>695</v>
      </c>
      <c r="F263" t="n">
        <v>157</v>
      </c>
      <c r="G263" t="n">
        <v>188</v>
      </c>
      <c r="H263" t="n">
        <v>51</v>
      </c>
      <c r="I263" t="n">
        <v>13</v>
      </c>
      <c r="J263" t="n">
        <v>13</v>
      </c>
      <c r="K263" t="n">
        <v>0</v>
      </c>
      <c r="L263" t="n">
        <v>38</v>
      </c>
      <c r="M263" s="7" t="n">
        <v>0.796</v>
      </c>
      <c r="N263" s="7" t="n">
        <v>0.621</v>
      </c>
      <c r="O263" t="n">
        <v>86.59999999999999</v>
      </c>
      <c r="P263" t="n">
        <v>30.7</v>
      </c>
      <c r="Q263" t="inlineStr">
        <is>
          <t>2025-26 (185 FGA)</t>
        </is>
      </c>
    </row>
    <row r="264">
      <c r="A264" t="inlineStr">
        <is>
          <t>Steven Adams</t>
        </is>
      </c>
      <c r="B264" t="inlineStr">
        <is>
          <t>HOU</t>
        </is>
      </c>
      <c r="C264" t="inlineStr">
        <is>
          <t>C</t>
        </is>
      </c>
      <c r="D264" t="n">
        <v>71</v>
      </c>
      <c r="E264" t="n">
        <v>906</v>
      </c>
      <c r="F264" t="n">
        <v>229</v>
      </c>
      <c r="G264" t="n">
        <v>332</v>
      </c>
      <c r="H264" t="n">
        <v>64</v>
      </c>
      <c r="I264" t="n">
        <v>24</v>
      </c>
      <c r="J264" t="n">
        <v>30</v>
      </c>
      <c r="K264" t="n">
        <v>0</v>
      </c>
      <c r="L264" t="n">
        <v>50</v>
      </c>
      <c r="M264" s="7" t="n">
        <v>0.537</v>
      </c>
      <c r="N264" s="7" t="n">
        <v>0.523</v>
      </c>
      <c r="O264" t="n">
        <v>176.2</v>
      </c>
      <c r="P264" t="n">
        <v>76.09999999999999</v>
      </c>
      <c r="Q264" t="inlineStr">
        <is>
          <t>2025-26 (139 FGA)</t>
        </is>
      </c>
    </row>
    <row r="265">
      <c r="A265" t="inlineStr">
        <is>
          <t>Jonathan Isaac</t>
        </is>
      </c>
      <c r="B265" t="inlineStr">
        <is>
          <t>ORL</t>
        </is>
      </c>
      <c r="C265" t="inlineStr">
        <is>
          <t>C,PF</t>
        </is>
      </c>
      <c r="D265" t="n">
        <v>42</v>
      </c>
      <c r="E265" t="n">
        <v>414</v>
      </c>
      <c r="F265" t="n">
        <v>118</v>
      </c>
      <c r="G265" t="n">
        <v>104</v>
      </c>
      <c r="H265" t="n">
        <v>16</v>
      </c>
      <c r="I265" t="n">
        <v>17</v>
      </c>
      <c r="J265" t="n">
        <v>23</v>
      </c>
      <c r="K265" t="n">
        <v>11</v>
      </c>
      <c r="L265" t="n">
        <v>14</v>
      </c>
      <c r="M265" s="7" t="n">
        <v>0.434</v>
      </c>
      <c r="N265" s="7" t="n">
        <v>0.64</v>
      </c>
      <c r="O265" t="n">
        <v>95.2</v>
      </c>
      <c r="P265" t="n">
        <v>38</v>
      </c>
      <c r="Q265" t="inlineStr">
        <is>
          <t>2025-26 (109 FGA)</t>
        </is>
      </c>
    </row>
    <row r="266">
      <c r="A266" t="inlineStr">
        <is>
          <t>Jonathan Mogbo</t>
        </is>
      </c>
      <c r="B266" t="inlineStr">
        <is>
          <t>SAC</t>
        </is>
      </c>
      <c r="C266" t="inlineStr">
        <is>
          <t>C,PF</t>
        </is>
      </c>
      <c r="D266" t="n">
        <v>47</v>
      </c>
      <c r="E266" t="n">
        <v>500</v>
      </c>
      <c r="F266" t="n">
        <v>130</v>
      </c>
      <c r="G266" t="n">
        <v>118</v>
      </c>
      <c r="H266" t="n">
        <v>49</v>
      </c>
      <c r="I266" t="n">
        <v>18</v>
      </c>
      <c r="J266" t="n">
        <v>16</v>
      </c>
      <c r="K266" t="n">
        <v>2</v>
      </c>
      <c r="L266" t="n">
        <v>27</v>
      </c>
      <c r="M266" s="7" t="n">
        <v>0.506</v>
      </c>
      <c r="N266" s="7" t="n">
        <v>0.704</v>
      </c>
      <c r="O266" t="n">
        <v>103.1</v>
      </c>
      <c r="P266" t="n">
        <v>33.6</v>
      </c>
      <c r="Q266" t="inlineStr">
        <is>
          <t>2025-26 (44 FGA)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Category</t>
        </is>
      </c>
      <c r="B1" s="1" t="inlineStr">
        <is>
          <t>All mean</t>
        </is>
      </c>
      <c r="C1" s="1" t="inlineStr">
        <is>
          <t>All stdev</t>
        </is>
      </c>
      <c r="D1" s="1" t="inlineStr">
        <is>
          <t>Pool mean</t>
        </is>
      </c>
      <c r="E1" s="1" t="inlineStr">
        <is>
          <t>Pool stdev</t>
        </is>
      </c>
    </row>
    <row r="2">
      <c r="A2" t="inlineStr">
        <is>
          <t>PTS</t>
        </is>
      </c>
      <c r="B2" s="15">
        <f>AVERAGE('The List'!$N$2:$N$266)</f>
        <v/>
      </c>
      <c r="C2" s="15">
        <f>STDEV('The List'!$N$2:$N$266)</f>
        <v/>
      </c>
      <c r="D2" s="15">
        <f>SUMPRODUCT('The List'!$AR$2:$AR$266,'The List'!$N$2:$N$266)/SUM('The List'!$AR$2:$AR$266)</f>
        <v/>
      </c>
      <c r="E2" s="15">
        <f>SQRT(SUMPRODUCT('The List'!$AR$2:$AR$266,('The List'!$N$2:$N$266-D2)^2)/(SUM('The List'!$AR$2:$AR$266)-1))</f>
        <v/>
      </c>
    </row>
    <row r="3">
      <c r="A3" t="inlineStr">
        <is>
          <t>REB</t>
        </is>
      </c>
      <c r="B3" s="15">
        <f>AVERAGE('The List'!$O$2:$O$266)</f>
        <v/>
      </c>
      <c r="C3" s="15">
        <f>STDEV('The List'!$O$2:$O$266)</f>
        <v/>
      </c>
      <c r="D3" s="15">
        <f>SUMPRODUCT('The List'!$AR$2:$AR$266,'The List'!$O$2:$O$266)/SUM('The List'!$AR$2:$AR$266)</f>
        <v/>
      </c>
      <c r="E3" s="15">
        <f>SQRT(SUMPRODUCT('The List'!$AR$2:$AR$266,('The List'!$O$2:$O$266-D3)^2)/(SUM('The List'!$AR$2:$AR$266)-1))</f>
        <v/>
      </c>
    </row>
    <row r="4">
      <c r="A4" t="inlineStr">
        <is>
          <t>AST</t>
        </is>
      </c>
      <c r="B4" s="15">
        <f>AVERAGE('The List'!$P$2:$P$266)</f>
        <v/>
      </c>
      <c r="C4" s="15">
        <f>STDEV('The List'!$P$2:$P$266)</f>
        <v/>
      </c>
      <c r="D4" s="15">
        <f>SUMPRODUCT('The List'!$AR$2:$AR$266,'The List'!$P$2:$P$266)/SUM('The List'!$AR$2:$AR$266)</f>
        <v/>
      </c>
      <c r="E4" s="15">
        <f>SQRT(SUMPRODUCT('The List'!$AR$2:$AR$266,('The List'!$P$2:$P$266-D4)^2)/(SUM('The List'!$AR$2:$AR$266)-1))</f>
        <v/>
      </c>
    </row>
    <row r="5">
      <c r="A5" t="inlineStr">
        <is>
          <t>STL</t>
        </is>
      </c>
      <c r="B5" s="15">
        <f>AVERAGE('The List'!$Q$2:$Q$266)</f>
        <v/>
      </c>
      <c r="C5" s="15">
        <f>STDEV('The List'!$Q$2:$Q$266)</f>
        <v/>
      </c>
      <c r="D5" s="15">
        <f>SUMPRODUCT('The List'!$AR$2:$AR$266,'The List'!$Q$2:$Q$266)/SUM('The List'!$AR$2:$AR$266)</f>
        <v/>
      </c>
      <c r="E5" s="15">
        <f>SQRT(SUMPRODUCT('The List'!$AR$2:$AR$266,('The List'!$Q$2:$Q$266-D5)^2)/(SUM('The List'!$AR$2:$AR$266)-1))</f>
        <v/>
      </c>
    </row>
    <row r="6">
      <c r="A6" t="inlineStr">
        <is>
          <t>BLK</t>
        </is>
      </c>
      <c r="B6" s="15">
        <f>AVERAGE('The List'!$R$2:$R$266)</f>
        <v/>
      </c>
      <c r="C6" s="15">
        <f>STDEV('The List'!$R$2:$R$266)</f>
        <v/>
      </c>
      <c r="D6" s="15">
        <f>SUMPRODUCT('The List'!$AR$2:$AR$266,'The List'!$R$2:$R$266)/SUM('The List'!$AR$2:$AR$266)</f>
        <v/>
      </c>
      <c r="E6" s="15">
        <f>SQRT(SUMPRODUCT('The List'!$AR$2:$AR$266,('The List'!$R$2:$R$266-D6)^2)/(SUM('The List'!$AR$2:$AR$266)-1))</f>
        <v/>
      </c>
    </row>
    <row r="7">
      <c r="A7" t="inlineStr">
        <is>
          <t>3PM</t>
        </is>
      </c>
      <c r="B7" s="15">
        <f>AVERAGE('The List'!$S$2:$S$266)</f>
        <v/>
      </c>
      <c r="C7" s="15">
        <f>STDEV('The List'!$S$2:$S$266)</f>
        <v/>
      </c>
      <c r="D7" s="15">
        <f>SUMPRODUCT('The List'!$AR$2:$AR$266,'The List'!$S$2:$S$266)/SUM('The List'!$AR$2:$AR$266)</f>
        <v/>
      </c>
      <c r="E7" s="15">
        <f>SQRT(SUMPRODUCT('The List'!$AR$2:$AR$266,('The List'!$S$2:$S$266-D7)^2)/(SUM('The List'!$AR$2:$AR$266)-1))</f>
        <v/>
      </c>
    </row>
    <row r="8">
      <c r="A8" t="inlineStr">
        <is>
          <t>FG%</t>
        </is>
      </c>
      <c r="B8" s="15">
        <f>AVERAGE('The List'!$AO$2:$AO$266)</f>
        <v/>
      </c>
      <c r="C8" s="15">
        <f>STDEV('The List'!$AO$2:$AO$266)</f>
        <v/>
      </c>
      <c r="D8" s="15">
        <f>SUMPRODUCT('The List'!$AR$2:$AR$266,'The List'!$AS$2:$AS$266)/SUM('The List'!$AR$2:$AR$266)</f>
        <v/>
      </c>
      <c r="E8" s="15">
        <f>SQRT(SUMPRODUCT('The List'!$AR$2:$AR$266,('The List'!$AS$2:$AS$266-D8)^2)/(SUM('The List'!$AR$2:$AR$266)-1))</f>
        <v/>
      </c>
    </row>
    <row r="9">
      <c r="A9" t="inlineStr">
        <is>
          <t>FT%</t>
        </is>
      </c>
      <c r="B9" s="15">
        <f>AVERAGE('The List'!$AP$2:$AP$266)</f>
        <v/>
      </c>
      <c r="C9" s="15">
        <f>STDEV('The List'!$AP$2:$AP$266)</f>
        <v/>
      </c>
      <c r="D9" s="15">
        <f>SUMPRODUCT('The List'!$AR$2:$AR$266,'The List'!$AT$2:$AT$266)/SUM('The List'!$AR$2:$AR$266)</f>
        <v/>
      </c>
      <c r="E9" s="15">
        <f>SQRT(SUMPRODUCT('The List'!$AR$2:$AR$266,('The List'!$AT$2:$AT$266-D9)^2)/(SUM('The List'!$AR$2:$AR$266)-1))</f>
        <v/>
      </c>
    </row>
    <row r="10">
      <c r="A10" t="inlineStr">
        <is>
          <t>TO</t>
        </is>
      </c>
      <c r="B10" s="15">
        <f>AVERAGE('The List'!$T$2:$T$266)</f>
        <v/>
      </c>
      <c r="C10" s="15">
        <f>STDEV('The List'!$T$2:$T$266)</f>
        <v/>
      </c>
      <c r="D10" s="15">
        <f>SUMPRODUCT('The List'!$AR$2:$AR$266,'The List'!$T$2:$T$266)/SUM('The List'!$AR$2:$AR$266)</f>
        <v/>
      </c>
      <c r="E10" s="15">
        <f>SQRT(SUMPRODUCT('The List'!$AR$2:$AR$266,('The List'!$T$2:$T$266-D10)^2)/(SUM('The List'!$AR$2:$AR$266)-1))</f>
        <v/>
      </c>
    </row>
    <row r="11">
      <c r="A11" s="10" t="inlineStr">
        <is>
          <t>Shooting average (makes ÷ attempts)</t>
        </is>
      </c>
      <c r="B11" s="15" t="n"/>
      <c r="C11" s="15" t="n"/>
      <c r="D11" s="15" t="n"/>
      <c r="E11" s="15" t="n"/>
    </row>
    <row r="12">
      <c r="A12" t="inlineStr">
        <is>
          <t>FG%</t>
        </is>
      </c>
      <c r="B12" s="15">
        <f>SUM('The List'!$W$2:$W$266)/SUM('The List'!$X$2:$X$266)</f>
        <v/>
      </c>
      <c r="C12" s="15" t="n"/>
      <c r="D12" s="15">
        <f>SUMPRODUCT('The List'!$AR$2:$AR$266,'The List'!$W$2:$W$266)/SUMPRODUCT('The List'!$AR$2:$AR$266,'The List'!$X$2:$X$266)</f>
        <v/>
      </c>
      <c r="E12" s="15" t="n"/>
    </row>
    <row r="13">
      <c r="A13" t="inlineStr">
        <is>
          <t>FT%</t>
        </is>
      </c>
      <c r="B13" s="15">
        <f>SUM('The List'!$Y$2:$Y$266)/SUM('The List'!$Z$2:$Z$266)</f>
        <v/>
      </c>
      <c r="C13" s="15" t="n"/>
      <c r="D13" s="15">
        <f>SUMPRODUCT('The List'!$AR$2:$AR$266,'The List'!$Y$2:$Y$266)/SUMPRODUCT('The List'!$AR$2:$AR$266,'The List'!$Z$2:$Z$266)</f>
        <v/>
      </c>
      <c r="E13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0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Date</t>
        </is>
      </c>
      <c r="B1" s="1" t="inlineStr">
        <is>
          <t>Team</t>
        </is>
      </c>
    </row>
    <row r="2">
      <c r="A2" s="16" t="n">
        <v>46315</v>
      </c>
      <c r="B2" t="inlineStr">
        <is>
          <t>BOS</t>
        </is>
      </c>
    </row>
    <row r="3">
      <c r="A3" s="16" t="n">
        <v>46315</v>
      </c>
      <c r="B3" t="inlineStr">
        <is>
          <t>DET</t>
        </is>
      </c>
    </row>
    <row r="4">
      <c r="A4" s="16" t="n">
        <v>46315</v>
      </c>
      <c r="B4" t="inlineStr">
        <is>
          <t>NYK</t>
        </is>
      </c>
    </row>
    <row r="5">
      <c r="A5" s="16" t="n">
        <v>46315</v>
      </c>
      <c r="B5" t="inlineStr">
        <is>
          <t>OKC</t>
        </is>
      </c>
    </row>
    <row r="6">
      <c r="A6" s="16" t="n">
        <v>46315</v>
      </c>
      <c r="B6" t="inlineStr">
        <is>
          <t>PHI</t>
        </is>
      </c>
    </row>
    <row r="7">
      <c r="A7" s="16" t="n">
        <v>46315</v>
      </c>
      <c r="B7" t="inlineStr">
        <is>
          <t>SAS</t>
        </is>
      </c>
    </row>
    <row r="8">
      <c r="A8" s="16" t="n">
        <v>46316</v>
      </c>
      <c r="B8" t="inlineStr">
        <is>
          <t>ATL</t>
        </is>
      </c>
    </row>
    <row r="9">
      <c r="A9" s="16" t="n">
        <v>46316</v>
      </c>
      <c r="B9" t="inlineStr">
        <is>
          <t>BKN</t>
        </is>
      </c>
    </row>
    <row r="10">
      <c r="A10" s="16" t="n">
        <v>46316</v>
      </c>
      <c r="B10" t="inlineStr">
        <is>
          <t>CHA</t>
        </is>
      </c>
    </row>
    <row r="11">
      <c r="A11" s="16" t="n">
        <v>46316</v>
      </c>
      <c r="B11" t="inlineStr">
        <is>
          <t>CHI</t>
        </is>
      </c>
    </row>
    <row r="12">
      <c r="A12" s="16" t="n">
        <v>46316</v>
      </c>
      <c r="B12" t="inlineStr">
        <is>
          <t>DAL</t>
        </is>
      </c>
    </row>
    <row r="13">
      <c r="A13" s="16" t="n">
        <v>46316</v>
      </c>
      <c r="B13" t="inlineStr">
        <is>
          <t>GSW</t>
        </is>
      </c>
    </row>
    <row r="14">
      <c r="A14" s="16" t="n">
        <v>46316</v>
      </c>
      <c r="B14" t="inlineStr">
        <is>
          <t>HOU</t>
        </is>
      </c>
    </row>
    <row r="15">
      <c r="A15" s="16" t="n">
        <v>46316</v>
      </c>
      <c r="B15" t="inlineStr">
        <is>
          <t>IND</t>
        </is>
      </c>
    </row>
    <row r="16">
      <c r="A16" s="16" t="n">
        <v>46316</v>
      </c>
      <c r="B16" t="inlineStr">
        <is>
          <t>LAC</t>
        </is>
      </c>
    </row>
    <row r="17">
      <c r="A17" s="16" t="n">
        <v>46316</v>
      </c>
      <c r="B17" t="inlineStr">
        <is>
          <t>LAL</t>
        </is>
      </c>
    </row>
    <row r="18">
      <c r="A18" s="16" t="n">
        <v>46316</v>
      </c>
      <c r="B18" t="inlineStr">
        <is>
          <t>MEM</t>
        </is>
      </c>
    </row>
    <row r="19">
      <c r="A19" s="16" t="n">
        <v>46316</v>
      </c>
      <c r="B19" t="inlineStr">
        <is>
          <t>MIA</t>
        </is>
      </c>
    </row>
    <row r="20">
      <c r="A20" s="16" t="n">
        <v>46316</v>
      </c>
      <c r="B20" t="inlineStr">
        <is>
          <t>MIL</t>
        </is>
      </c>
    </row>
    <row r="21">
      <c r="A21" s="16" t="n">
        <v>46316</v>
      </c>
      <c r="B21" t="inlineStr">
        <is>
          <t>MIN</t>
        </is>
      </c>
    </row>
    <row r="22">
      <c r="A22" s="16" t="n">
        <v>46316</v>
      </c>
      <c r="B22" t="inlineStr">
        <is>
          <t>NOR</t>
        </is>
      </c>
    </row>
    <row r="23">
      <c r="A23" s="16" t="n">
        <v>46316</v>
      </c>
      <c r="B23" t="inlineStr">
        <is>
          <t>ORL</t>
        </is>
      </c>
    </row>
    <row r="24">
      <c r="A24" s="16" t="n">
        <v>46316</v>
      </c>
      <c r="B24" t="inlineStr">
        <is>
          <t>PHO</t>
        </is>
      </c>
    </row>
    <row r="25">
      <c r="A25" s="16" t="n">
        <v>46316</v>
      </c>
      <c r="B25" t="inlineStr">
        <is>
          <t>POR</t>
        </is>
      </c>
    </row>
    <row r="26">
      <c r="A26" s="16" t="n">
        <v>46316</v>
      </c>
      <c r="B26" t="inlineStr">
        <is>
          <t>SAC</t>
        </is>
      </c>
    </row>
    <row r="27">
      <c r="A27" s="16" t="n">
        <v>46316</v>
      </c>
      <c r="B27" t="inlineStr">
        <is>
          <t>TOR</t>
        </is>
      </c>
    </row>
    <row r="28">
      <c r="A28" s="16" t="n">
        <v>46316</v>
      </c>
      <c r="B28" t="inlineStr">
        <is>
          <t>UTH</t>
        </is>
      </c>
    </row>
    <row r="29">
      <c r="A29" s="16" t="n">
        <v>46316</v>
      </c>
      <c r="B29" t="inlineStr">
        <is>
          <t>WAS</t>
        </is>
      </c>
    </row>
    <row r="30">
      <c r="A30" s="16" t="n">
        <v>46317</v>
      </c>
      <c r="B30" t="inlineStr">
        <is>
          <t>CLE</t>
        </is>
      </c>
    </row>
    <row r="31">
      <c r="A31" s="16" t="n">
        <v>46317</v>
      </c>
      <c r="B31" t="inlineStr">
        <is>
          <t>DEN</t>
        </is>
      </c>
    </row>
    <row r="32">
      <c r="A32" s="16" t="n">
        <v>46317</v>
      </c>
      <c r="B32" t="inlineStr">
        <is>
          <t>OKC</t>
        </is>
      </c>
    </row>
    <row r="33">
      <c r="A33" s="16" t="n">
        <v>46317</v>
      </c>
      <c r="B33" t="inlineStr">
        <is>
          <t>PHI</t>
        </is>
      </c>
    </row>
    <row r="34">
      <c r="A34" s="16" t="n">
        <v>46318</v>
      </c>
      <c r="B34" t="inlineStr">
        <is>
          <t>ATL</t>
        </is>
      </c>
    </row>
    <row r="35">
      <c r="A35" s="16" t="n">
        <v>46318</v>
      </c>
      <c r="B35" t="inlineStr">
        <is>
          <t>BOS</t>
        </is>
      </c>
    </row>
    <row r="36">
      <c r="A36" s="16" t="n">
        <v>46318</v>
      </c>
      <c r="B36" t="inlineStr">
        <is>
          <t>CHA</t>
        </is>
      </c>
    </row>
    <row r="37">
      <c r="A37" s="16" t="n">
        <v>46318</v>
      </c>
      <c r="B37" t="inlineStr">
        <is>
          <t>CHI</t>
        </is>
      </c>
    </row>
    <row r="38">
      <c r="A38" s="16" t="n">
        <v>46318</v>
      </c>
      <c r="B38" t="inlineStr">
        <is>
          <t>DAL</t>
        </is>
      </c>
    </row>
    <row r="39">
      <c r="A39" s="16" t="n">
        <v>46318</v>
      </c>
      <c r="B39" t="inlineStr">
        <is>
          <t>DET</t>
        </is>
      </c>
    </row>
    <row r="40">
      <c r="A40" s="16" t="n">
        <v>46318</v>
      </c>
      <c r="B40" t="inlineStr">
        <is>
          <t>GSW</t>
        </is>
      </c>
    </row>
    <row r="41">
      <c r="A41" s="16" t="n">
        <v>46318</v>
      </c>
      <c r="B41" t="inlineStr">
        <is>
          <t>HOU</t>
        </is>
      </c>
    </row>
    <row r="42">
      <c r="A42" s="16" t="n">
        <v>46318</v>
      </c>
      <c r="B42" t="inlineStr">
        <is>
          <t>IND</t>
        </is>
      </c>
    </row>
    <row r="43">
      <c r="A43" s="16" t="n">
        <v>46318</v>
      </c>
      <c r="B43" t="inlineStr">
        <is>
          <t>LAC</t>
        </is>
      </c>
    </row>
    <row r="44">
      <c r="A44" s="16" t="n">
        <v>46318</v>
      </c>
      <c r="B44" t="inlineStr">
        <is>
          <t>LAL</t>
        </is>
      </c>
    </row>
    <row r="45">
      <c r="A45" s="16" t="n">
        <v>46318</v>
      </c>
      <c r="B45" t="inlineStr">
        <is>
          <t>MEM</t>
        </is>
      </c>
    </row>
    <row r="46">
      <c r="A46" s="16" t="n">
        <v>46318</v>
      </c>
      <c r="B46" t="inlineStr">
        <is>
          <t>MIA</t>
        </is>
      </c>
    </row>
    <row r="47">
      <c r="A47" s="16" t="n">
        <v>46318</v>
      </c>
      <c r="B47" t="inlineStr">
        <is>
          <t>MIL</t>
        </is>
      </c>
    </row>
    <row r="48">
      <c r="A48" s="16" t="n">
        <v>46318</v>
      </c>
      <c r="B48" t="inlineStr">
        <is>
          <t>MIN</t>
        </is>
      </c>
    </row>
    <row r="49">
      <c r="A49" s="16" t="n">
        <v>46318</v>
      </c>
      <c r="B49" t="inlineStr">
        <is>
          <t>NOR</t>
        </is>
      </c>
    </row>
    <row r="50">
      <c r="A50" s="16" t="n">
        <v>46318</v>
      </c>
      <c r="B50" t="inlineStr">
        <is>
          <t>NYK</t>
        </is>
      </c>
    </row>
    <row r="51">
      <c r="A51" s="16" t="n">
        <v>46318</v>
      </c>
      <c r="B51" t="inlineStr">
        <is>
          <t>ORL</t>
        </is>
      </c>
    </row>
    <row r="52">
      <c r="A52" s="16" t="n">
        <v>46318</v>
      </c>
      <c r="B52" t="inlineStr">
        <is>
          <t>POR</t>
        </is>
      </c>
    </row>
    <row r="53">
      <c r="A53" s="16" t="n">
        <v>46318</v>
      </c>
      <c r="B53" t="inlineStr">
        <is>
          <t>SAC</t>
        </is>
      </c>
    </row>
    <row r="54">
      <c r="A54" s="16" t="n">
        <v>46318</v>
      </c>
      <c r="B54" t="inlineStr">
        <is>
          <t>SAS</t>
        </is>
      </c>
    </row>
    <row r="55">
      <c r="A55" s="16" t="n">
        <v>46318</v>
      </c>
      <c r="B55" t="inlineStr">
        <is>
          <t>TOR</t>
        </is>
      </c>
    </row>
    <row r="56">
      <c r="A56" s="16" t="n">
        <v>46318</v>
      </c>
      <c r="B56" t="inlineStr">
        <is>
          <t>UTH</t>
        </is>
      </c>
    </row>
    <row r="57">
      <c r="A57" s="16" t="n">
        <v>46318</v>
      </c>
      <c r="B57" t="inlineStr">
        <is>
          <t>WAS</t>
        </is>
      </c>
    </row>
    <row r="58">
      <c r="A58" s="16" t="n">
        <v>46319</v>
      </c>
      <c r="B58" t="inlineStr">
        <is>
          <t>ATL</t>
        </is>
      </c>
    </row>
    <row r="59">
      <c r="A59" s="16" t="n">
        <v>46319</v>
      </c>
      <c r="B59" t="inlineStr">
        <is>
          <t>BKN</t>
        </is>
      </c>
    </row>
    <row r="60">
      <c r="A60" s="16" t="n">
        <v>46319</v>
      </c>
      <c r="B60" t="inlineStr">
        <is>
          <t>CHA</t>
        </is>
      </c>
    </row>
    <row r="61">
      <c r="A61" s="16" t="n">
        <v>46319</v>
      </c>
      <c r="B61" t="inlineStr">
        <is>
          <t>CHI</t>
        </is>
      </c>
    </row>
    <row r="62">
      <c r="A62" s="16" t="n">
        <v>46319</v>
      </c>
      <c r="B62" t="inlineStr">
        <is>
          <t>CLE</t>
        </is>
      </c>
    </row>
    <row r="63">
      <c r="A63" s="16" t="n">
        <v>46319</v>
      </c>
      <c r="B63" t="inlineStr">
        <is>
          <t>DAL</t>
        </is>
      </c>
    </row>
    <row r="64">
      <c r="A64" s="16" t="n">
        <v>46319</v>
      </c>
      <c r="B64" t="inlineStr">
        <is>
          <t>DEN</t>
        </is>
      </c>
    </row>
    <row r="65">
      <c r="A65" s="16" t="n">
        <v>46319</v>
      </c>
      <c r="B65" t="inlineStr">
        <is>
          <t>GSW</t>
        </is>
      </c>
    </row>
    <row r="66">
      <c r="A66" s="16" t="n">
        <v>46319</v>
      </c>
      <c r="B66" t="inlineStr">
        <is>
          <t>HOU</t>
        </is>
      </c>
    </row>
    <row r="67">
      <c r="A67" s="16" t="n">
        <v>46319</v>
      </c>
      <c r="B67" t="inlineStr">
        <is>
          <t>MIA</t>
        </is>
      </c>
    </row>
    <row r="68">
      <c r="A68" s="16" t="n">
        <v>46319</v>
      </c>
      <c r="B68" t="inlineStr">
        <is>
          <t>MIL</t>
        </is>
      </c>
    </row>
    <row r="69">
      <c r="A69" s="16" t="n">
        <v>46319</v>
      </c>
      <c r="B69" t="inlineStr">
        <is>
          <t>NOR</t>
        </is>
      </c>
    </row>
    <row r="70">
      <c r="A70" s="16" t="n">
        <v>46319</v>
      </c>
      <c r="B70" t="inlineStr">
        <is>
          <t>PHI</t>
        </is>
      </c>
    </row>
    <row r="71">
      <c r="A71" s="16" t="n">
        <v>46319</v>
      </c>
      <c r="B71" t="inlineStr">
        <is>
          <t>PHO</t>
        </is>
      </c>
    </row>
    <row r="72">
      <c r="A72" s="16" t="n">
        <v>46319</v>
      </c>
      <c r="B72" t="inlineStr">
        <is>
          <t>SAS</t>
        </is>
      </c>
    </row>
    <row r="73">
      <c r="A73" s="16" t="n">
        <v>46319</v>
      </c>
      <c r="B73" t="inlineStr">
        <is>
          <t>WAS</t>
        </is>
      </c>
    </row>
    <row r="74">
      <c r="A74" s="16" t="n">
        <v>46320</v>
      </c>
      <c r="B74" t="inlineStr">
        <is>
          <t>BKN</t>
        </is>
      </c>
    </row>
    <row r="75">
      <c r="A75" s="16" t="n">
        <v>46320</v>
      </c>
      <c r="B75" t="inlineStr">
        <is>
          <t>DET</t>
        </is>
      </c>
    </row>
    <row r="76">
      <c r="A76" s="16" t="n">
        <v>46320</v>
      </c>
      <c r="B76" t="inlineStr">
        <is>
          <t>IND</t>
        </is>
      </c>
    </row>
    <row r="77">
      <c r="A77" s="16" t="n">
        <v>46320</v>
      </c>
      <c r="B77" t="inlineStr">
        <is>
          <t>LAC</t>
        </is>
      </c>
    </row>
    <row r="78">
      <c r="A78" s="16" t="n">
        <v>46320</v>
      </c>
      <c r="B78" t="inlineStr">
        <is>
          <t>LAL</t>
        </is>
      </c>
    </row>
    <row r="79">
      <c r="A79" s="16" t="n">
        <v>46320</v>
      </c>
      <c r="B79" t="inlineStr">
        <is>
          <t>MEM</t>
        </is>
      </c>
    </row>
    <row r="80">
      <c r="A80" s="16" t="n">
        <v>46320</v>
      </c>
      <c r="B80" t="inlineStr">
        <is>
          <t>MIN</t>
        </is>
      </c>
    </row>
    <row r="81">
      <c r="A81" s="16" t="n">
        <v>46320</v>
      </c>
      <c r="B81" t="inlineStr">
        <is>
          <t>NYK</t>
        </is>
      </c>
    </row>
    <row r="82">
      <c r="A82" s="16" t="n">
        <v>46320</v>
      </c>
      <c r="B82" t="inlineStr">
        <is>
          <t>OKC</t>
        </is>
      </c>
    </row>
    <row r="83">
      <c r="A83" s="16" t="n">
        <v>46320</v>
      </c>
      <c r="B83" t="inlineStr">
        <is>
          <t>ORL</t>
        </is>
      </c>
    </row>
    <row r="84">
      <c r="A84" s="16" t="n">
        <v>46320</v>
      </c>
      <c r="B84" t="inlineStr">
        <is>
          <t>PHI</t>
        </is>
      </c>
    </row>
    <row r="85">
      <c r="A85" s="16" t="n">
        <v>46320</v>
      </c>
      <c r="B85" t="inlineStr">
        <is>
          <t>SAC</t>
        </is>
      </c>
    </row>
    <row r="86">
      <c r="A86" s="16" t="n">
        <v>46320</v>
      </c>
      <c r="B86" t="inlineStr">
        <is>
          <t>TOR</t>
        </is>
      </c>
    </row>
    <row r="87">
      <c r="A87" s="16" t="n">
        <v>46320</v>
      </c>
      <c r="B87" t="inlineStr">
        <is>
          <t>UTH</t>
        </is>
      </c>
    </row>
    <row r="88">
      <c r="A88" s="16" t="n">
        <v>46321</v>
      </c>
      <c r="B88" t="inlineStr">
        <is>
          <t>ATL</t>
        </is>
      </c>
    </row>
    <row r="89">
      <c r="A89" s="16" t="n">
        <v>46321</v>
      </c>
      <c r="B89" t="inlineStr">
        <is>
          <t>BOS</t>
        </is>
      </c>
    </row>
    <row r="90">
      <c r="A90" s="16" t="n">
        <v>46321</v>
      </c>
      <c r="B90" t="inlineStr">
        <is>
          <t>CHA</t>
        </is>
      </c>
    </row>
    <row r="91">
      <c r="A91" s="16" t="n">
        <v>46321</v>
      </c>
      <c r="B91" t="inlineStr">
        <is>
          <t>CHI</t>
        </is>
      </c>
    </row>
    <row r="92">
      <c r="A92" s="16" t="n">
        <v>46321</v>
      </c>
      <c r="B92" t="inlineStr">
        <is>
          <t>CLE</t>
        </is>
      </c>
    </row>
    <row r="93">
      <c r="A93" s="16" t="n">
        <v>46321</v>
      </c>
      <c r="B93" t="inlineStr">
        <is>
          <t>DAL</t>
        </is>
      </c>
    </row>
    <row r="94">
      <c r="A94" s="16" t="n">
        <v>46321</v>
      </c>
      <c r="B94" t="inlineStr">
        <is>
          <t>DEN</t>
        </is>
      </c>
    </row>
    <row r="95">
      <c r="A95" s="16" t="n">
        <v>46321</v>
      </c>
      <c r="B95" t="inlineStr">
        <is>
          <t>GSW</t>
        </is>
      </c>
    </row>
    <row r="96">
      <c r="A96" s="16" t="n">
        <v>46321</v>
      </c>
      <c r="B96" t="inlineStr">
        <is>
          <t>HOU</t>
        </is>
      </c>
    </row>
    <row r="97">
      <c r="A97" s="16" t="n">
        <v>46321</v>
      </c>
      <c r="B97" t="inlineStr">
        <is>
          <t>IND</t>
        </is>
      </c>
    </row>
    <row r="98">
      <c r="A98" s="16" t="n">
        <v>46321</v>
      </c>
      <c r="B98" t="inlineStr">
        <is>
          <t>MEM</t>
        </is>
      </c>
    </row>
    <row r="99">
      <c r="A99" s="16" t="n">
        <v>46321</v>
      </c>
      <c r="B99" t="inlineStr">
        <is>
          <t>MIA</t>
        </is>
      </c>
    </row>
    <row r="100">
      <c r="A100" s="16" t="n">
        <v>46321</v>
      </c>
      <c r="B100" t="inlineStr">
        <is>
          <t>MIL</t>
        </is>
      </c>
    </row>
    <row r="101">
      <c r="A101" s="16" t="n">
        <v>46321</v>
      </c>
      <c r="B101" t="inlineStr">
        <is>
          <t>MIN</t>
        </is>
      </c>
    </row>
    <row r="102">
      <c r="A102" s="16" t="n">
        <v>46321</v>
      </c>
      <c r="B102" t="inlineStr">
        <is>
          <t>OKC</t>
        </is>
      </c>
    </row>
    <row r="103">
      <c r="A103" s="16" t="n">
        <v>46321</v>
      </c>
      <c r="B103" t="inlineStr">
        <is>
          <t>PHO</t>
        </is>
      </c>
    </row>
    <row r="104">
      <c r="A104" s="16" t="n">
        <v>46321</v>
      </c>
      <c r="B104" t="inlineStr">
        <is>
          <t>UTH</t>
        </is>
      </c>
    </row>
    <row r="105">
      <c r="A105" s="16" t="n">
        <v>46321</v>
      </c>
      <c r="B105" t="inlineStr">
        <is>
          <t>WAS</t>
        </is>
      </c>
    </row>
    <row r="106">
      <c r="A106" s="16" t="n">
        <v>46322</v>
      </c>
      <c r="B106" t="inlineStr">
        <is>
          <t>BKN</t>
        </is>
      </c>
    </row>
    <row r="107">
      <c r="A107" s="16" t="n">
        <v>46322</v>
      </c>
      <c r="B107" t="inlineStr">
        <is>
          <t>BOS</t>
        </is>
      </c>
    </row>
    <row r="108">
      <c r="A108" s="16" t="n">
        <v>46322</v>
      </c>
      <c r="B108" t="inlineStr">
        <is>
          <t>DET</t>
        </is>
      </c>
    </row>
    <row r="109">
      <c r="A109" s="16" t="n">
        <v>46322</v>
      </c>
      <c r="B109" t="inlineStr">
        <is>
          <t>LAL</t>
        </is>
      </c>
    </row>
    <row r="110">
      <c r="A110" s="16" t="n">
        <v>46322</v>
      </c>
      <c r="B110" t="inlineStr">
        <is>
          <t>NYK</t>
        </is>
      </c>
    </row>
    <row r="111">
      <c r="A111" s="16" t="n">
        <v>46322</v>
      </c>
      <c r="B111" t="inlineStr">
        <is>
          <t>POR</t>
        </is>
      </c>
    </row>
    <row r="112">
      <c r="A112" s="16" t="n">
        <v>46322</v>
      </c>
      <c r="B112" t="inlineStr">
        <is>
          <t>SAC</t>
        </is>
      </c>
    </row>
    <row r="113">
      <c r="A113" s="16" t="n">
        <v>46322</v>
      </c>
      <c r="B113" t="inlineStr">
        <is>
          <t>SAS</t>
        </is>
      </c>
    </row>
    <row r="114">
      <c r="A114" s="16" t="n">
        <v>46323</v>
      </c>
      <c r="B114" t="inlineStr">
        <is>
          <t>ATL</t>
        </is>
      </c>
    </row>
    <row r="115">
      <c r="A115" s="16" t="n">
        <v>46323</v>
      </c>
      <c r="B115" t="inlineStr">
        <is>
          <t>CHA</t>
        </is>
      </c>
    </row>
    <row r="116">
      <c r="A116" s="16" t="n">
        <v>46323</v>
      </c>
      <c r="B116" t="inlineStr">
        <is>
          <t>CHI</t>
        </is>
      </c>
    </row>
    <row r="117">
      <c r="A117" s="16" t="n">
        <v>46323</v>
      </c>
      <c r="B117" t="inlineStr">
        <is>
          <t>CLE</t>
        </is>
      </c>
    </row>
    <row r="118">
      <c r="A118" s="16" t="n">
        <v>46323</v>
      </c>
      <c r="B118" t="inlineStr">
        <is>
          <t>DAL</t>
        </is>
      </c>
    </row>
    <row r="119">
      <c r="A119" s="16" t="n">
        <v>46323</v>
      </c>
      <c r="B119" t="inlineStr">
        <is>
          <t>DEN</t>
        </is>
      </c>
    </row>
    <row r="120">
      <c r="A120" s="16" t="n">
        <v>46323</v>
      </c>
      <c r="B120" t="inlineStr">
        <is>
          <t>DET</t>
        </is>
      </c>
    </row>
    <row r="121">
      <c r="A121" s="16" t="n">
        <v>46323</v>
      </c>
      <c r="B121" t="inlineStr">
        <is>
          <t>GSW</t>
        </is>
      </c>
    </row>
    <row r="122">
      <c r="A122" s="16" t="n">
        <v>46323</v>
      </c>
      <c r="B122" t="inlineStr">
        <is>
          <t>HOU</t>
        </is>
      </c>
    </row>
    <row r="123">
      <c r="A123" s="16" t="n">
        <v>46323</v>
      </c>
      <c r="B123" t="inlineStr">
        <is>
          <t>IND</t>
        </is>
      </c>
    </row>
    <row r="124">
      <c r="A124" s="16" t="n">
        <v>46323</v>
      </c>
      <c r="B124" t="inlineStr">
        <is>
          <t>LAC</t>
        </is>
      </c>
    </row>
    <row r="125">
      <c r="A125" s="16" t="n">
        <v>46323</v>
      </c>
      <c r="B125" t="inlineStr">
        <is>
          <t>LAL</t>
        </is>
      </c>
    </row>
    <row r="126">
      <c r="A126" s="16" t="n">
        <v>46323</v>
      </c>
      <c r="B126" t="inlineStr">
        <is>
          <t>MIA</t>
        </is>
      </c>
    </row>
    <row r="127">
      <c r="A127" s="16" t="n">
        <v>46323</v>
      </c>
      <c r="B127" t="inlineStr">
        <is>
          <t>MIL</t>
        </is>
      </c>
    </row>
    <row r="128">
      <c r="A128" s="16" t="n">
        <v>46323</v>
      </c>
      <c r="B128" t="inlineStr">
        <is>
          <t>MIN</t>
        </is>
      </c>
    </row>
    <row r="129">
      <c r="A129" s="16" t="n">
        <v>46323</v>
      </c>
      <c r="B129" t="inlineStr">
        <is>
          <t>NOR</t>
        </is>
      </c>
    </row>
    <row r="130">
      <c r="A130" s="16" t="n">
        <v>46323</v>
      </c>
      <c r="B130" t="inlineStr">
        <is>
          <t>NYK</t>
        </is>
      </c>
    </row>
    <row r="131">
      <c r="A131" s="16" t="n">
        <v>46323</v>
      </c>
      <c r="B131" t="inlineStr">
        <is>
          <t>OKC</t>
        </is>
      </c>
    </row>
    <row r="132">
      <c r="A132" s="16" t="n">
        <v>46323</v>
      </c>
      <c r="B132" t="inlineStr">
        <is>
          <t>ORL</t>
        </is>
      </c>
    </row>
    <row r="133">
      <c r="A133" s="16" t="n">
        <v>46323</v>
      </c>
      <c r="B133" t="inlineStr">
        <is>
          <t>PHI</t>
        </is>
      </c>
    </row>
    <row r="134">
      <c r="A134" s="16" t="n">
        <v>46323</v>
      </c>
      <c r="B134" t="inlineStr">
        <is>
          <t>SAS</t>
        </is>
      </c>
    </row>
    <row r="135">
      <c r="A135" s="16" t="n">
        <v>46323</v>
      </c>
      <c r="B135" t="inlineStr">
        <is>
          <t>TOR</t>
        </is>
      </c>
    </row>
    <row r="136">
      <c r="A136" s="16" t="n">
        <v>46323</v>
      </c>
      <c r="B136" t="inlineStr">
        <is>
          <t>UTH</t>
        </is>
      </c>
    </row>
    <row r="137">
      <c r="A137" s="16" t="n">
        <v>46323</v>
      </c>
      <c r="B137" t="inlineStr">
        <is>
          <t>WAS</t>
        </is>
      </c>
    </row>
    <row r="138">
      <c r="A138" s="16" t="n">
        <v>46324</v>
      </c>
      <c r="B138" t="inlineStr">
        <is>
          <t>ATL</t>
        </is>
      </c>
    </row>
    <row r="139">
      <c r="A139" s="16" t="n">
        <v>46324</v>
      </c>
      <c r="B139" t="inlineStr">
        <is>
          <t>CLE</t>
        </is>
      </c>
    </row>
    <row r="140">
      <c r="A140" s="16" t="n">
        <v>46324</v>
      </c>
      <c r="B140" t="inlineStr">
        <is>
          <t>MEM</t>
        </is>
      </c>
    </row>
    <row r="141">
      <c r="A141" s="16" t="n">
        <v>46324</v>
      </c>
      <c r="B141" t="inlineStr">
        <is>
          <t>NOR</t>
        </is>
      </c>
    </row>
    <row r="142">
      <c r="A142" s="16" t="n">
        <v>46324</v>
      </c>
      <c r="B142" t="inlineStr">
        <is>
          <t>POR</t>
        </is>
      </c>
    </row>
    <row r="143">
      <c r="A143" s="16" t="n">
        <v>46324</v>
      </c>
      <c r="B143" t="inlineStr">
        <is>
          <t>SAC</t>
        </is>
      </c>
    </row>
    <row r="144">
      <c r="A144" s="16" t="n">
        <v>46325</v>
      </c>
      <c r="B144" t="inlineStr">
        <is>
          <t>BKN</t>
        </is>
      </c>
    </row>
    <row r="145">
      <c r="A145" s="16" t="n">
        <v>46325</v>
      </c>
      <c r="B145" t="inlineStr">
        <is>
          <t>BOS</t>
        </is>
      </c>
    </row>
    <row r="146">
      <c r="A146" s="16" t="n">
        <v>46325</v>
      </c>
      <c r="B146" t="inlineStr">
        <is>
          <t>CHA</t>
        </is>
      </c>
    </row>
    <row r="147">
      <c r="A147" s="16" t="n">
        <v>46325</v>
      </c>
      <c r="B147" t="inlineStr">
        <is>
          <t>CHI</t>
        </is>
      </c>
    </row>
    <row r="148">
      <c r="A148" s="16" t="n">
        <v>46325</v>
      </c>
      <c r="B148" t="inlineStr">
        <is>
          <t>DAL</t>
        </is>
      </c>
    </row>
    <row r="149">
      <c r="A149" s="16" t="n">
        <v>46325</v>
      </c>
      <c r="B149" t="inlineStr">
        <is>
          <t>DEN</t>
        </is>
      </c>
    </row>
    <row r="150">
      <c r="A150" s="16" t="n">
        <v>46325</v>
      </c>
      <c r="B150" t="inlineStr">
        <is>
          <t>DET</t>
        </is>
      </c>
    </row>
    <row r="151">
      <c r="A151" s="16" t="n">
        <v>46325</v>
      </c>
      <c r="B151" t="inlineStr">
        <is>
          <t>GSW</t>
        </is>
      </c>
    </row>
    <row r="152">
      <c r="A152" s="16" t="n">
        <v>46325</v>
      </c>
      <c r="B152" t="inlineStr">
        <is>
          <t>HOU</t>
        </is>
      </c>
    </row>
    <row r="153">
      <c r="A153" s="16" t="n">
        <v>46325</v>
      </c>
      <c r="B153" t="inlineStr">
        <is>
          <t>IND</t>
        </is>
      </c>
    </row>
    <row r="154">
      <c r="A154" s="16" t="n">
        <v>46325</v>
      </c>
      <c r="B154" t="inlineStr">
        <is>
          <t>LAC</t>
        </is>
      </c>
    </row>
    <row r="155">
      <c r="A155" s="16" t="n">
        <v>46325</v>
      </c>
      <c r="B155" t="inlineStr">
        <is>
          <t>LAL</t>
        </is>
      </c>
    </row>
    <row r="156">
      <c r="A156" s="16" t="n">
        <v>46325</v>
      </c>
      <c r="B156" t="inlineStr">
        <is>
          <t>MIA</t>
        </is>
      </c>
    </row>
    <row r="157">
      <c r="A157" s="16" t="n">
        <v>46325</v>
      </c>
      <c r="B157" t="inlineStr">
        <is>
          <t>MIN</t>
        </is>
      </c>
    </row>
    <row r="158">
      <c r="A158" s="16" t="n">
        <v>46325</v>
      </c>
      <c r="B158" t="inlineStr">
        <is>
          <t>NYK</t>
        </is>
      </c>
    </row>
    <row r="159">
      <c r="A159" s="16" t="n">
        <v>46325</v>
      </c>
      <c r="B159" t="inlineStr">
        <is>
          <t>ORL</t>
        </is>
      </c>
    </row>
    <row r="160">
      <c r="A160" s="16" t="n">
        <v>46325</v>
      </c>
      <c r="B160" t="inlineStr">
        <is>
          <t>PHI</t>
        </is>
      </c>
    </row>
    <row r="161">
      <c r="A161" s="16" t="n">
        <v>46325</v>
      </c>
      <c r="B161" t="inlineStr">
        <is>
          <t>PHO</t>
        </is>
      </c>
    </row>
    <row r="162">
      <c r="A162" s="16" t="n">
        <v>46325</v>
      </c>
      <c r="B162" t="inlineStr">
        <is>
          <t>TOR</t>
        </is>
      </c>
    </row>
    <row r="163">
      <c r="A163" s="16" t="n">
        <v>46325</v>
      </c>
      <c r="B163" t="inlineStr">
        <is>
          <t>WAS</t>
        </is>
      </c>
    </row>
    <row r="164">
      <c r="A164" s="16" t="n">
        <v>46326</v>
      </c>
      <c r="B164" t="inlineStr">
        <is>
          <t>ATL</t>
        </is>
      </c>
    </row>
    <row r="165">
      <c r="A165" s="16" t="n">
        <v>46326</v>
      </c>
      <c r="B165" t="inlineStr">
        <is>
          <t>CHA</t>
        </is>
      </c>
    </row>
    <row r="166">
      <c r="A166" s="16" t="n">
        <v>46326</v>
      </c>
      <c r="B166" t="inlineStr">
        <is>
          <t>CLE</t>
        </is>
      </c>
    </row>
    <row r="167">
      <c r="A167" s="16" t="n">
        <v>46326</v>
      </c>
      <c r="B167" t="inlineStr">
        <is>
          <t>HOU</t>
        </is>
      </c>
    </row>
    <row r="168">
      <c r="A168" s="16" t="n">
        <v>46326</v>
      </c>
      <c r="B168" t="inlineStr">
        <is>
          <t>MEM</t>
        </is>
      </c>
    </row>
    <row r="169">
      <c r="A169" s="16" t="n">
        <v>46326</v>
      </c>
      <c r="B169" t="inlineStr">
        <is>
          <t>MIL</t>
        </is>
      </c>
    </row>
    <row r="170">
      <c r="A170" s="16" t="n">
        <v>46326</v>
      </c>
      <c r="B170" t="inlineStr">
        <is>
          <t>MIN</t>
        </is>
      </c>
    </row>
    <row r="171">
      <c r="A171" s="16" t="n">
        <v>46326</v>
      </c>
      <c r="B171" t="inlineStr">
        <is>
          <t>NOR</t>
        </is>
      </c>
    </row>
    <row r="172">
      <c r="A172" s="16" t="n">
        <v>46326</v>
      </c>
      <c r="B172" t="inlineStr">
        <is>
          <t>OKC</t>
        </is>
      </c>
    </row>
    <row r="173">
      <c r="A173" s="16" t="n">
        <v>46326</v>
      </c>
      <c r="B173" t="inlineStr">
        <is>
          <t>PHI</t>
        </is>
      </c>
    </row>
    <row r="174">
      <c r="A174" s="16" t="n">
        <v>46326</v>
      </c>
      <c r="B174" t="inlineStr">
        <is>
          <t>POR</t>
        </is>
      </c>
    </row>
    <row r="175">
      <c r="A175" s="16" t="n">
        <v>46326</v>
      </c>
      <c r="B175" t="inlineStr">
        <is>
          <t>SAC</t>
        </is>
      </c>
    </row>
    <row r="176">
      <c r="A176" s="16" t="n">
        <v>46326</v>
      </c>
      <c r="B176" t="inlineStr">
        <is>
          <t>SAS</t>
        </is>
      </c>
    </row>
    <row r="177">
      <c r="A177" s="16" t="n">
        <v>46326</v>
      </c>
      <c r="B177" t="inlineStr">
        <is>
          <t>UTH</t>
        </is>
      </c>
    </row>
    <row r="178">
      <c r="A178" s="16" t="n">
        <v>46327</v>
      </c>
      <c r="B178" t="inlineStr">
        <is>
          <t>BKN</t>
        </is>
      </c>
    </row>
    <row r="179">
      <c r="A179" s="16" t="n">
        <v>46327</v>
      </c>
      <c r="B179" t="inlineStr">
        <is>
          <t>BOS</t>
        </is>
      </c>
    </row>
    <row r="180">
      <c r="A180" s="16" t="n">
        <v>46327</v>
      </c>
      <c r="B180" t="inlineStr">
        <is>
          <t>GSW</t>
        </is>
      </c>
    </row>
    <row r="181">
      <c r="A181" s="16" t="n">
        <v>46327</v>
      </c>
      <c r="B181" t="inlineStr">
        <is>
          <t>IND</t>
        </is>
      </c>
    </row>
    <row r="182">
      <c r="A182" s="16" t="n">
        <v>46327</v>
      </c>
      <c r="B182" t="inlineStr">
        <is>
          <t>LAC</t>
        </is>
      </c>
    </row>
    <row r="183">
      <c r="A183" s="16" t="n">
        <v>46327</v>
      </c>
      <c r="B183" t="inlineStr">
        <is>
          <t>LAL</t>
        </is>
      </c>
    </row>
    <row r="184">
      <c r="A184" s="16" t="n">
        <v>46327</v>
      </c>
      <c r="B184" t="inlineStr">
        <is>
          <t>ORL</t>
        </is>
      </c>
    </row>
    <row r="185">
      <c r="A185" s="16" t="n">
        <v>46327</v>
      </c>
      <c r="B185" t="inlineStr">
        <is>
          <t>TOR</t>
        </is>
      </c>
    </row>
    <row r="186">
      <c r="A186" s="16" t="n">
        <v>46328</v>
      </c>
      <c r="B186" t="inlineStr">
        <is>
          <t>ATL</t>
        </is>
      </c>
    </row>
    <row r="187">
      <c r="A187" s="16" t="n">
        <v>46328</v>
      </c>
      <c r="B187" t="inlineStr">
        <is>
          <t>BKN</t>
        </is>
      </c>
    </row>
    <row r="188">
      <c r="A188" s="16" t="n">
        <v>46328</v>
      </c>
      <c r="B188" t="inlineStr">
        <is>
          <t>BOS</t>
        </is>
      </c>
    </row>
    <row r="189">
      <c r="A189" s="16" t="n">
        <v>46328</v>
      </c>
      <c r="B189" t="inlineStr">
        <is>
          <t>CHA</t>
        </is>
      </c>
    </row>
    <row r="190">
      <c r="A190" s="16" t="n">
        <v>46328</v>
      </c>
      <c r="B190" t="inlineStr">
        <is>
          <t>CHI</t>
        </is>
      </c>
    </row>
    <row r="191">
      <c r="A191" s="16" t="n">
        <v>46328</v>
      </c>
      <c r="B191" t="inlineStr">
        <is>
          <t>CLE</t>
        </is>
      </c>
    </row>
    <row r="192">
      <c r="A192" s="16" t="n">
        <v>46328</v>
      </c>
      <c r="B192" t="inlineStr">
        <is>
          <t>DAL</t>
        </is>
      </c>
    </row>
    <row r="193">
      <c r="A193" s="16" t="n">
        <v>46328</v>
      </c>
      <c r="B193" t="inlineStr">
        <is>
          <t>DEN</t>
        </is>
      </c>
    </row>
    <row r="194">
      <c r="A194" s="16" t="n">
        <v>46328</v>
      </c>
      <c r="B194" t="inlineStr">
        <is>
          <t>DET</t>
        </is>
      </c>
    </row>
    <row r="195">
      <c r="A195" s="16" t="n">
        <v>46328</v>
      </c>
      <c r="B195" t="inlineStr">
        <is>
          <t>GSW</t>
        </is>
      </c>
    </row>
    <row r="196">
      <c r="A196" s="16" t="n">
        <v>46328</v>
      </c>
      <c r="B196" t="inlineStr">
        <is>
          <t>HOU</t>
        </is>
      </c>
    </row>
    <row r="197">
      <c r="A197" s="16" t="n">
        <v>46328</v>
      </c>
      <c r="B197" t="inlineStr">
        <is>
          <t>IND</t>
        </is>
      </c>
    </row>
    <row r="198">
      <c r="A198" s="16" t="n">
        <v>46328</v>
      </c>
      <c r="B198" t="inlineStr">
        <is>
          <t>LAC</t>
        </is>
      </c>
    </row>
    <row r="199">
      <c r="A199" s="16" t="n">
        <v>46328</v>
      </c>
      <c r="B199" t="inlineStr">
        <is>
          <t>LAL</t>
        </is>
      </c>
    </row>
    <row r="200">
      <c r="A200" s="16" t="n">
        <v>46328</v>
      </c>
      <c r="B200" t="inlineStr">
        <is>
          <t>MEM</t>
        </is>
      </c>
    </row>
    <row r="201">
      <c r="A201" s="16" t="n">
        <v>46328</v>
      </c>
      <c r="B201" t="inlineStr">
        <is>
          <t>MIA</t>
        </is>
      </c>
    </row>
    <row r="202">
      <c r="A202" s="16" t="n">
        <v>46328</v>
      </c>
      <c r="B202" t="inlineStr">
        <is>
          <t>MIL</t>
        </is>
      </c>
    </row>
    <row r="203">
      <c r="A203" s="16" t="n">
        <v>46328</v>
      </c>
      <c r="B203" t="inlineStr">
        <is>
          <t>MIN</t>
        </is>
      </c>
    </row>
    <row r="204">
      <c r="A204" s="16" t="n">
        <v>46328</v>
      </c>
      <c r="B204" t="inlineStr">
        <is>
          <t>NOR</t>
        </is>
      </c>
    </row>
    <row r="205">
      <c r="A205" s="16" t="n">
        <v>46328</v>
      </c>
      <c r="B205" t="inlineStr">
        <is>
          <t>NYK</t>
        </is>
      </c>
    </row>
    <row r="206">
      <c r="A206" s="16" t="n">
        <v>46328</v>
      </c>
      <c r="B206" t="inlineStr">
        <is>
          <t>OKC</t>
        </is>
      </c>
    </row>
    <row r="207">
      <c r="A207" s="16" t="n">
        <v>46328</v>
      </c>
      <c r="B207" t="inlineStr">
        <is>
          <t>ORL</t>
        </is>
      </c>
    </row>
    <row r="208">
      <c r="A208" s="16" t="n">
        <v>46328</v>
      </c>
      <c r="B208" t="inlineStr">
        <is>
          <t>PHI</t>
        </is>
      </c>
    </row>
    <row r="209">
      <c r="A209" s="16" t="n">
        <v>46328</v>
      </c>
      <c r="B209" t="inlineStr">
        <is>
          <t>PHO</t>
        </is>
      </c>
    </row>
    <row r="210">
      <c r="A210" s="16" t="n">
        <v>46328</v>
      </c>
      <c r="B210" t="inlineStr">
        <is>
          <t>POR</t>
        </is>
      </c>
    </row>
    <row r="211">
      <c r="A211" s="16" t="n">
        <v>46328</v>
      </c>
      <c r="B211" t="inlineStr">
        <is>
          <t>SAC</t>
        </is>
      </c>
    </row>
    <row r="212">
      <c r="A212" s="16" t="n">
        <v>46328</v>
      </c>
      <c r="B212" t="inlineStr">
        <is>
          <t>SAS</t>
        </is>
      </c>
    </row>
    <row r="213">
      <c r="A213" s="16" t="n">
        <v>46328</v>
      </c>
      <c r="B213" t="inlineStr">
        <is>
          <t>TOR</t>
        </is>
      </c>
    </row>
    <row r="214">
      <c r="A214" s="16" t="n">
        <v>46328</v>
      </c>
      <c r="B214" t="inlineStr">
        <is>
          <t>UTH</t>
        </is>
      </c>
    </row>
    <row r="215">
      <c r="A215" s="16" t="n">
        <v>46328</v>
      </c>
      <c r="B215" t="inlineStr">
        <is>
          <t>WAS</t>
        </is>
      </c>
    </row>
    <row r="216">
      <c r="A216" s="16" t="n">
        <v>46330</v>
      </c>
      <c r="B216" t="inlineStr">
        <is>
          <t>ATL</t>
        </is>
      </c>
    </row>
    <row r="217">
      <c r="A217" s="16" t="n">
        <v>46330</v>
      </c>
      <c r="B217" t="inlineStr">
        <is>
          <t>BKN</t>
        </is>
      </c>
    </row>
    <row r="218">
      <c r="A218" s="16" t="n">
        <v>46330</v>
      </c>
      <c r="B218" t="inlineStr">
        <is>
          <t>BOS</t>
        </is>
      </c>
    </row>
    <row r="219">
      <c r="A219" s="16" t="n">
        <v>46330</v>
      </c>
      <c r="B219" t="inlineStr">
        <is>
          <t>CHA</t>
        </is>
      </c>
    </row>
    <row r="220">
      <c r="A220" s="16" t="n">
        <v>46330</v>
      </c>
      <c r="B220" t="inlineStr">
        <is>
          <t>CHI</t>
        </is>
      </c>
    </row>
    <row r="221">
      <c r="A221" s="16" t="n">
        <v>46330</v>
      </c>
      <c r="B221" t="inlineStr">
        <is>
          <t>CLE</t>
        </is>
      </c>
    </row>
    <row r="222">
      <c r="A222" s="16" t="n">
        <v>46330</v>
      </c>
      <c r="B222" t="inlineStr">
        <is>
          <t>DAL</t>
        </is>
      </c>
    </row>
    <row r="223">
      <c r="A223" s="16" t="n">
        <v>46330</v>
      </c>
      <c r="B223" t="inlineStr">
        <is>
          <t>DEN</t>
        </is>
      </c>
    </row>
    <row r="224">
      <c r="A224" s="16" t="n">
        <v>46330</v>
      </c>
      <c r="B224" t="inlineStr">
        <is>
          <t>DET</t>
        </is>
      </c>
    </row>
    <row r="225">
      <c r="A225" s="16" t="n">
        <v>46330</v>
      </c>
      <c r="B225" t="inlineStr">
        <is>
          <t>HOU</t>
        </is>
      </c>
    </row>
    <row r="226">
      <c r="A226" s="16" t="n">
        <v>46330</v>
      </c>
      <c r="B226" t="inlineStr">
        <is>
          <t>IND</t>
        </is>
      </c>
    </row>
    <row r="227">
      <c r="A227" s="16" t="n">
        <v>46330</v>
      </c>
      <c r="B227" t="inlineStr">
        <is>
          <t>LAC</t>
        </is>
      </c>
    </row>
    <row r="228">
      <c r="A228" s="16" t="n">
        <v>46330</v>
      </c>
      <c r="B228" t="inlineStr">
        <is>
          <t>LAL</t>
        </is>
      </c>
    </row>
    <row r="229">
      <c r="A229" s="16" t="n">
        <v>46330</v>
      </c>
      <c r="B229" t="inlineStr">
        <is>
          <t>MEM</t>
        </is>
      </c>
    </row>
    <row r="230">
      <c r="A230" s="16" t="n">
        <v>46330</v>
      </c>
      <c r="B230" t="inlineStr">
        <is>
          <t>MIA</t>
        </is>
      </c>
    </row>
    <row r="231">
      <c r="A231" s="16" t="n">
        <v>46330</v>
      </c>
      <c r="B231" t="inlineStr">
        <is>
          <t>MIL</t>
        </is>
      </c>
    </row>
    <row r="232">
      <c r="A232" s="16" t="n">
        <v>46330</v>
      </c>
      <c r="B232" t="inlineStr">
        <is>
          <t>MIN</t>
        </is>
      </c>
    </row>
    <row r="233">
      <c r="A233" s="16" t="n">
        <v>46330</v>
      </c>
      <c r="B233" t="inlineStr">
        <is>
          <t>NOR</t>
        </is>
      </c>
    </row>
    <row r="234">
      <c r="A234" s="16" t="n">
        <v>46330</v>
      </c>
      <c r="B234" t="inlineStr">
        <is>
          <t>NYK</t>
        </is>
      </c>
    </row>
    <row r="235">
      <c r="A235" s="16" t="n">
        <v>46330</v>
      </c>
      <c r="B235" t="inlineStr">
        <is>
          <t>OKC</t>
        </is>
      </c>
    </row>
    <row r="236">
      <c r="A236" s="16" t="n">
        <v>46330</v>
      </c>
      <c r="B236" t="inlineStr">
        <is>
          <t>PHI</t>
        </is>
      </c>
    </row>
    <row r="237">
      <c r="A237" s="16" t="n">
        <v>46330</v>
      </c>
      <c r="B237" t="inlineStr">
        <is>
          <t>PHO</t>
        </is>
      </c>
    </row>
    <row r="238">
      <c r="A238" s="16" t="n">
        <v>46330</v>
      </c>
      <c r="B238" t="inlineStr">
        <is>
          <t>POR</t>
        </is>
      </c>
    </row>
    <row r="239">
      <c r="A239" s="16" t="n">
        <v>46330</v>
      </c>
      <c r="B239" t="inlineStr">
        <is>
          <t>SAC</t>
        </is>
      </c>
    </row>
    <row r="240">
      <c r="A240" s="16" t="n">
        <v>46330</v>
      </c>
      <c r="B240" t="inlineStr">
        <is>
          <t>SAS</t>
        </is>
      </c>
    </row>
    <row r="241">
      <c r="A241" s="16" t="n">
        <v>46330</v>
      </c>
      <c r="B241" t="inlineStr">
        <is>
          <t>TOR</t>
        </is>
      </c>
    </row>
    <row r="242">
      <c r="A242" s="16" t="n">
        <v>46330</v>
      </c>
      <c r="B242" t="inlineStr">
        <is>
          <t>UTH</t>
        </is>
      </c>
    </row>
    <row r="243">
      <c r="A243" s="16" t="n">
        <v>46330</v>
      </c>
      <c r="B243" t="inlineStr">
        <is>
          <t>WAS</t>
        </is>
      </c>
    </row>
    <row r="244">
      <c r="A244" s="16" t="n">
        <v>46331</v>
      </c>
      <c r="B244" t="inlineStr">
        <is>
          <t>GSW</t>
        </is>
      </c>
    </row>
    <row r="245">
      <c r="A245" s="16" t="n">
        <v>46331</v>
      </c>
      <c r="B245" t="inlineStr">
        <is>
          <t>MIA</t>
        </is>
      </c>
    </row>
    <row r="246">
      <c r="A246" s="16" t="n">
        <v>46331</v>
      </c>
      <c r="B246" t="inlineStr">
        <is>
          <t>ORL</t>
        </is>
      </c>
    </row>
    <row r="247">
      <c r="A247" s="16" t="n">
        <v>46331</v>
      </c>
      <c r="B247" t="inlineStr">
        <is>
          <t>PHO</t>
        </is>
      </c>
    </row>
    <row r="248">
      <c r="A248" s="16" t="n">
        <v>46332</v>
      </c>
      <c r="B248" t="inlineStr">
        <is>
          <t>ATL</t>
        </is>
      </c>
    </row>
    <row r="249">
      <c r="A249" s="16" t="n">
        <v>46332</v>
      </c>
      <c r="B249" t="inlineStr">
        <is>
          <t>BOS</t>
        </is>
      </c>
    </row>
    <row r="250">
      <c r="A250" s="16" t="n">
        <v>46332</v>
      </c>
      <c r="B250" t="inlineStr">
        <is>
          <t>CHA</t>
        </is>
      </c>
    </row>
    <row r="251">
      <c r="A251" s="16" t="n">
        <v>46332</v>
      </c>
      <c r="B251" t="inlineStr">
        <is>
          <t>CLE</t>
        </is>
      </c>
    </row>
    <row r="252">
      <c r="A252" s="16" t="n">
        <v>46332</v>
      </c>
      <c r="B252" t="inlineStr">
        <is>
          <t>DAL</t>
        </is>
      </c>
    </row>
    <row r="253">
      <c r="A253" s="16" t="n">
        <v>46332</v>
      </c>
      <c r="B253" t="inlineStr">
        <is>
          <t>LAL</t>
        </is>
      </c>
    </row>
    <row r="254">
      <c r="A254" s="16" t="n">
        <v>46332</v>
      </c>
      <c r="B254" t="inlineStr">
        <is>
          <t>MEM</t>
        </is>
      </c>
    </row>
    <row r="255">
      <c r="A255" s="16" t="n">
        <v>46332</v>
      </c>
      <c r="B255" t="inlineStr">
        <is>
          <t>MIL</t>
        </is>
      </c>
    </row>
    <row r="256">
      <c r="A256" s="16" t="n">
        <v>46332</v>
      </c>
      <c r="B256" t="inlineStr">
        <is>
          <t>MIN</t>
        </is>
      </c>
    </row>
    <row r="257">
      <c r="A257" s="16" t="n">
        <v>46332</v>
      </c>
      <c r="B257" t="inlineStr">
        <is>
          <t>NOR</t>
        </is>
      </c>
    </row>
    <row r="258">
      <c r="A258" s="16" t="n">
        <v>46332</v>
      </c>
      <c r="B258" t="inlineStr">
        <is>
          <t>OKC</t>
        </is>
      </c>
    </row>
    <row r="259">
      <c r="A259" s="16" t="n">
        <v>46332</v>
      </c>
      <c r="B259" t="inlineStr">
        <is>
          <t>PHI</t>
        </is>
      </c>
    </row>
    <row r="260">
      <c r="A260" s="16" t="n">
        <v>46332</v>
      </c>
      <c r="B260" t="inlineStr">
        <is>
          <t>POR</t>
        </is>
      </c>
    </row>
    <row r="261">
      <c r="A261" s="16" t="n">
        <v>46332</v>
      </c>
      <c r="B261" t="inlineStr">
        <is>
          <t>SAC</t>
        </is>
      </c>
    </row>
    <row r="262">
      <c r="A262" s="16" t="n">
        <v>46332</v>
      </c>
      <c r="B262" t="inlineStr">
        <is>
          <t>SAS</t>
        </is>
      </c>
    </row>
    <row r="263">
      <c r="A263" s="16" t="n">
        <v>46332</v>
      </c>
      <c r="B263" t="inlineStr">
        <is>
          <t>TOR</t>
        </is>
      </c>
    </row>
    <row r="264">
      <c r="A264" s="16" t="n">
        <v>46332</v>
      </c>
      <c r="B264" t="inlineStr">
        <is>
          <t>UTH</t>
        </is>
      </c>
    </row>
    <row r="265">
      <c r="A265" s="16" t="n">
        <v>46332</v>
      </c>
      <c r="B265" t="inlineStr">
        <is>
          <t>WAS</t>
        </is>
      </c>
    </row>
    <row r="266">
      <c r="A266" s="16" t="n">
        <v>46333</v>
      </c>
      <c r="B266" t="inlineStr">
        <is>
          <t>ATL</t>
        </is>
      </c>
    </row>
    <row r="267">
      <c r="A267" s="16" t="n">
        <v>46333</v>
      </c>
      <c r="B267" t="inlineStr">
        <is>
          <t>BKN</t>
        </is>
      </c>
    </row>
    <row r="268">
      <c r="A268" s="16" t="n">
        <v>46333</v>
      </c>
      <c r="B268" t="inlineStr">
        <is>
          <t>CLE</t>
        </is>
      </c>
    </row>
    <row r="269">
      <c r="A269" s="16" t="n">
        <v>46333</v>
      </c>
      <c r="B269" t="inlineStr">
        <is>
          <t>DEN</t>
        </is>
      </c>
    </row>
    <row r="270">
      <c r="A270" s="16" t="n">
        <v>46333</v>
      </c>
      <c r="B270" t="inlineStr">
        <is>
          <t>GSW</t>
        </is>
      </c>
    </row>
    <row r="271">
      <c r="A271" s="16" t="n">
        <v>46333</v>
      </c>
      <c r="B271" t="inlineStr">
        <is>
          <t>HOU</t>
        </is>
      </c>
    </row>
    <row r="272">
      <c r="A272" s="16" t="n">
        <v>46333</v>
      </c>
      <c r="B272" t="inlineStr">
        <is>
          <t>IND</t>
        </is>
      </c>
    </row>
    <row r="273">
      <c r="A273" s="16" t="n">
        <v>46333</v>
      </c>
      <c r="B273" t="inlineStr">
        <is>
          <t>NYK</t>
        </is>
      </c>
    </row>
    <row r="274">
      <c r="A274" s="16" t="n">
        <v>46333</v>
      </c>
      <c r="B274" t="inlineStr">
        <is>
          <t>OKC</t>
        </is>
      </c>
    </row>
    <row r="275">
      <c r="A275" s="16" t="n">
        <v>46333</v>
      </c>
      <c r="B275" t="inlineStr">
        <is>
          <t>ORL</t>
        </is>
      </c>
    </row>
    <row r="276">
      <c r="A276" s="16" t="n">
        <v>46333</v>
      </c>
      <c r="B276" t="inlineStr">
        <is>
          <t>PHO</t>
        </is>
      </c>
    </row>
    <row r="277">
      <c r="A277" s="16" t="n">
        <v>46333</v>
      </c>
      <c r="B277" t="inlineStr">
        <is>
          <t>POR</t>
        </is>
      </c>
    </row>
    <row r="278">
      <c r="A278" s="16" t="n">
        <v>46333</v>
      </c>
      <c r="B278" t="inlineStr">
        <is>
          <t>SAS</t>
        </is>
      </c>
    </row>
    <row r="279">
      <c r="A279" s="16" t="n">
        <v>46333</v>
      </c>
      <c r="B279" t="inlineStr">
        <is>
          <t>WAS</t>
        </is>
      </c>
    </row>
    <row r="280">
      <c r="A280" s="16" t="n">
        <v>46334</v>
      </c>
      <c r="B280" t="inlineStr">
        <is>
          <t>BKN</t>
        </is>
      </c>
    </row>
    <row r="281">
      <c r="A281" s="16" t="n">
        <v>46334</v>
      </c>
      <c r="B281" t="inlineStr">
        <is>
          <t>BOS</t>
        </is>
      </c>
    </row>
    <row r="282">
      <c r="A282" s="16" t="n">
        <v>46334</v>
      </c>
      <c r="B282" t="inlineStr">
        <is>
          <t>CHI</t>
        </is>
      </c>
    </row>
    <row r="283">
      <c r="A283" s="16" t="n">
        <v>46334</v>
      </c>
      <c r="B283" t="inlineStr">
        <is>
          <t>DAL</t>
        </is>
      </c>
    </row>
    <row r="284">
      <c r="A284" s="16" t="n">
        <v>46334</v>
      </c>
      <c r="B284" t="inlineStr">
        <is>
          <t>DET</t>
        </is>
      </c>
    </row>
    <row r="285">
      <c r="A285" s="16" t="n">
        <v>46334</v>
      </c>
      <c r="B285" t="inlineStr">
        <is>
          <t>LAC</t>
        </is>
      </c>
    </row>
    <row r="286">
      <c r="A286" s="16" t="n">
        <v>46334</v>
      </c>
      <c r="B286" t="inlineStr">
        <is>
          <t>LAL</t>
        </is>
      </c>
    </row>
    <row r="287">
      <c r="A287" s="16" t="n">
        <v>46334</v>
      </c>
      <c r="B287" t="inlineStr">
        <is>
          <t>MIA</t>
        </is>
      </c>
    </row>
    <row r="288">
      <c r="A288" s="16" t="n">
        <v>46334</v>
      </c>
      <c r="B288" t="inlineStr">
        <is>
          <t>MIL</t>
        </is>
      </c>
    </row>
    <row r="289">
      <c r="A289" s="16" t="n">
        <v>46334</v>
      </c>
      <c r="B289" t="inlineStr">
        <is>
          <t>MIN</t>
        </is>
      </c>
    </row>
    <row r="290">
      <c r="A290" s="16" t="n">
        <v>46334</v>
      </c>
      <c r="B290" t="inlineStr">
        <is>
          <t>NOR</t>
        </is>
      </c>
    </row>
    <row r="291">
      <c r="A291" s="16" t="n">
        <v>46334</v>
      </c>
      <c r="B291" t="inlineStr">
        <is>
          <t>PHI</t>
        </is>
      </c>
    </row>
    <row r="292">
      <c r="A292" s="16" t="n">
        <v>46334</v>
      </c>
      <c r="B292" t="inlineStr">
        <is>
          <t>SAC</t>
        </is>
      </c>
    </row>
    <row r="293">
      <c r="A293" s="16" t="n">
        <v>46334</v>
      </c>
      <c r="B293" t="inlineStr">
        <is>
          <t>UTH</t>
        </is>
      </c>
    </row>
    <row r="294">
      <c r="A294" s="16" t="n">
        <v>46335</v>
      </c>
      <c r="B294" t="inlineStr">
        <is>
          <t>ATL</t>
        </is>
      </c>
    </row>
    <row r="295">
      <c r="A295" s="16" t="n">
        <v>46335</v>
      </c>
      <c r="B295" t="inlineStr">
        <is>
          <t>CHA</t>
        </is>
      </c>
    </row>
    <row r="296">
      <c r="A296" s="16" t="n">
        <v>46335</v>
      </c>
      <c r="B296" t="inlineStr">
        <is>
          <t>CLE</t>
        </is>
      </c>
    </row>
    <row r="297">
      <c r="A297" s="16" t="n">
        <v>46335</v>
      </c>
      <c r="B297" t="inlineStr">
        <is>
          <t>DAL</t>
        </is>
      </c>
    </row>
    <row r="298">
      <c r="A298" s="16" t="n">
        <v>46335</v>
      </c>
      <c r="B298" t="inlineStr">
        <is>
          <t>DEN</t>
        </is>
      </c>
    </row>
    <row r="299">
      <c r="A299" s="16" t="n">
        <v>46335</v>
      </c>
      <c r="B299" t="inlineStr">
        <is>
          <t>DET</t>
        </is>
      </c>
    </row>
    <row r="300">
      <c r="A300" s="16" t="n">
        <v>46335</v>
      </c>
      <c r="B300" t="inlineStr">
        <is>
          <t>GSW</t>
        </is>
      </c>
    </row>
    <row r="301">
      <c r="A301" s="16" t="n">
        <v>46335</v>
      </c>
      <c r="B301" t="inlineStr">
        <is>
          <t>HOU</t>
        </is>
      </c>
    </row>
    <row r="302">
      <c r="A302" s="16" t="n">
        <v>46335</v>
      </c>
      <c r="B302" t="inlineStr">
        <is>
          <t>IND</t>
        </is>
      </c>
    </row>
    <row r="303">
      <c r="A303" s="16" t="n">
        <v>46335</v>
      </c>
      <c r="B303" t="inlineStr">
        <is>
          <t>LAL</t>
        </is>
      </c>
    </row>
    <row r="304">
      <c r="A304" s="16" t="n">
        <v>46335</v>
      </c>
      <c r="B304" t="inlineStr">
        <is>
          <t>MEM</t>
        </is>
      </c>
    </row>
    <row r="305">
      <c r="A305" s="16" t="n">
        <v>46335</v>
      </c>
      <c r="B305" t="inlineStr">
        <is>
          <t>NOR</t>
        </is>
      </c>
    </row>
    <row r="306">
      <c r="A306" s="16" t="n">
        <v>46335</v>
      </c>
      <c r="B306" t="inlineStr">
        <is>
          <t>PHO</t>
        </is>
      </c>
    </row>
    <row r="307">
      <c r="A307" s="16" t="n">
        <v>46335</v>
      </c>
      <c r="B307" t="inlineStr">
        <is>
          <t>SAS</t>
        </is>
      </c>
    </row>
    <row r="308">
      <c r="A308" s="16" t="n">
        <v>46335</v>
      </c>
      <c r="B308" t="inlineStr">
        <is>
          <t>TOR</t>
        </is>
      </c>
    </row>
    <row r="309">
      <c r="A309" s="16" t="n">
        <v>46335</v>
      </c>
      <c r="B309" t="inlineStr">
        <is>
          <t>WAS</t>
        </is>
      </c>
    </row>
    <row r="310">
      <c r="A310" s="16" t="n">
        <v>46336</v>
      </c>
      <c r="B310" t="inlineStr">
        <is>
          <t>BOS</t>
        </is>
      </c>
    </row>
    <row r="311">
      <c r="A311" s="16" t="n">
        <v>46336</v>
      </c>
      <c r="B311" t="inlineStr">
        <is>
          <t>LAC</t>
        </is>
      </c>
    </row>
    <row r="312">
      <c r="A312" s="16" t="n">
        <v>46336</v>
      </c>
      <c r="B312" t="inlineStr">
        <is>
          <t>MIA</t>
        </is>
      </c>
    </row>
    <row r="313">
      <c r="A313" s="16" t="n">
        <v>46336</v>
      </c>
      <c r="B313" t="inlineStr">
        <is>
          <t>MIL</t>
        </is>
      </c>
    </row>
    <row r="314">
      <c r="A314" s="16" t="n">
        <v>46336</v>
      </c>
      <c r="B314" t="inlineStr">
        <is>
          <t>NYK</t>
        </is>
      </c>
    </row>
    <row r="315">
      <c r="A315" s="16" t="n">
        <v>46336</v>
      </c>
      <c r="B315" t="inlineStr">
        <is>
          <t>OKC</t>
        </is>
      </c>
    </row>
    <row r="316">
      <c r="A316" s="16" t="n">
        <v>46336</v>
      </c>
      <c r="B316" t="inlineStr">
        <is>
          <t>ORL</t>
        </is>
      </c>
    </row>
    <row r="317">
      <c r="A317" s="16" t="n">
        <v>46336</v>
      </c>
      <c r="B317" t="inlineStr">
        <is>
          <t>PHI</t>
        </is>
      </c>
    </row>
    <row r="318">
      <c r="A318" s="16" t="n">
        <v>46336</v>
      </c>
      <c r="B318" t="inlineStr">
        <is>
          <t>PHO</t>
        </is>
      </c>
    </row>
    <row r="319">
      <c r="A319" s="16" t="n">
        <v>46336</v>
      </c>
      <c r="B319" t="inlineStr">
        <is>
          <t>POR</t>
        </is>
      </c>
    </row>
    <row r="320">
      <c r="A320" s="16" t="n">
        <v>46336</v>
      </c>
      <c r="B320" t="inlineStr">
        <is>
          <t>SAC</t>
        </is>
      </c>
    </row>
    <row r="321">
      <c r="A321" s="16" t="n">
        <v>46336</v>
      </c>
      <c r="B321" t="inlineStr">
        <is>
          <t>UTH</t>
        </is>
      </c>
    </row>
    <row r="322">
      <c r="A322" s="16" t="n">
        <v>46337</v>
      </c>
      <c r="B322" t="inlineStr">
        <is>
          <t>BKN</t>
        </is>
      </c>
    </row>
    <row r="323">
      <c r="A323" s="16" t="n">
        <v>46337</v>
      </c>
      <c r="B323" t="inlineStr">
        <is>
          <t>BOS</t>
        </is>
      </c>
    </row>
    <row r="324">
      <c r="A324" s="16" t="n">
        <v>46337</v>
      </c>
      <c r="B324" t="inlineStr">
        <is>
          <t>CHI</t>
        </is>
      </c>
    </row>
    <row r="325">
      <c r="A325" s="16" t="n">
        <v>46337</v>
      </c>
      <c r="B325" t="inlineStr">
        <is>
          <t>CLE</t>
        </is>
      </c>
    </row>
    <row r="326">
      <c r="A326" s="16" t="n">
        <v>46337</v>
      </c>
      <c r="B326" t="inlineStr">
        <is>
          <t>DEN</t>
        </is>
      </c>
    </row>
    <row r="327">
      <c r="A327" s="16" t="n">
        <v>46337</v>
      </c>
      <c r="B327" t="inlineStr">
        <is>
          <t>GSW</t>
        </is>
      </c>
    </row>
    <row r="328">
      <c r="A328" s="16" t="n">
        <v>46337</v>
      </c>
      <c r="B328" t="inlineStr">
        <is>
          <t>HOU</t>
        </is>
      </c>
    </row>
    <row r="329">
      <c r="A329" s="16" t="n">
        <v>46337</v>
      </c>
      <c r="B329" t="inlineStr">
        <is>
          <t>IND</t>
        </is>
      </c>
    </row>
    <row r="330">
      <c r="A330" s="16" t="n">
        <v>46337</v>
      </c>
      <c r="B330" t="inlineStr">
        <is>
          <t>LAL</t>
        </is>
      </c>
    </row>
    <row r="331">
      <c r="A331" s="16" t="n">
        <v>46337</v>
      </c>
      <c r="B331" t="inlineStr">
        <is>
          <t>MEM</t>
        </is>
      </c>
    </row>
    <row r="332">
      <c r="A332" s="16" t="n">
        <v>46337</v>
      </c>
      <c r="B332" t="inlineStr">
        <is>
          <t>MIL</t>
        </is>
      </c>
    </row>
    <row r="333">
      <c r="A333" s="16" t="n">
        <v>46337</v>
      </c>
      <c r="B333" t="inlineStr">
        <is>
          <t>NOR</t>
        </is>
      </c>
    </row>
    <row r="334">
      <c r="A334" s="16" t="n">
        <v>46337</v>
      </c>
      <c r="B334" t="inlineStr">
        <is>
          <t>NYK</t>
        </is>
      </c>
    </row>
    <row r="335">
      <c r="A335" s="16" t="n">
        <v>46337</v>
      </c>
      <c r="B335" t="inlineStr">
        <is>
          <t>OKC</t>
        </is>
      </c>
    </row>
    <row r="336">
      <c r="A336" s="16" t="n">
        <v>46337</v>
      </c>
      <c r="B336" t="inlineStr">
        <is>
          <t>ORL</t>
        </is>
      </c>
    </row>
    <row r="337">
      <c r="A337" s="16" t="n">
        <v>46337</v>
      </c>
      <c r="B337" t="inlineStr">
        <is>
          <t>POR</t>
        </is>
      </c>
    </row>
    <row r="338">
      <c r="A338" s="16" t="n">
        <v>46337</v>
      </c>
      <c r="B338" t="inlineStr">
        <is>
          <t>SAS</t>
        </is>
      </c>
    </row>
    <row r="339">
      <c r="A339" s="16" t="n">
        <v>46337</v>
      </c>
      <c r="B339" t="inlineStr">
        <is>
          <t>TOR</t>
        </is>
      </c>
    </row>
    <row r="340">
      <c r="A340" s="16" t="n">
        <v>46337</v>
      </c>
      <c r="B340" t="inlineStr">
        <is>
          <t>UTH</t>
        </is>
      </c>
    </row>
    <row r="341">
      <c r="A341" s="16" t="n">
        <v>46337</v>
      </c>
      <c r="B341" t="inlineStr">
        <is>
          <t>WAS</t>
        </is>
      </c>
    </row>
    <row r="342">
      <c r="A342" s="16" t="n">
        <v>46338</v>
      </c>
      <c r="B342" t="inlineStr">
        <is>
          <t>CHA</t>
        </is>
      </c>
    </row>
    <row r="343">
      <c r="A343" s="16" t="n">
        <v>46338</v>
      </c>
      <c r="B343" t="inlineStr">
        <is>
          <t>DAL</t>
        </is>
      </c>
    </row>
    <row r="344">
      <c r="A344" s="16" t="n">
        <v>46338</v>
      </c>
      <c r="B344" t="inlineStr">
        <is>
          <t>DET</t>
        </is>
      </c>
    </row>
    <row r="345">
      <c r="A345" s="16" t="n">
        <v>46338</v>
      </c>
      <c r="B345" t="inlineStr">
        <is>
          <t>MIN</t>
        </is>
      </c>
    </row>
    <row r="346">
      <c r="A346" s="16" t="n">
        <v>46338</v>
      </c>
      <c r="B346" t="inlineStr">
        <is>
          <t>PHI</t>
        </is>
      </c>
    </row>
    <row r="347">
      <c r="A347" s="16" t="n">
        <v>46338</v>
      </c>
      <c r="B347" t="inlineStr">
        <is>
          <t>PHO</t>
        </is>
      </c>
    </row>
    <row r="348">
      <c r="A348" s="16" t="n">
        <v>46338</v>
      </c>
      <c r="B348" t="inlineStr">
        <is>
          <t>TOR</t>
        </is>
      </c>
    </row>
    <row r="349">
      <c r="A349" s="16" t="n">
        <v>46338</v>
      </c>
      <c r="B349" t="inlineStr">
        <is>
          <t>WAS</t>
        </is>
      </c>
    </row>
    <row r="350">
      <c r="A350" s="16" t="n">
        <v>46339</v>
      </c>
      <c r="B350" t="inlineStr">
        <is>
          <t>ATL</t>
        </is>
      </c>
    </row>
    <row r="351">
      <c r="A351" s="16" t="n">
        <v>46339</v>
      </c>
      <c r="B351" t="inlineStr">
        <is>
          <t>CHI</t>
        </is>
      </c>
    </row>
    <row r="352">
      <c r="A352" s="16" t="n">
        <v>46339</v>
      </c>
      <c r="B352" t="inlineStr">
        <is>
          <t>CLE</t>
        </is>
      </c>
    </row>
    <row r="353">
      <c r="A353" s="16" t="n">
        <v>46339</v>
      </c>
      <c r="B353" t="inlineStr">
        <is>
          <t>GSW</t>
        </is>
      </c>
    </row>
    <row r="354">
      <c r="A354" s="16" t="n">
        <v>46339</v>
      </c>
      <c r="B354" t="inlineStr">
        <is>
          <t>HOU</t>
        </is>
      </c>
    </row>
    <row r="355">
      <c r="A355" s="16" t="n">
        <v>46339</v>
      </c>
      <c r="B355" t="inlineStr">
        <is>
          <t>IND</t>
        </is>
      </c>
    </row>
    <row r="356">
      <c r="A356" s="16" t="n">
        <v>46339</v>
      </c>
      <c r="B356" t="inlineStr">
        <is>
          <t>LAC</t>
        </is>
      </c>
    </row>
    <row r="357">
      <c r="A357" s="16" t="n">
        <v>46339</v>
      </c>
      <c r="B357" t="inlineStr">
        <is>
          <t>MEM</t>
        </is>
      </c>
    </row>
    <row r="358">
      <c r="A358" s="16" t="n">
        <v>46339</v>
      </c>
      <c r="B358" t="inlineStr">
        <is>
          <t>MIA</t>
        </is>
      </c>
    </row>
    <row r="359">
      <c r="A359" s="16" t="n">
        <v>46339</v>
      </c>
      <c r="B359" t="inlineStr">
        <is>
          <t>MIL</t>
        </is>
      </c>
    </row>
    <row r="360">
      <c r="A360" s="16" t="n">
        <v>46339</v>
      </c>
      <c r="B360" t="inlineStr">
        <is>
          <t>NOR</t>
        </is>
      </c>
    </row>
    <row r="361">
      <c r="A361" s="16" t="n">
        <v>46339</v>
      </c>
      <c r="B361" t="inlineStr">
        <is>
          <t>NYK</t>
        </is>
      </c>
    </row>
    <row r="362">
      <c r="A362" s="16" t="n">
        <v>46339</v>
      </c>
      <c r="B362" t="inlineStr">
        <is>
          <t>OKC</t>
        </is>
      </c>
    </row>
    <row r="363">
      <c r="A363" s="16" t="n">
        <v>46339</v>
      </c>
      <c r="B363" t="inlineStr">
        <is>
          <t>ORL</t>
        </is>
      </c>
    </row>
    <row r="364">
      <c r="A364" s="16" t="n">
        <v>46339</v>
      </c>
      <c r="B364" t="inlineStr">
        <is>
          <t>POR</t>
        </is>
      </c>
    </row>
    <row r="365">
      <c r="A365" s="16" t="n">
        <v>46339</v>
      </c>
      <c r="B365" t="inlineStr">
        <is>
          <t>SAC</t>
        </is>
      </c>
    </row>
    <row r="366">
      <c r="A366" s="16" t="n">
        <v>46339</v>
      </c>
      <c r="B366" t="inlineStr">
        <is>
          <t>SAS</t>
        </is>
      </c>
    </row>
    <row r="367">
      <c r="A367" s="16" t="n">
        <v>46339</v>
      </c>
      <c r="B367" t="inlineStr">
        <is>
          <t>UTH</t>
        </is>
      </c>
    </row>
    <row r="368">
      <c r="A368" s="16" t="n">
        <v>46340</v>
      </c>
      <c r="B368" t="inlineStr">
        <is>
          <t>BKN</t>
        </is>
      </c>
    </row>
    <row r="369">
      <c r="A369" s="16" t="n">
        <v>46340</v>
      </c>
      <c r="B369" t="inlineStr">
        <is>
          <t>CHI</t>
        </is>
      </c>
    </row>
    <row r="370">
      <c r="A370" s="16" t="n">
        <v>46340</v>
      </c>
      <c r="B370" t="inlineStr">
        <is>
          <t>CLE</t>
        </is>
      </c>
    </row>
    <row r="371">
      <c r="A371" s="16" t="n">
        <v>46340</v>
      </c>
      <c r="B371" t="inlineStr">
        <is>
          <t>DAL</t>
        </is>
      </c>
    </row>
    <row r="372">
      <c r="A372" s="16" t="n">
        <v>46340</v>
      </c>
      <c r="B372" t="inlineStr">
        <is>
          <t>DEN</t>
        </is>
      </c>
    </row>
    <row r="373">
      <c r="A373" s="16" t="n">
        <v>46340</v>
      </c>
      <c r="B373" t="inlineStr">
        <is>
          <t>DET</t>
        </is>
      </c>
    </row>
    <row r="374">
      <c r="A374" s="16" t="n">
        <v>46340</v>
      </c>
      <c r="B374" t="inlineStr">
        <is>
          <t>MEM</t>
        </is>
      </c>
    </row>
    <row r="375">
      <c r="A375" s="16" t="n">
        <v>46340</v>
      </c>
      <c r="B375" t="inlineStr">
        <is>
          <t>MIA</t>
        </is>
      </c>
    </row>
    <row r="376">
      <c r="A376" s="16" t="n">
        <v>46340</v>
      </c>
      <c r="B376" t="inlineStr">
        <is>
          <t>MIN</t>
        </is>
      </c>
    </row>
    <row r="377">
      <c r="A377" s="16" t="n">
        <v>46340</v>
      </c>
      <c r="B377" t="inlineStr">
        <is>
          <t>NOR</t>
        </is>
      </c>
    </row>
    <row r="378">
      <c r="A378" s="16" t="n">
        <v>46341</v>
      </c>
      <c r="B378" t="inlineStr">
        <is>
          <t>ATL</t>
        </is>
      </c>
    </row>
    <row r="379">
      <c r="A379" s="16" t="n">
        <v>46341</v>
      </c>
      <c r="B379" t="inlineStr">
        <is>
          <t>BOS</t>
        </is>
      </c>
    </row>
    <row r="380">
      <c r="A380" s="16" t="n">
        <v>46341</v>
      </c>
      <c r="B380" t="inlineStr">
        <is>
          <t>CHA</t>
        </is>
      </c>
    </row>
    <row r="381">
      <c r="A381" s="16" t="n">
        <v>46341</v>
      </c>
      <c r="B381" t="inlineStr">
        <is>
          <t>DAL</t>
        </is>
      </c>
    </row>
    <row r="382">
      <c r="A382" s="16" t="n">
        <v>46341</v>
      </c>
      <c r="B382" t="inlineStr">
        <is>
          <t>HOU</t>
        </is>
      </c>
    </row>
    <row r="383">
      <c r="A383" s="16" t="n">
        <v>46341</v>
      </c>
      <c r="B383" t="inlineStr">
        <is>
          <t>IND</t>
        </is>
      </c>
    </row>
    <row r="384">
      <c r="A384" s="16" t="n">
        <v>46341</v>
      </c>
      <c r="B384" t="inlineStr">
        <is>
          <t>LAC</t>
        </is>
      </c>
    </row>
    <row r="385">
      <c r="A385" s="16" t="n">
        <v>46341</v>
      </c>
      <c r="B385" t="inlineStr">
        <is>
          <t>LAL</t>
        </is>
      </c>
    </row>
    <row r="386">
      <c r="A386" s="16" t="n">
        <v>46341</v>
      </c>
      <c r="B386" t="inlineStr">
        <is>
          <t>MIL</t>
        </is>
      </c>
    </row>
    <row r="387">
      <c r="A387" s="16" t="n">
        <v>46341</v>
      </c>
      <c r="B387" t="inlineStr">
        <is>
          <t>NYK</t>
        </is>
      </c>
    </row>
    <row r="388">
      <c r="A388" s="16" t="n">
        <v>46341</v>
      </c>
      <c r="B388" t="inlineStr">
        <is>
          <t>OKC</t>
        </is>
      </c>
    </row>
    <row r="389">
      <c r="A389" s="16" t="n">
        <v>46341</v>
      </c>
      <c r="B389" t="inlineStr">
        <is>
          <t>PHI</t>
        </is>
      </c>
    </row>
    <row r="390">
      <c r="A390" s="16" t="n">
        <v>46341</v>
      </c>
      <c r="B390" t="inlineStr">
        <is>
          <t>PHO</t>
        </is>
      </c>
    </row>
    <row r="391">
      <c r="A391" s="16" t="n">
        <v>46341</v>
      </c>
      <c r="B391" t="inlineStr">
        <is>
          <t>SAC</t>
        </is>
      </c>
    </row>
    <row r="392">
      <c r="A392" s="16" t="n">
        <v>46341</v>
      </c>
      <c r="B392" t="inlineStr">
        <is>
          <t>SAS</t>
        </is>
      </c>
    </row>
    <row r="393">
      <c r="A393" s="16" t="n">
        <v>46341</v>
      </c>
      <c r="B393" t="inlineStr">
        <is>
          <t>TOR</t>
        </is>
      </c>
    </row>
    <row r="394">
      <c r="A394" s="16" t="n">
        <v>46341</v>
      </c>
      <c r="B394" t="inlineStr">
        <is>
          <t>UTH</t>
        </is>
      </c>
    </row>
    <row r="395">
      <c r="A395" s="16" t="n">
        <v>46341</v>
      </c>
      <c r="B395" t="inlineStr">
        <is>
          <t>WAS</t>
        </is>
      </c>
    </row>
    <row r="396">
      <c r="A396" s="16" t="n">
        <v>46342</v>
      </c>
      <c r="B396" t="inlineStr">
        <is>
          <t>BKN</t>
        </is>
      </c>
    </row>
    <row r="397">
      <c r="A397" s="16" t="n">
        <v>46342</v>
      </c>
      <c r="B397" t="inlineStr">
        <is>
          <t>BOS</t>
        </is>
      </c>
    </row>
    <row r="398">
      <c r="A398" s="16" t="n">
        <v>46342</v>
      </c>
      <c r="B398" t="inlineStr">
        <is>
          <t>CHI</t>
        </is>
      </c>
    </row>
    <row r="399">
      <c r="A399" s="16" t="n">
        <v>46342</v>
      </c>
      <c r="B399" t="inlineStr">
        <is>
          <t>CLE</t>
        </is>
      </c>
    </row>
    <row r="400">
      <c r="A400" s="16" t="n">
        <v>46342</v>
      </c>
      <c r="B400" t="inlineStr">
        <is>
          <t>DEN</t>
        </is>
      </c>
    </row>
    <row r="401">
      <c r="A401" s="16" t="n">
        <v>46342</v>
      </c>
      <c r="B401" t="inlineStr">
        <is>
          <t>GSW</t>
        </is>
      </c>
    </row>
    <row r="402">
      <c r="A402" s="16" t="n">
        <v>46342</v>
      </c>
      <c r="B402" t="inlineStr">
        <is>
          <t>HOU</t>
        </is>
      </c>
    </row>
    <row r="403">
      <c r="A403" s="16" t="n">
        <v>46342</v>
      </c>
      <c r="B403" t="inlineStr">
        <is>
          <t>MEM</t>
        </is>
      </c>
    </row>
    <row r="404">
      <c r="A404" s="16" t="n">
        <v>46342</v>
      </c>
      <c r="B404" t="inlineStr">
        <is>
          <t>MIA</t>
        </is>
      </c>
    </row>
    <row r="405">
      <c r="A405" s="16" t="n">
        <v>46342</v>
      </c>
      <c r="B405" t="inlineStr">
        <is>
          <t>MIN</t>
        </is>
      </c>
    </row>
    <row r="406">
      <c r="A406" s="16" t="n">
        <v>46342</v>
      </c>
      <c r="B406" t="inlineStr">
        <is>
          <t>NOR</t>
        </is>
      </c>
    </row>
    <row r="407">
      <c r="A407" s="16" t="n">
        <v>46342</v>
      </c>
      <c r="B407" t="inlineStr">
        <is>
          <t>ORL</t>
        </is>
      </c>
    </row>
    <row r="408">
      <c r="A408" s="16" t="n">
        <v>46342</v>
      </c>
      <c r="B408" t="inlineStr">
        <is>
          <t>PHI</t>
        </is>
      </c>
    </row>
    <row r="409">
      <c r="A409" s="16" t="n">
        <v>46342</v>
      </c>
      <c r="B409" t="inlineStr">
        <is>
          <t>PHO</t>
        </is>
      </c>
    </row>
    <row r="410">
      <c r="A410" s="16" t="n">
        <v>46342</v>
      </c>
      <c r="B410" t="inlineStr">
        <is>
          <t>POR</t>
        </is>
      </c>
    </row>
    <row r="411">
      <c r="A411" s="16" t="n">
        <v>46342</v>
      </c>
      <c r="B411" t="inlineStr">
        <is>
          <t>WAS</t>
        </is>
      </c>
    </row>
    <row r="412">
      <c r="A412" s="16" t="n">
        <v>46343</v>
      </c>
      <c r="B412" t="inlineStr">
        <is>
          <t>CHA</t>
        </is>
      </c>
    </row>
    <row r="413">
      <c r="A413" s="16" t="n">
        <v>46343</v>
      </c>
      <c r="B413" t="inlineStr">
        <is>
          <t>DET</t>
        </is>
      </c>
    </row>
    <row r="414">
      <c r="A414" s="16" t="n">
        <v>46343</v>
      </c>
      <c r="B414" t="inlineStr">
        <is>
          <t>LAC</t>
        </is>
      </c>
    </row>
    <row r="415">
      <c r="A415" s="16" t="n">
        <v>46343</v>
      </c>
      <c r="B415" t="inlineStr">
        <is>
          <t>LAL</t>
        </is>
      </c>
    </row>
    <row r="416">
      <c r="A416" s="16" t="n">
        <v>46343</v>
      </c>
      <c r="B416" t="inlineStr">
        <is>
          <t>MIN</t>
        </is>
      </c>
    </row>
    <row r="417">
      <c r="A417" s="16" t="n">
        <v>46343</v>
      </c>
      <c r="B417" t="inlineStr">
        <is>
          <t>NYK</t>
        </is>
      </c>
    </row>
    <row r="418">
      <c r="A418" s="16" t="n">
        <v>46343</v>
      </c>
      <c r="B418" t="inlineStr">
        <is>
          <t>POR</t>
        </is>
      </c>
    </row>
    <row r="419">
      <c r="A419" s="16" t="n">
        <v>46343</v>
      </c>
      <c r="B419" t="inlineStr">
        <is>
          <t>SAS</t>
        </is>
      </c>
    </row>
    <row r="420">
      <c r="A420" s="16" t="n">
        <v>46343</v>
      </c>
      <c r="B420" t="inlineStr">
        <is>
          <t>TOR</t>
        </is>
      </c>
    </row>
    <row r="421">
      <c r="A421" s="16" t="n">
        <v>46343</v>
      </c>
      <c r="B421" t="inlineStr">
        <is>
          <t>UTH</t>
        </is>
      </c>
    </row>
    <row r="422">
      <c r="A422" s="16" t="n">
        <v>46344</v>
      </c>
      <c r="B422" t="inlineStr">
        <is>
          <t>ATL</t>
        </is>
      </c>
    </row>
    <row r="423">
      <c r="A423" s="16" t="n">
        <v>46344</v>
      </c>
      <c r="B423" t="inlineStr">
        <is>
          <t>BKN</t>
        </is>
      </c>
    </row>
    <row r="424">
      <c r="A424" s="16" t="n">
        <v>46344</v>
      </c>
      <c r="B424" t="inlineStr">
        <is>
          <t>BOS</t>
        </is>
      </c>
    </row>
    <row r="425">
      <c r="A425" s="16" t="n">
        <v>46344</v>
      </c>
      <c r="B425" t="inlineStr">
        <is>
          <t>CHI</t>
        </is>
      </c>
    </row>
    <row r="426">
      <c r="A426" s="16" t="n">
        <v>46344</v>
      </c>
      <c r="B426" t="inlineStr">
        <is>
          <t>CLE</t>
        </is>
      </c>
    </row>
    <row r="427">
      <c r="A427" s="16" t="n">
        <v>46344</v>
      </c>
      <c r="B427" t="inlineStr">
        <is>
          <t>DAL</t>
        </is>
      </c>
    </row>
    <row r="428">
      <c r="A428" s="16" t="n">
        <v>46344</v>
      </c>
      <c r="B428" t="inlineStr">
        <is>
          <t>DEN</t>
        </is>
      </c>
    </row>
    <row r="429">
      <c r="A429" s="16" t="n">
        <v>46344</v>
      </c>
      <c r="B429" t="inlineStr">
        <is>
          <t>DET</t>
        </is>
      </c>
    </row>
    <row r="430">
      <c r="A430" s="16" t="n">
        <v>46344</v>
      </c>
      <c r="B430" t="inlineStr">
        <is>
          <t>GSW</t>
        </is>
      </c>
    </row>
    <row r="431">
      <c r="A431" s="16" t="n">
        <v>46344</v>
      </c>
      <c r="B431" t="inlineStr">
        <is>
          <t>HOU</t>
        </is>
      </c>
    </row>
    <row r="432">
      <c r="A432" s="16" t="n">
        <v>46344</v>
      </c>
      <c r="B432" t="inlineStr">
        <is>
          <t>IND</t>
        </is>
      </c>
    </row>
    <row r="433">
      <c r="A433" s="16" t="n">
        <v>46344</v>
      </c>
      <c r="B433" t="inlineStr">
        <is>
          <t>LAL</t>
        </is>
      </c>
    </row>
    <row r="434">
      <c r="A434" s="16" t="n">
        <v>46344</v>
      </c>
      <c r="B434" t="inlineStr">
        <is>
          <t>MEM</t>
        </is>
      </c>
    </row>
    <row r="435">
      <c r="A435" s="16" t="n">
        <v>46344</v>
      </c>
      <c r="B435" t="inlineStr">
        <is>
          <t>MIA</t>
        </is>
      </c>
    </row>
    <row r="436">
      <c r="A436" s="16" t="n">
        <v>46344</v>
      </c>
      <c r="B436" t="inlineStr">
        <is>
          <t>MIL</t>
        </is>
      </c>
    </row>
    <row r="437">
      <c r="A437" s="16" t="n">
        <v>46344</v>
      </c>
      <c r="B437" t="inlineStr">
        <is>
          <t>NOR</t>
        </is>
      </c>
    </row>
    <row r="438">
      <c r="A438" s="16" t="n">
        <v>46344</v>
      </c>
      <c r="B438" t="inlineStr">
        <is>
          <t>OKC</t>
        </is>
      </c>
    </row>
    <row r="439">
      <c r="A439" s="16" t="n">
        <v>46344</v>
      </c>
      <c r="B439" t="inlineStr">
        <is>
          <t>ORL</t>
        </is>
      </c>
    </row>
    <row r="440">
      <c r="A440" s="16" t="n">
        <v>46344</v>
      </c>
      <c r="B440" t="inlineStr">
        <is>
          <t>PHI</t>
        </is>
      </c>
    </row>
    <row r="441">
      <c r="A441" s="16" t="n">
        <v>46344</v>
      </c>
      <c r="B441" t="inlineStr">
        <is>
          <t>PHO</t>
        </is>
      </c>
    </row>
    <row r="442">
      <c r="A442" s="16" t="n">
        <v>46344</v>
      </c>
      <c r="B442" t="inlineStr">
        <is>
          <t>SAC</t>
        </is>
      </c>
    </row>
    <row r="443">
      <c r="A443" s="16" t="n">
        <v>46344</v>
      </c>
      <c r="B443" t="inlineStr">
        <is>
          <t>TOR</t>
        </is>
      </c>
    </row>
    <row r="444">
      <c r="A444" s="16" t="n">
        <v>46344</v>
      </c>
      <c r="B444" t="inlineStr">
        <is>
          <t>UTH</t>
        </is>
      </c>
    </row>
    <row r="445">
      <c r="A445" s="16" t="n">
        <v>46344</v>
      </c>
      <c r="B445" t="inlineStr">
        <is>
          <t>WAS</t>
        </is>
      </c>
    </row>
    <row r="446">
      <c r="A446" s="16" t="n">
        <v>46345</v>
      </c>
      <c r="B446" t="inlineStr">
        <is>
          <t>GSW</t>
        </is>
      </c>
    </row>
    <row r="447">
      <c r="A447" s="16" t="n">
        <v>46345</v>
      </c>
      <c r="B447" t="inlineStr">
        <is>
          <t>LAC</t>
        </is>
      </c>
    </row>
    <row r="448">
      <c r="A448" s="16" t="n">
        <v>46345</v>
      </c>
      <c r="B448" t="inlineStr">
        <is>
          <t>MEM</t>
        </is>
      </c>
    </row>
    <row r="449">
      <c r="A449" s="16" t="n">
        <v>46345</v>
      </c>
      <c r="B449" t="inlineStr">
        <is>
          <t>MIL</t>
        </is>
      </c>
    </row>
    <row r="450">
      <c r="A450" s="16" t="n">
        <v>46345</v>
      </c>
      <c r="B450" t="inlineStr">
        <is>
          <t>MIN</t>
        </is>
      </c>
    </row>
    <row r="451">
      <c r="A451" s="16" t="n">
        <v>46345</v>
      </c>
      <c r="B451" t="inlineStr">
        <is>
          <t>NYK</t>
        </is>
      </c>
    </row>
    <row r="452">
      <c r="A452" s="16" t="n">
        <v>46345</v>
      </c>
      <c r="B452" t="inlineStr">
        <is>
          <t>POR</t>
        </is>
      </c>
    </row>
    <row r="453">
      <c r="A453" s="16" t="n">
        <v>46345</v>
      </c>
      <c r="B453" t="inlineStr">
        <is>
          <t>SAS</t>
        </is>
      </c>
    </row>
    <row r="454">
      <c r="A454" s="16" t="n">
        <v>46346</v>
      </c>
      <c r="B454" t="inlineStr">
        <is>
          <t>ATL</t>
        </is>
      </c>
    </row>
    <row r="455">
      <c r="A455" s="16" t="n">
        <v>46346</v>
      </c>
      <c r="B455" t="inlineStr">
        <is>
          <t>BKN</t>
        </is>
      </c>
    </row>
    <row r="456">
      <c r="A456" s="16" t="n">
        <v>46346</v>
      </c>
      <c r="B456" t="inlineStr">
        <is>
          <t>CHA</t>
        </is>
      </c>
    </row>
    <row r="457">
      <c r="A457" s="16" t="n">
        <v>46346</v>
      </c>
      <c r="B457" t="inlineStr">
        <is>
          <t>CHI</t>
        </is>
      </c>
    </row>
    <row r="458">
      <c r="A458" s="16" t="n">
        <v>46346</v>
      </c>
      <c r="B458" t="inlineStr">
        <is>
          <t>CLE</t>
        </is>
      </c>
    </row>
    <row r="459">
      <c r="A459" s="16" t="n">
        <v>46346</v>
      </c>
      <c r="B459" t="inlineStr">
        <is>
          <t>DEN</t>
        </is>
      </c>
    </row>
    <row r="460">
      <c r="A460" s="16" t="n">
        <v>46346</v>
      </c>
      <c r="B460" t="inlineStr">
        <is>
          <t>DET</t>
        </is>
      </c>
    </row>
    <row r="461">
      <c r="A461" s="16" t="n">
        <v>46346</v>
      </c>
      <c r="B461" t="inlineStr">
        <is>
          <t>HOU</t>
        </is>
      </c>
    </row>
    <row r="462">
      <c r="A462" s="16" t="n">
        <v>46346</v>
      </c>
      <c r="B462" t="inlineStr">
        <is>
          <t>IND</t>
        </is>
      </c>
    </row>
    <row r="463">
      <c r="A463" s="16" t="n">
        <v>46346</v>
      </c>
      <c r="B463" t="inlineStr">
        <is>
          <t>LAL</t>
        </is>
      </c>
    </row>
    <row r="464">
      <c r="A464" s="16" t="n">
        <v>46346</v>
      </c>
      <c r="B464" t="inlineStr">
        <is>
          <t>NOR</t>
        </is>
      </c>
    </row>
    <row r="465">
      <c r="A465" s="16" t="n">
        <v>46346</v>
      </c>
      <c r="B465" t="inlineStr">
        <is>
          <t>OKC</t>
        </is>
      </c>
    </row>
    <row r="466">
      <c r="A466" s="16" t="n">
        <v>46346</v>
      </c>
      <c r="B466" t="inlineStr">
        <is>
          <t>ORL</t>
        </is>
      </c>
    </row>
    <row r="467">
      <c r="A467" s="16" t="n">
        <v>46346</v>
      </c>
      <c r="B467" t="inlineStr">
        <is>
          <t>PHO</t>
        </is>
      </c>
    </row>
    <row r="468">
      <c r="A468" s="16" t="n">
        <v>46346</v>
      </c>
      <c r="B468" t="inlineStr">
        <is>
          <t>SAC</t>
        </is>
      </c>
    </row>
    <row r="469">
      <c r="A469" s="16" t="n">
        <v>46346</v>
      </c>
      <c r="B469" t="inlineStr">
        <is>
          <t>TOR</t>
        </is>
      </c>
    </row>
    <row r="470">
      <c r="A470" s="16" t="n">
        <v>46346</v>
      </c>
      <c r="B470" t="inlineStr">
        <is>
          <t>UTH</t>
        </is>
      </c>
    </row>
    <row r="471">
      <c r="A471" s="16" t="n">
        <v>46346</v>
      </c>
      <c r="B471" t="inlineStr">
        <is>
          <t>WAS</t>
        </is>
      </c>
    </row>
    <row r="472">
      <c r="A472" s="16" t="n">
        <v>46347</v>
      </c>
      <c r="B472" t="inlineStr">
        <is>
          <t>BOS</t>
        </is>
      </c>
    </row>
    <row r="473">
      <c r="A473" s="16" t="n">
        <v>46347</v>
      </c>
      <c r="B473" t="inlineStr">
        <is>
          <t>DAL</t>
        </is>
      </c>
    </row>
    <row r="474">
      <c r="A474" s="16" t="n">
        <v>46347</v>
      </c>
      <c r="B474" t="inlineStr">
        <is>
          <t>LAC</t>
        </is>
      </c>
    </row>
    <row r="475">
      <c r="A475" s="16" t="n">
        <v>46347</v>
      </c>
      <c r="B475" t="inlineStr">
        <is>
          <t>MEM</t>
        </is>
      </c>
    </row>
    <row r="476">
      <c r="A476" s="16" t="n">
        <v>46347</v>
      </c>
      <c r="B476" t="inlineStr">
        <is>
          <t>MIL</t>
        </is>
      </c>
    </row>
    <row r="477">
      <c r="A477" s="16" t="n">
        <v>46347</v>
      </c>
      <c r="B477" t="inlineStr">
        <is>
          <t>MIN</t>
        </is>
      </c>
    </row>
    <row r="478">
      <c r="A478" s="16" t="n">
        <v>46347</v>
      </c>
      <c r="B478" t="inlineStr">
        <is>
          <t>NOR</t>
        </is>
      </c>
    </row>
    <row r="479">
      <c r="A479" s="16" t="n">
        <v>46347</v>
      </c>
      <c r="B479" t="inlineStr">
        <is>
          <t>NYK</t>
        </is>
      </c>
    </row>
    <row r="480">
      <c r="A480" s="16" t="n">
        <v>46347</v>
      </c>
      <c r="B480" t="inlineStr">
        <is>
          <t>PHI</t>
        </is>
      </c>
    </row>
    <row r="481">
      <c r="A481" s="16" t="n">
        <v>46347</v>
      </c>
      <c r="B481" t="inlineStr">
        <is>
          <t>POR</t>
        </is>
      </c>
    </row>
    <row r="482">
      <c r="A482" s="16" t="n">
        <v>46347</v>
      </c>
      <c r="B482" t="inlineStr">
        <is>
          <t>SAC</t>
        </is>
      </c>
    </row>
    <row r="483">
      <c r="A483" s="16" t="n">
        <v>46347</v>
      </c>
      <c r="B483" t="inlineStr">
        <is>
          <t>SAS</t>
        </is>
      </c>
    </row>
    <row r="484">
      <c r="A484" s="16" t="n">
        <v>46348</v>
      </c>
      <c r="B484" t="inlineStr">
        <is>
          <t>ATL</t>
        </is>
      </c>
    </row>
    <row r="485">
      <c r="A485" s="16" t="n">
        <v>46348</v>
      </c>
      <c r="B485" t="inlineStr">
        <is>
          <t>BOS</t>
        </is>
      </c>
    </row>
    <row r="486">
      <c r="A486" s="16" t="n">
        <v>46348</v>
      </c>
      <c r="B486" t="inlineStr">
        <is>
          <t>CHI</t>
        </is>
      </c>
    </row>
    <row r="487">
      <c r="A487" s="16" t="n">
        <v>46348</v>
      </c>
      <c r="B487" t="inlineStr">
        <is>
          <t>DAL</t>
        </is>
      </c>
    </row>
    <row r="488">
      <c r="A488" s="16" t="n">
        <v>46348</v>
      </c>
      <c r="B488" t="inlineStr">
        <is>
          <t>DEN</t>
        </is>
      </c>
    </row>
    <row r="489">
      <c r="A489" s="16" t="n">
        <v>46348</v>
      </c>
      <c r="B489" t="inlineStr">
        <is>
          <t>DET</t>
        </is>
      </c>
    </row>
    <row r="490">
      <c r="A490" s="16" t="n">
        <v>46348</v>
      </c>
      <c r="B490" t="inlineStr">
        <is>
          <t>GSW</t>
        </is>
      </c>
    </row>
    <row r="491">
      <c r="A491" s="16" t="n">
        <v>46348</v>
      </c>
      <c r="B491" t="inlineStr">
        <is>
          <t>IND</t>
        </is>
      </c>
    </row>
    <row r="492">
      <c r="A492" s="16" t="n">
        <v>46348</v>
      </c>
      <c r="B492" t="inlineStr">
        <is>
          <t>MIA</t>
        </is>
      </c>
    </row>
    <row r="493">
      <c r="A493" s="16" t="n">
        <v>46348</v>
      </c>
      <c r="B493" t="inlineStr">
        <is>
          <t>NYK</t>
        </is>
      </c>
    </row>
    <row r="494">
      <c r="A494" s="16" t="n">
        <v>46348</v>
      </c>
      <c r="B494" t="inlineStr">
        <is>
          <t>OKC</t>
        </is>
      </c>
    </row>
    <row r="495">
      <c r="A495" s="16" t="n">
        <v>46348</v>
      </c>
      <c r="B495" t="inlineStr">
        <is>
          <t>ORL</t>
        </is>
      </c>
    </row>
    <row r="496">
      <c r="A496" s="16" t="n">
        <v>46348</v>
      </c>
      <c r="B496" t="inlineStr">
        <is>
          <t>UTH</t>
        </is>
      </c>
    </row>
    <row r="497">
      <c r="A497" s="16" t="n">
        <v>46348</v>
      </c>
      <c r="B497" t="inlineStr">
        <is>
          <t>WAS</t>
        </is>
      </c>
    </row>
    <row r="498">
      <c r="A498" s="16" t="n">
        <v>46349</v>
      </c>
      <c r="B498" t="inlineStr">
        <is>
          <t>BKN</t>
        </is>
      </c>
    </row>
    <row r="499">
      <c r="A499" s="16" t="n">
        <v>46349</v>
      </c>
      <c r="B499" t="inlineStr">
        <is>
          <t>CHA</t>
        </is>
      </c>
    </row>
    <row r="500">
      <c r="A500" s="16" t="n">
        <v>46349</v>
      </c>
      <c r="B500" t="inlineStr">
        <is>
          <t>CHI</t>
        </is>
      </c>
    </row>
    <row r="501">
      <c r="A501" s="16" t="n">
        <v>46349</v>
      </c>
      <c r="B501" t="inlineStr">
        <is>
          <t>CLE</t>
        </is>
      </c>
    </row>
    <row r="502">
      <c r="A502" s="16" t="n">
        <v>46349</v>
      </c>
      <c r="B502" t="inlineStr">
        <is>
          <t>HOU</t>
        </is>
      </c>
    </row>
    <row r="503">
      <c r="A503" s="16" t="n">
        <v>46349</v>
      </c>
      <c r="B503" t="inlineStr">
        <is>
          <t>IND</t>
        </is>
      </c>
    </row>
    <row r="504">
      <c r="A504" s="16" t="n">
        <v>46349</v>
      </c>
      <c r="B504" t="inlineStr">
        <is>
          <t>LAC</t>
        </is>
      </c>
    </row>
    <row r="505">
      <c r="A505" s="16" t="n">
        <v>46349</v>
      </c>
      <c r="B505" t="inlineStr">
        <is>
          <t>LAL</t>
        </is>
      </c>
    </row>
    <row r="506">
      <c r="A506" s="16" t="n">
        <v>46349</v>
      </c>
      <c r="B506" t="inlineStr">
        <is>
          <t>MEM</t>
        </is>
      </c>
    </row>
    <row r="507">
      <c r="A507" s="16" t="n">
        <v>46349</v>
      </c>
      <c r="B507" t="inlineStr">
        <is>
          <t>MIL</t>
        </is>
      </c>
    </row>
    <row r="508">
      <c r="A508" s="16" t="n">
        <v>46349</v>
      </c>
      <c r="B508" t="inlineStr">
        <is>
          <t>MIN</t>
        </is>
      </c>
    </row>
    <row r="509">
      <c r="A509" s="16" t="n">
        <v>46349</v>
      </c>
      <c r="B509" t="inlineStr">
        <is>
          <t>NOR</t>
        </is>
      </c>
    </row>
    <row r="510">
      <c r="A510" s="16" t="n">
        <v>46349</v>
      </c>
      <c r="B510" t="inlineStr">
        <is>
          <t>OKC</t>
        </is>
      </c>
    </row>
    <row r="511">
      <c r="A511" s="16" t="n">
        <v>46349</v>
      </c>
      <c r="B511" t="inlineStr">
        <is>
          <t>PHI</t>
        </is>
      </c>
    </row>
    <row r="512">
      <c r="A512" s="16" t="n">
        <v>46349</v>
      </c>
      <c r="B512" t="inlineStr">
        <is>
          <t>PHO</t>
        </is>
      </c>
    </row>
    <row r="513">
      <c r="A513" s="16" t="n">
        <v>46349</v>
      </c>
      <c r="B513" t="inlineStr">
        <is>
          <t>POR</t>
        </is>
      </c>
    </row>
    <row r="514">
      <c r="A514" s="16" t="n">
        <v>46349</v>
      </c>
      <c r="B514" t="inlineStr">
        <is>
          <t>SAC</t>
        </is>
      </c>
    </row>
    <row r="515">
      <c r="A515" s="16" t="n">
        <v>46349</v>
      </c>
      <c r="B515" t="inlineStr">
        <is>
          <t>SAS</t>
        </is>
      </c>
    </row>
    <row r="516">
      <c r="A516" s="16" t="n">
        <v>46349</v>
      </c>
      <c r="B516" t="inlineStr">
        <is>
          <t>TOR</t>
        </is>
      </c>
    </row>
    <row r="517">
      <c r="A517" s="16" t="n">
        <v>46349</v>
      </c>
      <c r="B517" t="inlineStr">
        <is>
          <t>UTH</t>
        </is>
      </c>
    </row>
    <row r="518">
      <c r="A518" s="16" t="n">
        <v>46350</v>
      </c>
      <c r="B518" t="inlineStr">
        <is>
          <t>BOS</t>
        </is>
      </c>
    </row>
    <row r="519">
      <c r="A519" s="16" t="n">
        <v>46350</v>
      </c>
      <c r="B519" t="inlineStr">
        <is>
          <t>DAL</t>
        </is>
      </c>
    </row>
    <row r="520">
      <c r="A520" s="16" t="n">
        <v>46350</v>
      </c>
      <c r="B520" t="inlineStr">
        <is>
          <t>DEN</t>
        </is>
      </c>
    </row>
    <row r="521">
      <c r="A521" s="16" t="n">
        <v>46350</v>
      </c>
      <c r="B521" t="inlineStr">
        <is>
          <t>DET</t>
        </is>
      </c>
    </row>
    <row r="522">
      <c r="A522" s="16" t="n">
        <v>46350</v>
      </c>
      <c r="B522" t="inlineStr">
        <is>
          <t>ORL</t>
        </is>
      </c>
    </row>
    <row r="523">
      <c r="A523" s="16" t="n">
        <v>46350</v>
      </c>
      <c r="B523" t="inlineStr">
        <is>
          <t>WAS</t>
        </is>
      </c>
    </row>
    <row r="524">
      <c r="A524" s="16" t="n">
        <v>46351</v>
      </c>
      <c r="B524" t="inlineStr">
        <is>
          <t>BKN</t>
        </is>
      </c>
    </row>
    <row r="525">
      <c r="A525" s="16" t="n">
        <v>46351</v>
      </c>
      <c r="B525" t="inlineStr">
        <is>
          <t>CHA</t>
        </is>
      </c>
    </row>
    <row r="526">
      <c r="A526" s="16" t="n">
        <v>46351</v>
      </c>
      <c r="B526" t="inlineStr">
        <is>
          <t>CHI</t>
        </is>
      </c>
    </row>
    <row r="527">
      <c r="A527" s="16" t="n">
        <v>46351</v>
      </c>
      <c r="B527" t="inlineStr">
        <is>
          <t>CLE</t>
        </is>
      </c>
    </row>
    <row r="528">
      <c r="A528" s="16" t="n">
        <v>46351</v>
      </c>
      <c r="B528" t="inlineStr">
        <is>
          <t>GSW</t>
        </is>
      </c>
    </row>
    <row r="529">
      <c r="A529" s="16" t="n">
        <v>46351</v>
      </c>
      <c r="B529" t="inlineStr">
        <is>
          <t>HOU</t>
        </is>
      </c>
    </row>
    <row r="530">
      <c r="A530" s="16" t="n">
        <v>46351</v>
      </c>
      <c r="B530" t="inlineStr">
        <is>
          <t>LAC</t>
        </is>
      </c>
    </row>
    <row r="531">
      <c r="A531" s="16" t="n">
        <v>46351</v>
      </c>
      <c r="B531" t="inlineStr">
        <is>
          <t>MEM</t>
        </is>
      </c>
    </row>
    <row r="532">
      <c r="A532" s="16" t="n">
        <v>46351</v>
      </c>
      <c r="B532" t="inlineStr">
        <is>
          <t>MIA</t>
        </is>
      </c>
    </row>
    <row r="533">
      <c r="A533" s="16" t="n">
        <v>46351</v>
      </c>
      <c r="B533" t="inlineStr">
        <is>
          <t>MIL</t>
        </is>
      </c>
    </row>
    <row r="534">
      <c r="A534" s="16" t="n">
        <v>46351</v>
      </c>
      <c r="B534" t="inlineStr">
        <is>
          <t>MIN</t>
        </is>
      </c>
    </row>
    <row r="535">
      <c r="A535" s="16" t="n">
        <v>46351</v>
      </c>
      <c r="B535" t="inlineStr">
        <is>
          <t>NYK</t>
        </is>
      </c>
    </row>
    <row r="536">
      <c r="A536" s="16" t="n">
        <v>46351</v>
      </c>
      <c r="B536" t="inlineStr">
        <is>
          <t>OKC</t>
        </is>
      </c>
    </row>
    <row r="537">
      <c r="A537" s="16" t="n">
        <v>46351</v>
      </c>
      <c r="B537" t="inlineStr">
        <is>
          <t>PHI</t>
        </is>
      </c>
    </row>
    <row r="538">
      <c r="A538" s="16" t="n">
        <v>46351</v>
      </c>
      <c r="B538" t="inlineStr">
        <is>
          <t>PHO</t>
        </is>
      </c>
    </row>
    <row r="539">
      <c r="A539" s="16" t="n">
        <v>46351</v>
      </c>
      <c r="B539" t="inlineStr">
        <is>
          <t>POR</t>
        </is>
      </c>
    </row>
    <row r="540">
      <c r="A540" s="16" t="n">
        <v>46351</v>
      </c>
      <c r="B540" t="inlineStr">
        <is>
          <t>SAC</t>
        </is>
      </c>
    </row>
    <row r="541">
      <c r="A541" s="16" t="n">
        <v>46351</v>
      </c>
      <c r="B541" t="inlineStr">
        <is>
          <t>SAS</t>
        </is>
      </c>
    </row>
    <row r="542">
      <c r="A542" s="16" t="n">
        <v>46353</v>
      </c>
      <c r="B542" t="inlineStr">
        <is>
          <t>ATL</t>
        </is>
      </c>
    </row>
    <row r="543">
      <c r="A543" s="16" t="n">
        <v>46353</v>
      </c>
      <c r="B543" t="inlineStr">
        <is>
          <t>BKN</t>
        </is>
      </c>
    </row>
    <row r="544">
      <c r="A544" s="16" t="n">
        <v>46353</v>
      </c>
      <c r="B544" t="inlineStr">
        <is>
          <t>BOS</t>
        </is>
      </c>
    </row>
    <row r="545">
      <c r="A545" s="16" t="n">
        <v>46353</v>
      </c>
      <c r="B545" t="inlineStr">
        <is>
          <t>DAL</t>
        </is>
      </c>
    </row>
    <row r="546">
      <c r="A546" s="16" t="n">
        <v>46353</v>
      </c>
      <c r="B546" t="inlineStr">
        <is>
          <t>DEN</t>
        </is>
      </c>
    </row>
    <row r="547">
      <c r="A547" s="16" t="n">
        <v>46353</v>
      </c>
      <c r="B547" t="inlineStr">
        <is>
          <t>DET</t>
        </is>
      </c>
    </row>
    <row r="548">
      <c r="A548" s="16" t="n">
        <v>46353</v>
      </c>
      <c r="B548" t="inlineStr">
        <is>
          <t>GSW</t>
        </is>
      </c>
    </row>
    <row r="549">
      <c r="A549" s="16" t="n">
        <v>46353</v>
      </c>
      <c r="B549" t="inlineStr">
        <is>
          <t>IND</t>
        </is>
      </c>
    </row>
    <row r="550">
      <c r="A550" s="16" t="n">
        <v>46353</v>
      </c>
      <c r="B550" t="inlineStr">
        <is>
          <t>LAC</t>
        </is>
      </c>
    </row>
    <row r="551">
      <c r="A551" s="16" t="n">
        <v>46353</v>
      </c>
      <c r="B551" t="inlineStr">
        <is>
          <t>LAL</t>
        </is>
      </c>
    </row>
    <row r="552">
      <c r="A552" s="16" t="n">
        <v>46353</v>
      </c>
      <c r="B552" t="inlineStr">
        <is>
          <t>MEM</t>
        </is>
      </c>
    </row>
    <row r="553">
      <c r="A553" s="16" t="n">
        <v>46353</v>
      </c>
      <c r="B553" t="inlineStr">
        <is>
          <t>MIA</t>
        </is>
      </c>
    </row>
    <row r="554">
      <c r="A554" s="16" t="n">
        <v>46353</v>
      </c>
      <c r="B554" t="inlineStr">
        <is>
          <t>MIL</t>
        </is>
      </c>
    </row>
    <row r="555">
      <c r="A555" s="16" t="n">
        <v>46353</v>
      </c>
      <c r="B555" t="inlineStr">
        <is>
          <t>MIN</t>
        </is>
      </c>
    </row>
    <row r="556">
      <c r="A556" s="16" t="n">
        <v>46353</v>
      </c>
      <c r="B556" t="inlineStr">
        <is>
          <t>NOR</t>
        </is>
      </c>
    </row>
    <row r="557">
      <c r="A557" s="16" t="n">
        <v>46353</v>
      </c>
      <c r="B557" t="inlineStr">
        <is>
          <t>NYK</t>
        </is>
      </c>
    </row>
    <row r="558">
      <c r="A558" s="16" t="n">
        <v>46353</v>
      </c>
      <c r="B558" t="inlineStr">
        <is>
          <t>PHI</t>
        </is>
      </c>
    </row>
    <row r="559">
      <c r="A559" s="16" t="n">
        <v>46353</v>
      </c>
      <c r="B559" t="inlineStr">
        <is>
          <t>PHO</t>
        </is>
      </c>
    </row>
    <row r="560">
      <c r="A560" s="16" t="n">
        <v>46353</v>
      </c>
      <c r="B560" t="inlineStr">
        <is>
          <t>POR</t>
        </is>
      </c>
    </row>
    <row r="561">
      <c r="A561" s="16" t="n">
        <v>46353</v>
      </c>
      <c r="B561" t="inlineStr">
        <is>
          <t>SAS</t>
        </is>
      </c>
    </row>
    <row r="562">
      <c r="A562" s="16" t="n">
        <v>46353</v>
      </c>
      <c r="B562" t="inlineStr">
        <is>
          <t>TOR</t>
        </is>
      </c>
    </row>
    <row r="563">
      <c r="A563" s="16" t="n">
        <v>46353</v>
      </c>
      <c r="B563" t="inlineStr">
        <is>
          <t>UTH</t>
        </is>
      </c>
    </row>
    <row r="564">
      <c r="A564" s="16" t="n">
        <v>46354</v>
      </c>
      <c r="B564" t="inlineStr">
        <is>
          <t>BKN</t>
        </is>
      </c>
    </row>
    <row r="565">
      <c r="A565" s="16" t="n">
        <v>46354</v>
      </c>
      <c r="B565" t="inlineStr">
        <is>
          <t>CHA</t>
        </is>
      </c>
    </row>
    <row r="566">
      <c r="A566" s="16" t="n">
        <v>46354</v>
      </c>
      <c r="B566" t="inlineStr">
        <is>
          <t>CHI</t>
        </is>
      </c>
    </row>
    <row r="567">
      <c r="A567" s="16" t="n">
        <v>46354</v>
      </c>
      <c r="B567" t="inlineStr">
        <is>
          <t>HOU</t>
        </is>
      </c>
    </row>
    <row r="568">
      <c r="A568" s="16" t="n">
        <v>46354</v>
      </c>
      <c r="B568" t="inlineStr">
        <is>
          <t>IND</t>
        </is>
      </c>
    </row>
    <row r="569">
      <c r="A569" s="16" t="n">
        <v>46354</v>
      </c>
      <c r="B569" t="inlineStr">
        <is>
          <t>MIL</t>
        </is>
      </c>
    </row>
    <row r="570">
      <c r="A570" s="16" t="n">
        <v>46354</v>
      </c>
      <c r="B570" t="inlineStr">
        <is>
          <t>OKC</t>
        </is>
      </c>
    </row>
    <row r="571">
      <c r="A571" s="16" t="n">
        <v>46354</v>
      </c>
      <c r="B571" t="inlineStr">
        <is>
          <t>ORL</t>
        </is>
      </c>
    </row>
    <row r="572">
      <c r="A572" s="16" t="n">
        <v>46354</v>
      </c>
      <c r="B572" t="inlineStr">
        <is>
          <t>PHI</t>
        </is>
      </c>
    </row>
    <row r="573">
      <c r="A573" s="16" t="n">
        <v>46354</v>
      </c>
      <c r="B573" t="inlineStr">
        <is>
          <t>WAS</t>
        </is>
      </c>
    </row>
    <row r="574">
      <c r="A574" s="16" t="n">
        <v>46355</v>
      </c>
      <c r="B574" t="inlineStr">
        <is>
          <t>ATL</t>
        </is>
      </c>
    </row>
    <row r="575">
      <c r="A575" s="16" t="n">
        <v>46355</v>
      </c>
      <c r="B575" t="inlineStr">
        <is>
          <t>BOS</t>
        </is>
      </c>
    </row>
    <row r="576">
      <c r="A576" s="16" t="n">
        <v>46355</v>
      </c>
      <c r="B576" t="inlineStr">
        <is>
          <t>CLE</t>
        </is>
      </c>
    </row>
    <row r="577">
      <c r="A577" s="16" t="n">
        <v>46355</v>
      </c>
      <c r="B577" t="inlineStr">
        <is>
          <t>DEN</t>
        </is>
      </c>
    </row>
    <row r="578">
      <c r="A578" s="16" t="n">
        <v>46355</v>
      </c>
      <c r="B578" t="inlineStr">
        <is>
          <t>DET</t>
        </is>
      </c>
    </row>
    <row r="579">
      <c r="A579" s="16" t="n">
        <v>46355</v>
      </c>
      <c r="B579" t="inlineStr">
        <is>
          <t>GSW</t>
        </is>
      </c>
    </row>
    <row r="580">
      <c r="A580" s="16" t="n">
        <v>46355</v>
      </c>
      <c r="B580" t="inlineStr">
        <is>
          <t>LAC</t>
        </is>
      </c>
    </row>
    <row r="581">
      <c r="A581" s="16" t="n">
        <v>46355</v>
      </c>
      <c r="B581" t="inlineStr">
        <is>
          <t>LAL</t>
        </is>
      </c>
    </row>
    <row r="582">
      <c r="A582" s="16" t="n">
        <v>46355</v>
      </c>
      <c r="B582" t="inlineStr">
        <is>
          <t>MEM</t>
        </is>
      </c>
    </row>
    <row r="583">
      <c r="A583" s="16" t="n">
        <v>46355</v>
      </c>
      <c r="B583" t="inlineStr">
        <is>
          <t>MIA</t>
        </is>
      </c>
    </row>
    <row r="584">
      <c r="A584" s="16" t="n">
        <v>46355</v>
      </c>
      <c r="B584" t="inlineStr">
        <is>
          <t>MIN</t>
        </is>
      </c>
    </row>
    <row r="585">
      <c r="A585" s="16" t="n">
        <v>46355</v>
      </c>
      <c r="B585" t="inlineStr">
        <is>
          <t>NOR</t>
        </is>
      </c>
    </row>
    <row r="586">
      <c r="A586" s="16" t="n">
        <v>46355</v>
      </c>
      <c r="B586" t="inlineStr">
        <is>
          <t>NYK</t>
        </is>
      </c>
    </row>
    <row r="587">
      <c r="A587" s="16" t="n">
        <v>46355</v>
      </c>
      <c r="B587" t="inlineStr">
        <is>
          <t>ORL</t>
        </is>
      </c>
    </row>
    <row r="588">
      <c r="A588" s="16" t="n">
        <v>46355</v>
      </c>
      <c r="B588" t="inlineStr">
        <is>
          <t>PHO</t>
        </is>
      </c>
    </row>
    <row r="589">
      <c r="A589" s="16" t="n">
        <v>46355</v>
      </c>
      <c r="B589" t="inlineStr">
        <is>
          <t>POR</t>
        </is>
      </c>
    </row>
    <row r="590">
      <c r="A590" s="16" t="n">
        <v>46355</v>
      </c>
      <c r="B590" t="inlineStr">
        <is>
          <t>SAC</t>
        </is>
      </c>
    </row>
    <row r="591">
      <c r="A591" s="16" t="n">
        <v>46355</v>
      </c>
      <c r="B591" t="inlineStr">
        <is>
          <t>SAS</t>
        </is>
      </c>
    </row>
    <row r="592">
      <c r="A592" s="16" t="n">
        <v>46355</v>
      </c>
      <c r="B592" t="inlineStr">
        <is>
          <t>TOR</t>
        </is>
      </c>
    </row>
    <row r="593">
      <c r="A593" s="16" t="n">
        <v>46355</v>
      </c>
      <c r="B593" t="inlineStr">
        <is>
          <t>UTH</t>
        </is>
      </c>
    </row>
    <row r="594">
      <c r="A594" s="16" t="n">
        <v>46356</v>
      </c>
      <c r="B594" t="inlineStr">
        <is>
          <t>BKN</t>
        </is>
      </c>
    </row>
    <row r="595">
      <c r="A595" s="16" t="n">
        <v>46356</v>
      </c>
      <c r="B595" t="inlineStr">
        <is>
          <t>BOS</t>
        </is>
      </c>
    </row>
    <row r="596">
      <c r="A596" s="16" t="n">
        <v>46356</v>
      </c>
      <c r="B596" t="inlineStr">
        <is>
          <t>CHA</t>
        </is>
      </c>
    </row>
    <row r="597">
      <c r="A597" s="16" t="n">
        <v>46356</v>
      </c>
      <c r="B597" t="inlineStr">
        <is>
          <t>DAL</t>
        </is>
      </c>
    </row>
    <row r="598">
      <c r="A598" s="16" t="n">
        <v>46356</v>
      </c>
      <c r="B598" t="inlineStr">
        <is>
          <t>DEN</t>
        </is>
      </c>
    </row>
    <row r="599">
      <c r="A599" s="16" t="n">
        <v>46356</v>
      </c>
      <c r="B599" t="inlineStr">
        <is>
          <t>DET</t>
        </is>
      </c>
    </row>
    <row r="600">
      <c r="A600" s="16" t="n">
        <v>46356</v>
      </c>
      <c r="B600" t="inlineStr">
        <is>
          <t>HOU</t>
        </is>
      </c>
    </row>
    <row r="601">
      <c r="A601" s="16" t="n">
        <v>46356</v>
      </c>
      <c r="B601" t="inlineStr">
        <is>
          <t>LAL</t>
        </is>
      </c>
    </row>
    <row r="602">
      <c r="A602" s="16" t="n">
        <v>46356</v>
      </c>
      <c r="B602" t="inlineStr">
        <is>
          <t>MIL</t>
        </is>
      </c>
    </row>
    <row r="603">
      <c r="A603" s="16" t="n">
        <v>46356</v>
      </c>
      <c r="B603" t="inlineStr">
        <is>
          <t>NOR</t>
        </is>
      </c>
    </row>
    <row r="604">
      <c r="A604" s="16" t="n">
        <v>46356</v>
      </c>
      <c r="B604" t="inlineStr">
        <is>
          <t>OKC</t>
        </is>
      </c>
    </row>
    <row r="605">
      <c r="A605" s="16" t="n">
        <v>46356</v>
      </c>
      <c r="B605" t="inlineStr">
        <is>
          <t>SAC</t>
        </is>
      </c>
    </row>
    <row r="606">
      <c r="A606" s="16" t="n">
        <v>46356</v>
      </c>
      <c r="B606" t="inlineStr">
        <is>
          <t>SAS</t>
        </is>
      </c>
    </row>
    <row r="607">
      <c r="A607" s="16" t="n">
        <v>46356</v>
      </c>
      <c r="B607" t="inlineStr">
        <is>
          <t>WAS</t>
        </is>
      </c>
    </row>
    <row r="608">
      <c r="A608" s="16" t="n">
        <v>46357</v>
      </c>
      <c r="B608" t="inlineStr">
        <is>
          <t>ATL</t>
        </is>
      </c>
    </row>
    <row r="609">
      <c r="A609" s="16" t="n">
        <v>46357</v>
      </c>
      <c r="B609" t="inlineStr">
        <is>
          <t>CHI</t>
        </is>
      </c>
    </row>
    <row r="610">
      <c r="A610" s="16" t="n">
        <v>46357</v>
      </c>
      <c r="B610" t="inlineStr">
        <is>
          <t>CLE</t>
        </is>
      </c>
    </row>
    <row r="611">
      <c r="A611" s="16" t="n">
        <v>46357</v>
      </c>
      <c r="B611" t="inlineStr">
        <is>
          <t>GSW</t>
        </is>
      </c>
    </row>
    <row r="612">
      <c r="A612" s="16" t="n">
        <v>46357</v>
      </c>
      <c r="B612" t="inlineStr">
        <is>
          <t>HOU</t>
        </is>
      </c>
    </row>
    <row r="613">
      <c r="A613" s="16" t="n">
        <v>46357</v>
      </c>
      <c r="B613" t="inlineStr">
        <is>
          <t>IND</t>
        </is>
      </c>
    </row>
    <row r="614">
      <c r="A614" s="16" t="n">
        <v>46357</v>
      </c>
      <c r="B614" t="inlineStr">
        <is>
          <t>LAC</t>
        </is>
      </c>
    </row>
    <row r="615">
      <c r="A615" s="16" t="n">
        <v>46357</v>
      </c>
      <c r="B615" t="inlineStr">
        <is>
          <t>MEM</t>
        </is>
      </c>
    </row>
    <row r="616">
      <c r="A616" s="16" t="n">
        <v>46357</v>
      </c>
      <c r="B616" t="inlineStr">
        <is>
          <t>MIA</t>
        </is>
      </c>
    </row>
    <row r="617">
      <c r="A617" s="16" t="n">
        <v>46357</v>
      </c>
      <c r="B617" t="inlineStr">
        <is>
          <t>MIN</t>
        </is>
      </c>
    </row>
    <row r="618">
      <c r="A618" s="16" t="n">
        <v>46357</v>
      </c>
      <c r="B618" t="inlineStr">
        <is>
          <t>NYK</t>
        </is>
      </c>
    </row>
    <row r="619">
      <c r="A619" s="16" t="n">
        <v>46357</v>
      </c>
      <c r="B619" t="inlineStr">
        <is>
          <t>PHI</t>
        </is>
      </c>
    </row>
    <row r="620">
      <c r="A620" s="16" t="n">
        <v>46357</v>
      </c>
      <c r="B620" t="inlineStr">
        <is>
          <t>PHO</t>
        </is>
      </c>
    </row>
    <row r="621">
      <c r="A621" s="16" t="n">
        <v>46357</v>
      </c>
      <c r="B621" t="inlineStr">
        <is>
          <t>POR</t>
        </is>
      </c>
    </row>
    <row r="622">
      <c r="A622" s="16" t="n">
        <v>46357</v>
      </c>
      <c r="B622" t="inlineStr">
        <is>
          <t>TOR</t>
        </is>
      </c>
    </row>
    <row r="623">
      <c r="A623" s="16" t="n">
        <v>46357</v>
      </c>
      <c r="B623" t="inlineStr">
        <is>
          <t>UTH</t>
        </is>
      </c>
    </row>
    <row r="624">
      <c r="A624" s="16" t="n">
        <v>46358</v>
      </c>
      <c r="B624" t="inlineStr">
        <is>
          <t>BKN</t>
        </is>
      </c>
    </row>
    <row r="625">
      <c r="A625" s="16" t="n">
        <v>46358</v>
      </c>
      <c r="B625" t="inlineStr">
        <is>
          <t>BOS</t>
        </is>
      </c>
    </row>
    <row r="626">
      <c r="A626" s="16" t="n">
        <v>46358</v>
      </c>
      <c r="B626" t="inlineStr">
        <is>
          <t>CHA</t>
        </is>
      </c>
    </row>
    <row r="627">
      <c r="A627" s="16" t="n">
        <v>46358</v>
      </c>
      <c r="B627" t="inlineStr">
        <is>
          <t>DAL</t>
        </is>
      </c>
    </row>
    <row r="628">
      <c r="A628" s="16" t="n">
        <v>46358</v>
      </c>
      <c r="B628" t="inlineStr">
        <is>
          <t>DEN</t>
        </is>
      </c>
    </row>
    <row r="629">
      <c r="A629" s="16" t="n">
        <v>46358</v>
      </c>
      <c r="B629" t="inlineStr">
        <is>
          <t>DET</t>
        </is>
      </c>
    </row>
    <row r="630">
      <c r="A630" s="16" t="n">
        <v>46358</v>
      </c>
      <c r="B630" t="inlineStr">
        <is>
          <t>LAC</t>
        </is>
      </c>
    </row>
    <row r="631">
      <c r="A631" s="16" t="n">
        <v>46358</v>
      </c>
      <c r="B631" t="inlineStr">
        <is>
          <t>LAL</t>
        </is>
      </c>
    </row>
    <row r="632">
      <c r="A632" s="16" t="n">
        <v>46358</v>
      </c>
      <c r="B632" t="inlineStr">
        <is>
          <t>MEM</t>
        </is>
      </c>
    </row>
    <row r="633">
      <c r="A633" s="16" t="n">
        <v>46358</v>
      </c>
      <c r="B633" t="inlineStr">
        <is>
          <t>MIL</t>
        </is>
      </c>
    </row>
    <row r="634">
      <c r="A634" s="16" t="n">
        <v>46358</v>
      </c>
      <c r="B634" t="inlineStr">
        <is>
          <t>MIN</t>
        </is>
      </c>
    </row>
    <row r="635">
      <c r="A635" s="16" t="n">
        <v>46358</v>
      </c>
      <c r="B635" t="inlineStr">
        <is>
          <t>NOR</t>
        </is>
      </c>
    </row>
    <row r="636">
      <c r="A636" s="16" t="n">
        <v>46358</v>
      </c>
      <c r="B636" t="inlineStr">
        <is>
          <t>NYK</t>
        </is>
      </c>
    </row>
    <row r="637">
      <c r="A637" s="16" t="n">
        <v>46358</v>
      </c>
      <c r="B637" t="inlineStr">
        <is>
          <t>OKC</t>
        </is>
      </c>
    </row>
    <row r="638">
      <c r="A638" s="16" t="n">
        <v>46358</v>
      </c>
      <c r="B638" t="inlineStr">
        <is>
          <t>ORL</t>
        </is>
      </c>
    </row>
    <row r="639">
      <c r="A639" s="16" t="n">
        <v>46358</v>
      </c>
      <c r="B639" t="inlineStr">
        <is>
          <t>PHI</t>
        </is>
      </c>
    </row>
    <row r="640">
      <c r="A640" s="16" t="n">
        <v>46358</v>
      </c>
      <c r="B640" t="inlineStr">
        <is>
          <t>PHO</t>
        </is>
      </c>
    </row>
    <row r="641">
      <c r="A641" s="16" t="n">
        <v>46358</v>
      </c>
      <c r="B641" t="inlineStr">
        <is>
          <t>SAC</t>
        </is>
      </c>
    </row>
    <row r="642">
      <c r="A642" s="16" t="n">
        <v>46359</v>
      </c>
      <c r="B642" t="inlineStr">
        <is>
          <t>ATL</t>
        </is>
      </c>
    </row>
    <row r="643">
      <c r="A643" s="16" t="n">
        <v>46359</v>
      </c>
      <c r="B643" t="inlineStr">
        <is>
          <t>CHI</t>
        </is>
      </c>
    </row>
    <row r="644">
      <c r="A644" s="16" t="n">
        <v>46359</v>
      </c>
      <c r="B644" t="inlineStr">
        <is>
          <t>CLE</t>
        </is>
      </c>
    </row>
    <row r="645">
      <c r="A645" s="16" t="n">
        <v>46359</v>
      </c>
      <c r="B645" t="inlineStr">
        <is>
          <t>IND</t>
        </is>
      </c>
    </row>
    <row r="646">
      <c r="A646" s="16" t="n">
        <v>46359</v>
      </c>
      <c r="B646" t="inlineStr">
        <is>
          <t>MIA</t>
        </is>
      </c>
    </row>
    <row r="647">
      <c r="A647" s="16" t="n">
        <v>46359</v>
      </c>
      <c r="B647" t="inlineStr">
        <is>
          <t>POR</t>
        </is>
      </c>
    </row>
    <row r="648">
      <c r="A648" s="16" t="n">
        <v>46359</v>
      </c>
      <c r="B648" t="inlineStr">
        <is>
          <t>SAS</t>
        </is>
      </c>
    </row>
    <row r="649">
      <c r="A649" s="16" t="n">
        <v>46359</v>
      </c>
      <c r="B649" t="inlineStr">
        <is>
          <t>TOR</t>
        </is>
      </c>
    </row>
    <row r="650">
      <c r="A650" s="16" t="n">
        <v>46359</v>
      </c>
      <c r="B650" t="inlineStr">
        <is>
          <t>UTH</t>
        </is>
      </c>
    </row>
    <row r="651">
      <c r="A651" s="16" t="n">
        <v>46359</v>
      </c>
      <c r="B651" t="inlineStr">
        <is>
          <t>WAS</t>
        </is>
      </c>
    </row>
    <row r="652">
      <c r="A652" s="16" t="n">
        <v>46368</v>
      </c>
      <c r="B652" t="inlineStr">
        <is>
          <t>ATL</t>
        </is>
      </c>
    </row>
    <row r="653">
      <c r="A653" s="16" t="n">
        <v>46368</v>
      </c>
      <c r="B653" t="inlineStr">
        <is>
          <t>CHA</t>
        </is>
      </c>
    </row>
    <row r="654">
      <c r="A654" s="16" t="n">
        <v>46368</v>
      </c>
      <c r="B654" t="inlineStr">
        <is>
          <t>CLE</t>
        </is>
      </c>
    </row>
    <row r="655">
      <c r="A655" s="16" t="n">
        <v>46368</v>
      </c>
      <c r="B655" t="inlineStr">
        <is>
          <t>DEN</t>
        </is>
      </c>
    </row>
    <row r="656">
      <c r="A656" s="16" t="n">
        <v>46368</v>
      </c>
      <c r="B656" t="inlineStr">
        <is>
          <t>GSW</t>
        </is>
      </c>
    </row>
    <row r="657">
      <c r="A657" s="16" t="n">
        <v>46368</v>
      </c>
      <c r="B657" t="inlineStr">
        <is>
          <t>MEM</t>
        </is>
      </c>
    </row>
    <row r="658">
      <c r="A658" s="16" t="n">
        <v>46368</v>
      </c>
      <c r="B658" t="inlineStr">
        <is>
          <t>MIA</t>
        </is>
      </c>
    </row>
    <row r="659">
      <c r="A659" s="16" t="n">
        <v>46368</v>
      </c>
      <c r="B659" t="inlineStr">
        <is>
          <t>MIL</t>
        </is>
      </c>
    </row>
    <row r="660">
      <c r="A660" s="16" t="n">
        <v>46368</v>
      </c>
      <c r="B660" t="inlineStr">
        <is>
          <t>MIN</t>
        </is>
      </c>
    </row>
    <row r="661">
      <c r="A661" s="16" t="n">
        <v>46368</v>
      </c>
      <c r="B661" t="inlineStr">
        <is>
          <t>NYK</t>
        </is>
      </c>
    </row>
    <row r="662">
      <c r="A662" s="16" t="n">
        <v>46368</v>
      </c>
      <c r="B662" t="inlineStr">
        <is>
          <t>ORL</t>
        </is>
      </c>
    </row>
    <row r="663">
      <c r="A663" s="16" t="n">
        <v>46368</v>
      </c>
      <c r="B663" t="inlineStr">
        <is>
          <t>PHI</t>
        </is>
      </c>
    </row>
    <row r="664">
      <c r="A664" s="16" t="n">
        <v>46368</v>
      </c>
      <c r="B664" t="inlineStr">
        <is>
          <t>PHO</t>
        </is>
      </c>
    </row>
    <row r="665">
      <c r="A665" s="16" t="n">
        <v>46368</v>
      </c>
      <c r="B665" t="inlineStr">
        <is>
          <t>POR</t>
        </is>
      </c>
    </row>
    <row r="666">
      <c r="A666" s="16" t="n">
        <v>46368</v>
      </c>
      <c r="B666" t="inlineStr">
        <is>
          <t>UTH</t>
        </is>
      </c>
    </row>
    <row r="667">
      <c r="A667" s="16" t="n">
        <v>46368</v>
      </c>
      <c r="B667" t="inlineStr">
        <is>
          <t>WAS</t>
        </is>
      </c>
    </row>
    <row r="668">
      <c r="A668" s="16" t="n">
        <v>46369</v>
      </c>
      <c r="B668" t="inlineStr">
        <is>
          <t>BKN</t>
        </is>
      </c>
    </row>
    <row r="669">
      <c r="A669" s="16" t="n">
        <v>46369</v>
      </c>
      <c r="B669" t="inlineStr">
        <is>
          <t>BOS</t>
        </is>
      </c>
    </row>
    <row r="670">
      <c r="A670" s="16" t="n">
        <v>46369</v>
      </c>
      <c r="B670" t="inlineStr">
        <is>
          <t>CHI</t>
        </is>
      </c>
    </row>
    <row r="671">
      <c r="A671" s="16" t="n">
        <v>46369</v>
      </c>
      <c r="B671" t="inlineStr">
        <is>
          <t>DET</t>
        </is>
      </c>
    </row>
    <row r="672">
      <c r="A672" s="16" t="n">
        <v>46369</v>
      </c>
      <c r="B672" t="inlineStr">
        <is>
          <t>HOU</t>
        </is>
      </c>
    </row>
    <row r="673">
      <c r="A673" s="16" t="n">
        <v>46369</v>
      </c>
      <c r="B673" t="inlineStr">
        <is>
          <t>IND</t>
        </is>
      </c>
    </row>
    <row r="674">
      <c r="A674" s="16" t="n">
        <v>46369</v>
      </c>
      <c r="B674" t="inlineStr">
        <is>
          <t>LAC</t>
        </is>
      </c>
    </row>
    <row r="675">
      <c r="A675" s="16" t="n">
        <v>46369</v>
      </c>
      <c r="B675" t="inlineStr">
        <is>
          <t>NOR</t>
        </is>
      </c>
    </row>
    <row r="676">
      <c r="A676" s="16" t="n">
        <v>46369</v>
      </c>
      <c r="B676" t="inlineStr">
        <is>
          <t>OKC</t>
        </is>
      </c>
    </row>
    <row r="677">
      <c r="A677" s="16" t="n">
        <v>46369</v>
      </c>
      <c r="B677" t="inlineStr">
        <is>
          <t>SAC</t>
        </is>
      </c>
    </row>
    <row r="678">
      <c r="A678" s="16" t="n">
        <v>46369</v>
      </c>
      <c r="B678" t="inlineStr">
        <is>
          <t>SAS</t>
        </is>
      </c>
    </row>
    <row r="679">
      <c r="A679" s="16" t="n">
        <v>46369</v>
      </c>
      <c r="B679" t="inlineStr">
        <is>
          <t>TOR</t>
        </is>
      </c>
    </row>
    <row r="680">
      <c r="A680" s="16" t="n">
        <v>46370</v>
      </c>
      <c r="B680" t="inlineStr">
        <is>
          <t>ATL</t>
        </is>
      </c>
    </row>
    <row r="681">
      <c r="A681" s="16" t="n">
        <v>46370</v>
      </c>
      <c r="B681" t="inlineStr">
        <is>
          <t>BKN</t>
        </is>
      </c>
    </row>
    <row r="682">
      <c r="A682" s="16" t="n">
        <v>46370</v>
      </c>
      <c r="B682" t="inlineStr">
        <is>
          <t>BOS</t>
        </is>
      </c>
    </row>
    <row r="683">
      <c r="A683" s="16" t="n">
        <v>46370</v>
      </c>
      <c r="B683" t="inlineStr">
        <is>
          <t>CHA</t>
        </is>
      </c>
    </row>
    <row r="684">
      <c r="A684" s="16" t="n">
        <v>46370</v>
      </c>
      <c r="B684" t="inlineStr">
        <is>
          <t>CHI</t>
        </is>
      </c>
    </row>
    <row r="685">
      <c r="A685" s="16" t="n">
        <v>46370</v>
      </c>
      <c r="B685" t="inlineStr">
        <is>
          <t>DAL</t>
        </is>
      </c>
    </row>
    <row r="686">
      <c r="A686" s="16" t="n">
        <v>46370</v>
      </c>
      <c r="B686" t="inlineStr">
        <is>
          <t>DET</t>
        </is>
      </c>
    </row>
    <row r="687">
      <c r="A687" s="16" t="n">
        <v>46370</v>
      </c>
      <c r="B687" t="inlineStr">
        <is>
          <t>GSW</t>
        </is>
      </c>
    </row>
    <row r="688">
      <c r="A688" s="16" t="n">
        <v>46370</v>
      </c>
      <c r="B688" t="inlineStr">
        <is>
          <t>HOU</t>
        </is>
      </c>
    </row>
    <row r="689">
      <c r="A689" s="16" t="n">
        <v>46370</v>
      </c>
      <c r="B689" t="inlineStr">
        <is>
          <t>LAL</t>
        </is>
      </c>
    </row>
    <row r="690">
      <c r="A690" s="16" t="n">
        <v>46370</v>
      </c>
      <c r="B690" t="inlineStr">
        <is>
          <t>MEM</t>
        </is>
      </c>
    </row>
    <row r="691">
      <c r="A691" s="16" t="n">
        <v>46370</v>
      </c>
      <c r="B691" t="inlineStr">
        <is>
          <t>MIA</t>
        </is>
      </c>
    </row>
    <row r="692">
      <c r="A692" s="16" t="n">
        <v>46370</v>
      </c>
      <c r="B692" t="inlineStr">
        <is>
          <t>MIL</t>
        </is>
      </c>
    </row>
    <row r="693">
      <c r="A693" s="16" t="n">
        <v>46370</v>
      </c>
      <c r="B693" t="inlineStr">
        <is>
          <t>MIN</t>
        </is>
      </c>
    </row>
    <row r="694">
      <c r="A694" s="16" t="n">
        <v>46370</v>
      </c>
      <c r="B694" t="inlineStr">
        <is>
          <t>NOR</t>
        </is>
      </c>
    </row>
    <row r="695">
      <c r="A695" s="16" t="n">
        <v>46370</v>
      </c>
      <c r="B695" t="inlineStr">
        <is>
          <t>NYK</t>
        </is>
      </c>
    </row>
    <row r="696">
      <c r="A696" s="16" t="n">
        <v>46370</v>
      </c>
      <c r="B696" t="inlineStr">
        <is>
          <t>ORL</t>
        </is>
      </c>
    </row>
    <row r="697">
      <c r="A697" s="16" t="n">
        <v>46370</v>
      </c>
      <c r="B697" t="inlineStr">
        <is>
          <t>PHI</t>
        </is>
      </c>
    </row>
    <row r="698">
      <c r="A698" s="16" t="n">
        <v>46370</v>
      </c>
      <c r="B698" t="inlineStr">
        <is>
          <t>PHO</t>
        </is>
      </c>
    </row>
    <row r="699">
      <c r="A699" s="16" t="n">
        <v>46370</v>
      </c>
      <c r="B699" t="inlineStr">
        <is>
          <t>TOR</t>
        </is>
      </c>
    </row>
    <row r="700">
      <c r="A700" s="16" t="n">
        <v>46370</v>
      </c>
      <c r="B700" t="inlineStr">
        <is>
          <t>UTH</t>
        </is>
      </c>
    </row>
    <row r="701">
      <c r="A701" s="16" t="n">
        <v>46370</v>
      </c>
      <c r="B701" t="inlineStr">
        <is>
          <t>WAS</t>
        </is>
      </c>
    </row>
    <row r="702">
      <c r="A702" s="16" t="n">
        <v>46371</v>
      </c>
      <c r="B702" t="inlineStr">
        <is>
          <t>CLE</t>
        </is>
      </c>
    </row>
    <row r="703">
      <c r="A703" s="16" t="n">
        <v>46371</v>
      </c>
      <c r="B703" t="inlineStr">
        <is>
          <t>DEN</t>
        </is>
      </c>
    </row>
    <row r="704">
      <c r="A704" s="16" t="n">
        <v>46371</v>
      </c>
      <c r="B704" t="inlineStr">
        <is>
          <t>POR</t>
        </is>
      </c>
    </row>
    <row r="705">
      <c r="A705" s="16" t="n">
        <v>46371</v>
      </c>
      <c r="B705" t="inlineStr">
        <is>
          <t>SAS</t>
        </is>
      </c>
    </row>
    <row r="706">
      <c r="A706" s="16" t="n">
        <v>46372</v>
      </c>
      <c r="B706" t="inlineStr">
        <is>
          <t>BKN</t>
        </is>
      </c>
    </row>
    <row r="707">
      <c r="A707" s="16" t="n">
        <v>46372</v>
      </c>
      <c r="B707" t="inlineStr">
        <is>
          <t>BOS</t>
        </is>
      </c>
    </row>
    <row r="708">
      <c r="A708" s="16" t="n">
        <v>46372</v>
      </c>
      <c r="B708" t="inlineStr">
        <is>
          <t>CHA</t>
        </is>
      </c>
    </row>
    <row r="709">
      <c r="A709" s="16" t="n">
        <v>46372</v>
      </c>
      <c r="B709" t="inlineStr">
        <is>
          <t>CHI</t>
        </is>
      </c>
    </row>
    <row r="710">
      <c r="A710" s="16" t="n">
        <v>46372</v>
      </c>
      <c r="B710" t="inlineStr">
        <is>
          <t>CLE</t>
        </is>
      </c>
    </row>
    <row r="711">
      <c r="A711" s="16" t="n">
        <v>46372</v>
      </c>
      <c r="B711" t="inlineStr">
        <is>
          <t>DAL</t>
        </is>
      </c>
    </row>
    <row r="712">
      <c r="A712" s="16" t="n">
        <v>46372</v>
      </c>
      <c r="B712" t="inlineStr">
        <is>
          <t>DET</t>
        </is>
      </c>
    </row>
    <row r="713">
      <c r="A713" s="16" t="n">
        <v>46372</v>
      </c>
      <c r="B713" t="inlineStr">
        <is>
          <t>GSW</t>
        </is>
      </c>
    </row>
    <row r="714">
      <c r="A714" s="16" t="n">
        <v>46372</v>
      </c>
      <c r="B714" t="inlineStr">
        <is>
          <t>HOU</t>
        </is>
      </c>
    </row>
    <row r="715">
      <c r="A715" s="16" t="n">
        <v>46372</v>
      </c>
      <c r="B715" t="inlineStr">
        <is>
          <t>IND</t>
        </is>
      </c>
    </row>
    <row r="716">
      <c r="A716" s="16" t="n">
        <v>46372</v>
      </c>
      <c r="B716" t="inlineStr">
        <is>
          <t>LAC</t>
        </is>
      </c>
    </row>
    <row r="717">
      <c r="A717" s="16" t="n">
        <v>46372</v>
      </c>
      <c r="B717" t="inlineStr">
        <is>
          <t>LAL</t>
        </is>
      </c>
    </row>
    <row r="718">
      <c r="A718" s="16" t="n">
        <v>46372</v>
      </c>
      <c r="B718" t="inlineStr">
        <is>
          <t>MEM</t>
        </is>
      </c>
    </row>
    <row r="719">
      <c r="A719" s="16" t="n">
        <v>46372</v>
      </c>
      <c r="B719" t="inlineStr">
        <is>
          <t>MIA</t>
        </is>
      </c>
    </row>
    <row r="720">
      <c r="A720" s="16" t="n">
        <v>46372</v>
      </c>
      <c r="B720" t="inlineStr">
        <is>
          <t>MIL</t>
        </is>
      </c>
    </row>
    <row r="721">
      <c r="A721" s="16" t="n">
        <v>46372</v>
      </c>
      <c r="B721" t="inlineStr">
        <is>
          <t>MIN</t>
        </is>
      </c>
    </row>
    <row r="722">
      <c r="A722" s="16" t="n">
        <v>46372</v>
      </c>
      <c r="B722" t="inlineStr">
        <is>
          <t>NOR</t>
        </is>
      </c>
    </row>
    <row r="723">
      <c r="A723" s="16" t="n">
        <v>46372</v>
      </c>
      <c r="B723" t="inlineStr">
        <is>
          <t>NYK</t>
        </is>
      </c>
    </row>
    <row r="724">
      <c r="A724" s="16" t="n">
        <v>46372</v>
      </c>
      <c r="B724" t="inlineStr">
        <is>
          <t>OKC</t>
        </is>
      </c>
    </row>
    <row r="725">
      <c r="A725" s="16" t="n">
        <v>46372</v>
      </c>
      <c r="B725" t="inlineStr">
        <is>
          <t>ORL</t>
        </is>
      </c>
    </row>
    <row r="726">
      <c r="A726" s="16" t="n">
        <v>46372</v>
      </c>
      <c r="B726" t="inlineStr">
        <is>
          <t>PHO</t>
        </is>
      </c>
    </row>
    <row r="727">
      <c r="A727" s="16" t="n">
        <v>46372</v>
      </c>
      <c r="B727" t="inlineStr">
        <is>
          <t>SAC</t>
        </is>
      </c>
    </row>
    <row r="728">
      <c r="A728" s="16" t="n">
        <v>46372</v>
      </c>
      <c r="B728" t="inlineStr">
        <is>
          <t>SAS</t>
        </is>
      </c>
    </row>
    <row r="729">
      <c r="A729" s="16" t="n">
        <v>46372</v>
      </c>
      <c r="B729" t="inlineStr">
        <is>
          <t>TOR</t>
        </is>
      </c>
    </row>
    <row r="730">
      <c r="A730" s="16" t="n">
        <v>46372</v>
      </c>
      <c r="B730" t="inlineStr">
        <is>
          <t>UTH</t>
        </is>
      </c>
    </row>
    <row r="731">
      <c r="A731" s="16" t="n">
        <v>46372</v>
      </c>
      <c r="B731" t="inlineStr">
        <is>
          <t>WAS</t>
        </is>
      </c>
    </row>
    <row r="732">
      <c r="A732" s="16" t="n">
        <v>46373</v>
      </c>
      <c r="B732" t="inlineStr">
        <is>
          <t>ATL</t>
        </is>
      </c>
    </row>
    <row r="733">
      <c r="A733" s="16" t="n">
        <v>46373</v>
      </c>
      <c r="B733" t="inlineStr">
        <is>
          <t>DAL</t>
        </is>
      </c>
    </row>
    <row r="734">
      <c r="A734" s="16" t="n">
        <v>46373</v>
      </c>
      <c r="B734" t="inlineStr">
        <is>
          <t>DEN</t>
        </is>
      </c>
    </row>
    <row r="735">
      <c r="A735" s="16" t="n">
        <v>46373</v>
      </c>
      <c r="B735" t="inlineStr">
        <is>
          <t>IND</t>
        </is>
      </c>
    </row>
    <row r="736">
      <c r="A736" s="16" t="n">
        <v>46373</v>
      </c>
      <c r="B736" t="inlineStr">
        <is>
          <t>PHI</t>
        </is>
      </c>
    </row>
    <row r="737">
      <c r="A737" s="16" t="n">
        <v>46373</v>
      </c>
      <c r="B737" t="inlineStr">
        <is>
          <t>POR</t>
        </is>
      </c>
    </row>
    <row r="738">
      <c r="A738" s="16" t="n">
        <v>46374</v>
      </c>
      <c r="B738" t="inlineStr">
        <is>
          <t>BKN</t>
        </is>
      </c>
    </row>
    <row r="739">
      <c r="A739" s="16" t="n">
        <v>46374</v>
      </c>
      <c r="B739" t="inlineStr">
        <is>
          <t>BOS</t>
        </is>
      </c>
    </row>
    <row r="740">
      <c r="A740" s="16" t="n">
        <v>46374</v>
      </c>
      <c r="B740" t="inlineStr">
        <is>
          <t>CHA</t>
        </is>
      </c>
    </row>
    <row r="741">
      <c r="A741" s="16" t="n">
        <v>46374</v>
      </c>
      <c r="B741" t="inlineStr">
        <is>
          <t>CHI</t>
        </is>
      </c>
    </row>
    <row r="742">
      <c r="A742" s="16" t="n">
        <v>46374</v>
      </c>
      <c r="B742" t="inlineStr">
        <is>
          <t>CLE</t>
        </is>
      </c>
    </row>
    <row r="743">
      <c r="A743" s="16" t="n">
        <v>46374</v>
      </c>
      <c r="B743" t="inlineStr">
        <is>
          <t>DET</t>
        </is>
      </c>
    </row>
    <row r="744">
      <c r="A744" s="16" t="n">
        <v>46374</v>
      </c>
      <c r="B744" t="inlineStr">
        <is>
          <t>GSW</t>
        </is>
      </c>
    </row>
    <row r="745">
      <c r="A745" s="16" t="n">
        <v>46374</v>
      </c>
      <c r="B745" t="inlineStr">
        <is>
          <t>HOU</t>
        </is>
      </c>
    </row>
    <row r="746">
      <c r="A746" s="16" t="n">
        <v>46374</v>
      </c>
      <c r="B746" t="inlineStr">
        <is>
          <t>LAC</t>
        </is>
      </c>
    </row>
    <row r="747">
      <c r="A747" s="16" t="n">
        <v>46374</v>
      </c>
      <c r="B747" t="inlineStr">
        <is>
          <t>LAL</t>
        </is>
      </c>
    </row>
    <row r="748">
      <c r="A748" s="16" t="n">
        <v>46374</v>
      </c>
      <c r="B748" t="inlineStr">
        <is>
          <t>MEM</t>
        </is>
      </c>
    </row>
    <row r="749">
      <c r="A749" s="16" t="n">
        <v>46374</v>
      </c>
      <c r="B749" t="inlineStr">
        <is>
          <t>MIA</t>
        </is>
      </c>
    </row>
    <row r="750">
      <c r="A750" s="16" t="n">
        <v>46374</v>
      </c>
      <c r="B750" t="inlineStr">
        <is>
          <t>MIL</t>
        </is>
      </c>
    </row>
    <row r="751">
      <c r="A751" s="16" t="n">
        <v>46374</v>
      </c>
      <c r="B751" t="inlineStr">
        <is>
          <t>MIN</t>
        </is>
      </c>
    </row>
    <row r="752">
      <c r="A752" s="16" t="n">
        <v>46374</v>
      </c>
      <c r="B752" t="inlineStr">
        <is>
          <t>NOR</t>
        </is>
      </c>
    </row>
    <row r="753">
      <c r="A753" s="16" t="n">
        <v>46374</v>
      </c>
      <c r="B753" t="inlineStr">
        <is>
          <t>NYK</t>
        </is>
      </c>
    </row>
    <row r="754">
      <c r="A754" s="16" t="n">
        <v>46374</v>
      </c>
      <c r="B754" t="inlineStr">
        <is>
          <t>OKC</t>
        </is>
      </c>
    </row>
    <row r="755">
      <c r="A755" s="16" t="n">
        <v>46374</v>
      </c>
      <c r="B755" t="inlineStr">
        <is>
          <t>ORL</t>
        </is>
      </c>
    </row>
    <row r="756">
      <c r="A756" s="16" t="n">
        <v>46374</v>
      </c>
      <c r="B756" t="inlineStr">
        <is>
          <t>PHO</t>
        </is>
      </c>
    </row>
    <row r="757">
      <c r="A757" s="16" t="n">
        <v>46374</v>
      </c>
      <c r="B757" t="inlineStr">
        <is>
          <t>SAC</t>
        </is>
      </c>
    </row>
    <row r="758">
      <c r="A758" s="16" t="n">
        <v>46374</v>
      </c>
      <c r="B758" t="inlineStr">
        <is>
          <t>SAS</t>
        </is>
      </c>
    </row>
    <row r="759">
      <c r="A759" s="16" t="n">
        <v>46374</v>
      </c>
      <c r="B759" t="inlineStr">
        <is>
          <t>TOR</t>
        </is>
      </c>
    </row>
    <row r="760">
      <c r="A760" s="16" t="n">
        <v>46374</v>
      </c>
      <c r="B760" t="inlineStr">
        <is>
          <t>UTH</t>
        </is>
      </c>
    </row>
    <row r="761">
      <c r="A761" s="16" t="n">
        <v>46374</v>
      </c>
      <c r="B761" t="inlineStr">
        <is>
          <t>WAS</t>
        </is>
      </c>
    </row>
    <row r="762">
      <c r="A762" s="16" t="n">
        <v>46375</v>
      </c>
      <c r="B762" t="inlineStr">
        <is>
          <t>ATL</t>
        </is>
      </c>
    </row>
    <row r="763">
      <c r="A763" s="16" t="n">
        <v>46375</v>
      </c>
      <c r="B763" t="inlineStr">
        <is>
          <t>CHA</t>
        </is>
      </c>
    </row>
    <row r="764">
      <c r="A764" s="16" t="n">
        <v>46375</v>
      </c>
      <c r="B764" t="inlineStr">
        <is>
          <t>CHI</t>
        </is>
      </c>
    </row>
    <row r="765">
      <c r="A765" s="16" t="n">
        <v>46375</v>
      </c>
      <c r="B765" t="inlineStr">
        <is>
          <t>DAL</t>
        </is>
      </c>
    </row>
    <row r="766">
      <c r="A766" s="16" t="n">
        <v>46375</v>
      </c>
      <c r="B766" t="inlineStr">
        <is>
          <t>DEN</t>
        </is>
      </c>
    </row>
    <row r="767">
      <c r="A767" s="16" t="n">
        <v>46375</v>
      </c>
      <c r="B767" t="inlineStr">
        <is>
          <t>LAL</t>
        </is>
      </c>
    </row>
    <row r="768">
      <c r="A768" s="16" t="n">
        <v>46375</v>
      </c>
      <c r="B768" t="inlineStr">
        <is>
          <t>ORL</t>
        </is>
      </c>
    </row>
    <row r="769">
      <c r="A769" s="16" t="n">
        <v>46375</v>
      </c>
      <c r="B769" t="inlineStr">
        <is>
          <t>POR</t>
        </is>
      </c>
    </row>
    <row r="770">
      <c r="A770" s="16" t="n">
        <v>46376</v>
      </c>
      <c r="B770" t="inlineStr">
        <is>
          <t>ATL</t>
        </is>
      </c>
    </row>
    <row r="771">
      <c r="A771" s="16" t="n">
        <v>46376</v>
      </c>
      <c r="B771" t="inlineStr">
        <is>
          <t>BKN</t>
        </is>
      </c>
    </row>
    <row r="772">
      <c r="A772" s="16" t="n">
        <v>46376</v>
      </c>
      <c r="B772" t="inlineStr">
        <is>
          <t>BOS</t>
        </is>
      </c>
    </row>
    <row r="773">
      <c r="A773" s="16" t="n">
        <v>46376</v>
      </c>
      <c r="B773" t="inlineStr">
        <is>
          <t>CLE</t>
        </is>
      </c>
    </row>
    <row r="774">
      <c r="A774" s="16" t="n">
        <v>46376</v>
      </c>
      <c r="B774" t="inlineStr">
        <is>
          <t>DET</t>
        </is>
      </c>
    </row>
    <row r="775">
      <c r="A775" s="16" t="n">
        <v>46376</v>
      </c>
      <c r="B775" t="inlineStr">
        <is>
          <t>GSW</t>
        </is>
      </c>
    </row>
    <row r="776">
      <c r="A776" s="16" t="n">
        <v>46376</v>
      </c>
      <c r="B776" t="inlineStr">
        <is>
          <t>HOU</t>
        </is>
      </c>
    </row>
    <row r="777">
      <c r="A777" s="16" t="n">
        <v>46376</v>
      </c>
      <c r="B777" t="inlineStr">
        <is>
          <t>IND</t>
        </is>
      </c>
    </row>
    <row r="778">
      <c r="A778" s="16" t="n">
        <v>46376</v>
      </c>
      <c r="B778" t="inlineStr">
        <is>
          <t>LAC</t>
        </is>
      </c>
    </row>
    <row r="779">
      <c r="A779" s="16" t="n">
        <v>46376</v>
      </c>
      <c r="B779" t="inlineStr">
        <is>
          <t>MEM</t>
        </is>
      </c>
    </row>
    <row r="780">
      <c r="A780" s="16" t="n">
        <v>46376</v>
      </c>
      <c r="B780" t="inlineStr">
        <is>
          <t>MIA</t>
        </is>
      </c>
    </row>
    <row r="781">
      <c r="A781" s="16" t="n">
        <v>46376</v>
      </c>
      <c r="B781" t="inlineStr">
        <is>
          <t>MIL</t>
        </is>
      </c>
    </row>
    <row r="782">
      <c r="A782" s="16" t="n">
        <v>46376</v>
      </c>
      <c r="B782" t="inlineStr">
        <is>
          <t>NOR</t>
        </is>
      </c>
    </row>
    <row r="783">
      <c r="A783" s="16" t="n">
        <v>46376</v>
      </c>
      <c r="B783" t="inlineStr">
        <is>
          <t>OKC</t>
        </is>
      </c>
    </row>
    <row r="784">
      <c r="A784" s="16" t="n">
        <v>46376</v>
      </c>
      <c r="B784" t="inlineStr">
        <is>
          <t>PHO</t>
        </is>
      </c>
    </row>
    <row r="785">
      <c r="A785" s="16" t="n">
        <v>46376</v>
      </c>
      <c r="B785" t="inlineStr">
        <is>
          <t>SAC</t>
        </is>
      </c>
    </row>
    <row r="786">
      <c r="A786" s="16" t="n">
        <v>46376</v>
      </c>
      <c r="B786" t="inlineStr">
        <is>
          <t>SAS</t>
        </is>
      </c>
    </row>
    <row r="787">
      <c r="A787" s="16" t="n">
        <v>46376</v>
      </c>
      <c r="B787" t="inlineStr">
        <is>
          <t>TOR</t>
        </is>
      </c>
    </row>
    <row r="788">
      <c r="A788" s="16" t="n">
        <v>46376</v>
      </c>
      <c r="B788" t="inlineStr">
        <is>
          <t>UTH</t>
        </is>
      </c>
    </row>
    <row r="789">
      <c r="A789" s="16" t="n">
        <v>46376</v>
      </c>
      <c r="B789" t="inlineStr">
        <is>
          <t>WAS</t>
        </is>
      </c>
    </row>
    <row r="790">
      <c r="A790" s="16" t="n">
        <v>46377</v>
      </c>
      <c r="B790" t="inlineStr">
        <is>
          <t>BKN</t>
        </is>
      </c>
    </row>
    <row r="791">
      <c r="A791" s="16" t="n">
        <v>46377</v>
      </c>
      <c r="B791" t="inlineStr">
        <is>
          <t>CHA</t>
        </is>
      </c>
    </row>
    <row r="792">
      <c r="A792" s="16" t="n">
        <v>46377</v>
      </c>
      <c r="B792" t="inlineStr">
        <is>
          <t>CHI</t>
        </is>
      </c>
    </row>
    <row r="793">
      <c r="A793" s="16" t="n">
        <v>46377</v>
      </c>
      <c r="B793" t="inlineStr">
        <is>
          <t>CLE</t>
        </is>
      </c>
    </row>
    <row r="794">
      <c r="A794" s="16" t="n">
        <v>46377</v>
      </c>
      <c r="B794" t="inlineStr">
        <is>
          <t>DEN</t>
        </is>
      </c>
    </row>
    <row r="795">
      <c r="A795" s="16" t="n">
        <v>46377</v>
      </c>
      <c r="B795" t="inlineStr">
        <is>
          <t>IND</t>
        </is>
      </c>
    </row>
    <row r="796">
      <c r="A796" s="16" t="n">
        <v>46377</v>
      </c>
      <c r="B796" t="inlineStr">
        <is>
          <t>LAC</t>
        </is>
      </c>
    </row>
    <row r="797">
      <c r="A797" s="16" t="n">
        <v>46377</v>
      </c>
      <c r="B797" t="inlineStr">
        <is>
          <t>LAL</t>
        </is>
      </c>
    </row>
    <row r="798">
      <c r="A798" s="16" t="n">
        <v>46377</v>
      </c>
      <c r="B798" t="inlineStr">
        <is>
          <t>MEM</t>
        </is>
      </c>
    </row>
    <row r="799">
      <c r="A799" s="16" t="n">
        <v>46377</v>
      </c>
      <c r="B799" t="inlineStr">
        <is>
          <t>MIA</t>
        </is>
      </c>
    </row>
    <row r="800">
      <c r="A800" s="16" t="n">
        <v>46377</v>
      </c>
      <c r="B800" t="inlineStr">
        <is>
          <t>MIL</t>
        </is>
      </c>
    </row>
    <row r="801">
      <c r="A801" s="16" t="n">
        <v>46377</v>
      </c>
      <c r="B801" t="inlineStr">
        <is>
          <t>MIN</t>
        </is>
      </c>
    </row>
    <row r="802">
      <c r="A802" s="16" t="n">
        <v>46377</v>
      </c>
      <c r="B802" t="inlineStr">
        <is>
          <t>NOR</t>
        </is>
      </c>
    </row>
    <row r="803">
      <c r="A803" s="16" t="n">
        <v>46377</v>
      </c>
      <c r="B803" t="inlineStr">
        <is>
          <t>NYK</t>
        </is>
      </c>
    </row>
    <row r="804">
      <c r="A804" s="16" t="n">
        <v>46377</v>
      </c>
      <c r="B804" t="inlineStr">
        <is>
          <t>ORL</t>
        </is>
      </c>
    </row>
    <row r="805">
      <c r="A805" s="16" t="n">
        <v>46377</v>
      </c>
      <c r="B805" t="inlineStr">
        <is>
          <t>PHI</t>
        </is>
      </c>
    </row>
    <row r="806">
      <c r="A806" s="16" t="n">
        <v>46377</v>
      </c>
      <c r="B806" t="inlineStr">
        <is>
          <t>PHO</t>
        </is>
      </c>
    </row>
    <row r="807">
      <c r="A807" s="16" t="n">
        <v>46377</v>
      </c>
      <c r="B807" t="inlineStr">
        <is>
          <t>POR</t>
        </is>
      </c>
    </row>
    <row r="808">
      <c r="A808" s="16" t="n">
        <v>46377</v>
      </c>
      <c r="B808" t="inlineStr">
        <is>
          <t>SAC</t>
        </is>
      </c>
    </row>
    <row r="809">
      <c r="A809" s="16" t="n">
        <v>46377</v>
      </c>
      <c r="B809" t="inlineStr">
        <is>
          <t>SAS</t>
        </is>
      </c>
    </row>
    <row r="810">
      <c r="A810" s="16" t="n">
        <v>46378</v>
      </c>
      <c r="B810" t="inlineStr">
        <is>
          <t>DAL</t>
        </is>
      </c>
    </row>
    <row r="811">
      <c r="A811" s="16" t="n">
        <v>46378</v>
      </c>
      <c r="B811" t="inlineStr">
        <is>
          <t>DET</t>
        </is>
      </c>
    </row>
    <row r="812">
      <c r="A812" s="16" t="n">
        <v>46378</v>
      </c>
      <c r="B812" t="inlineStr">
        <is>
          <t>GSW</t>
        </is>
      </c>
    </row>
    <row r="813">
      <c r="A813" s="16" t="n">
        <v>46378</v>
      </c>
      <c r="B813" t="inlineStr">
        <is>
          <t>OKC</t>
        </is>
      </c>
    </row>
    <row r="814">
      <c r="A814" s="16" t="n">
        <v>46378</v>
      </c>
      <c r="B814" t="inlineStr">
        <is>
          <t>TOR</t>
        </is>
      </c>
    </row>
    <row r="815">
      <c r="A815" s="16" t="n">
        <v>46378</v>
      </c>
      <c r="B815" t="inlineStr">
        <is>
          <t>WAS</t>
        </is>
      </c>
    </row>
    <row r="816">
      <c r="A816" s="16" t="n">
        <v>46379</v>
      </c>
      <c r="B816" t="inlineStr">
        <is>
          <t>ATL</t>
        </is>
      </c>
    </row>
    <row r="817">
      <c r="A817" s="16" t="n">
        <v>46379</v>
      </c>
      <c r="B817" t="inlineStr">
        <is>
          <t>BKN</t>
        </is>
      </c>
    </row>
    <row r="818">
      <c r="A818" s="16" t="n">
        <v>46379</v>
      </c>
      <c r="B818" t="inlineStr">
        <is>
          <t>BOS</t>
        </is>
      </c>
    </row>
    <row r="819">
      <c r="A819" s="16" t="n">
        <v>46379</v>
      </c>
      <c r="B819" t="inlineStr">
        <is>
          <t>CHA</t>
        </is>
      </c>
    </row>
    <row r="820">
      <c r="A820" s="16" t="n">
        <v>46379</v>
      </c>
      <c r="B820" t="inlineStr">
        <is>
          <t>CHI</t>
        </is>
      </c>
    </row>
    <row r="821">
      <c r="A821" s="16" t="n">
        <v>46379</v>
      </c>
      <c r="B821" t="inlineStr">
        <is>
          <t>CLE</t>
        </is>
      </c>
    </row>
    <row r="822">
      <c r="A822" s="16" t="n">
        <v>46379</v>
      </c>
      <c r="B822" t="inlineStr">
        <is>
          <t>DAL</t>
        </is>
      </c>
    </row>
    <row r="823">
      <c r="A823" s="16" t="n">
        <v>46379</v>
      </c>
      <c r="B823" t="inlineStr">
        <is>
          <t>DEN</t>
        </is>
      </c>
    </row>
    <row r="824">
      <c r="A824" s="16" t="n">
        <v>46379</v>
      </c>
      <c r="B824" t="inlineStr">
        <is>
          <t>DET</t>
        </is>
      </c>
    </row>
    <row r="825">
      <c r="A825" s="16" t="n">
        <v>46379</v>
      </c>
      <c r="B825" t="inlineStr">
        <is>
          <t>GSW</t>
        </is>
      </c>
    </row>
    <row r="826">
      <c r="A826" s="16" t="n">
        <v>46379</v>
      </c>
      <c r="B826" t="inlineStr">
        <is>
          <t>HOU</t>
        </is>
      </c>
    </row>
    <row r="827">
      <c r="A827" s="16" t="n">
        <v>46379</v>
      </c>
      <c r="B827" t="inlineStr">
        <is>
          <t>IND</t>
        </is>
      </c>
    </row>
    <row r="828">
      <c r="A828" s="16" t="n">
        <v>46379</v>
      </c>
      <c r="B828" t="inlineStr">
        <is>
          <t>LAC</t>
        </is>
      </c>
    </row>
    <row r="829">
      <c r="A829" s="16" t="n">
        <v>46379</v>
      </c>
      <c r="B829" t="inlineStr">
        <is>
          <t>LAL</t>
        </is>
      </c>
    </row>
    <row r="830">
      <c r="A830" s="16" t="n">
        <v>46379</v>
      </c>
      <c r="B830" t="inlineStr">
        <is>
          <t>MEM</t>
        </is>
      </c>
    </row>
    <row r="831">
      <c r="A831" s="16" t="n">
        <v>46379</v>
      </c>
      <c r="B831" t="inlineStr">
        <is>
          <t>MIA</t>
        </is>
      </c>
    </row>
    <row r="832">
      <c r="A832" s="16" t="n">
        <v>46379</v>
      </c>
      <c r="B832" t="inlineStr">
        <is>
          <t>MIL</t>
        </is>
      </c>
    </row>
    <row r="833">
      <c r="A833" s="16" t="n">
        <v>46379</v>
      </c>
      <c r="B833" t="inlineStr">
        <is>
          <t>MIN</t>
        </is>
      </c>
    </row>
    <row r="834">
      <c r="A834" s="16" t="n">
        <v>46379</v>
      </c>
      <c r="B834" t="inlineStr">
        <is>
          <t>NOR</t>
        </is>
      </c>
    </row>
    <row r="835">
      <c r="A835" s="16" t="n">
        <v>46379</v>
      </c>
      <c r="B835" t="inlineStr">
        <is>
          <t>NYK</t>
        </is>
      </c>
    </row>
    <row r="836">
      <c r="A836" s="16" t="n">
        <v>46379</v>
      </c>
      <c r="B836" t="inlineStr">
        <is>
          <t>OKC</t>
        </is>
      </c>
    </row>
    <row r="837">
      <c r="A837" s="16" t="n">
        <v>46379</v>
      </c>
      <c r="B837" t="inlineStr">
        <is>
          <t>ORL</t>
        </is>
      </c>
    </row>
    <row r="838">
      <c r="A838" s="16" t="n">
        <v>46379</v>
      </c>
      <c r="B838" t="inlineStr">
        <is>
          <t>PHI</t>
        </is>
      </c>
    </row>
    <row r="839">
      <c r="A839" s="16" t="n">
        <v>46379</v>
      </c>
      <c r="B839" t="inlineStr">
        <is>
          <t>PHO</t>
        </is>
      </c>
    </row>
    <row r="840">
      <c r="A840" s="16" t="n">
        <v>46379</v>
      </c>
      <c r="B840" t="inlineStr">
        <is>
          <t>POR</t>
        </is>
      </c>
    </row>
    <row r="841">
      <c r="A841" s="16" t="n">
        <v>46379</v>
      </c>
      <c r="B841" t="inlineStr">
        <is>
          <t>SAC</t>
        </is>
      </c>
    </row>
    <row r="842">
      <c r="A842" s="16" t="n">
        <v>46379</v>
      </c>
      <c r="B842" t="inlineStr">
        <is>
          <t>SAS</t>
        </is>
      </c>
    </row>
    <row r="843">
      <c r="A843" s="16" t="n">
        <v>46379</v>
      </c>
      <c r="B843" t="inlineStr">
        <is>
          <t>TOR</t>
        </is>
      </c>
    </row>
    <row r="844">
      <c r="A844" s="16" t="n">
        <v>46379</v>
      </c>
      <c r="B844" t="inlineStr">
        <is>
          <t>UTH</t>
        </is>
      </c>
    </row>
    <row r="845">
      <c r="A845" s="16" t="n">
        <v>46379</v>
      </c>
      <c r="B845" t="inlineStr">
        <is>
          <t>WAS</t>
        </is>
      </c>
    </row>
    <row r="846">
      <c r="A846" s="16" t="n">
        <v>46381</v>
      </c>
      <c r="B846" t="inlineStr">
        <is>
          <t>BOS</t>
        </is>
      </c>
    </row>
    <row r="847">
      <c r="A847" s="16" t="n">
        <v>46381</v>
      </c>
      <c r="B847" t="inlineStr">
        <is>
          <t>DEN</t>
        </is>
      </c>
    </row>
    <row r="848">
      <c r="A848" s="16" t="n">
        <v>46381</v>
      </c>
      <c r="B848" t="inlineStr">
        <is>
          <t>GSW</t>
        </is>
      </c>
    </row>
    <row r="849">
      <c r="A849" s="16" t="n">
        <v>46381</v>
      </c>
      <c r="B849" t="inlineStr">
        <is>
          <t>LAL</t>
        </is>
      </c>
    </row>
    <row r="850">
      <c r="A850" s="16" t="n">
        <v>46381</v>
      </c>
      <c r="B850" t="inlineStr">
        <is>
          <t>MIA</t>
        </is>
      </c>
    </row>
    <row r="851">
      <c r="A851" s="16" t="n">
        <v>46381</v>
      </c>
      <c r="B851" t="inlineStr">
        <is>
          <t>MIN</t>
        </is>
      </c>
    </row>
    <row r="852">
      <c r="A852" s="16" t="n">
        <v>46381</v>
      </c>
      <c r="B852" t="inlineStr">
        <is>
          <t>NYK</t>
        </is>
      </c>
    </row>
    <row r="853">
      <c r="A853" s="16" t="n">
        <v>46381</v>
      </c>
      <c r="B853" t="inlineStr">
        <is>
          <t>OKC</t>
        </is>
      </c>
    </row>
    <row r="854">
      <c r="A854" s="16" t="n">
        <v>46381</v>
      </c>
      <c r="B854" t="inlineStr">
        <is>
          <t>PHI</t>
        </is>
      </c>
    </row>
    <row r="855">
      <c r="A855" s="16" t="n">
        <v>46381</v>
      </c>
      <c r="B855" t="inlineStr">
        <is>
          <t>SAS</t>
        </is>
      </c>
    </row>
    <row r="856">
      <c r="A856" s="16" t="n">
        <v>46382</v>
      </c>
      <c r="B856" t="inlineStr">
        <is>
          <t>ATL</t>
        </is>
      </c>
    </row>
    <row r="857">
      <c r="A857" s="16" t="n">
        <v>46382</v>
      </c>
      <c r="B857" t="inlineStr">
        <is>
          <t>BKN</t>
        </is>
      </c>
    </row>
    <row r="858">
      <c r="A858" s="16" t="n">
        <v>46382</v>
      </c>
      <c r="B858" t="inlineStr">
        <is>
          <t>CHA</t>
        </is>
      </c>
    </row>
    <row r="859">
      <c r="A859" s="16" t="n">
        <v>46382</v>
      </c>
      <c r="B859" t="inlineStr">
        <is>
          <t>CHI</t>
        </is>
      </c>
    </row>
    <row r="860">
      <c r="A860" s="16" t="n">
        <v>46382</v>
      </c>
      <c r="B860" t="inlineStr">
        <is>
          <t>DAL</t>
        </is>
      </c>
    </row>
    <row r="861">
      <c r="A861" s="16" t="n">
        <v>46382</v>
      </c>
      <c r="B861" t="inlineStr">
        <is>
          <t>DET</t>
        </is>
      </c>
    </row>
    <row r="862">
      <c r="A862" s="16" t="n">
        <v>46382</v>
      </c>
      <c r="B862" t="inlineStr">
        <is>
          <t>IND</t>
        </is>
      </c>
    </row>
    <row r="863">
      <c r="A863" s="16" t="n">
        <v>46382</v>
      </c>
      <c r="B863" t="inlineStr">
        <is>
          <t>LAC</t>
        </is>
      </c>
    </row>
    <row r="864">
      <c r="A864" s="16" t="n">
        <v>46382</v>
      </c>
      <c r="B864" t="inlineStr">
        <is>
          <t>MEM</t>
        </is>
      </c>
    </row>
    <row r="865">
      <c r="A865" s="16" t="n">
        <v>46382</v>
      </c>
      <c r="B865" t="inlineStr">
        <is>
          <t>NOR</t>
        </is>
      </c>
    </row>
    <row r="866">
      <c r="A866" s="16" t="n">
        <v>46382</v>
      </c>
      <c r="B866" t="inlineStr">
        <is>
          <t>ORL</t>
        </is>
      </c>
    </row>
    <row r="867">
      <c r="A867" s="16" t="n">
        <v>46382</v>
      </c>
      <c r="B867" t="inlineStr">
        <is>
          <t>PHO</t>
        </is>
      </c>
    </row>
    <row r="868">
      <c r="A868" s="16" t="n">
        <v>46382</v>
      </c>
      <c r="B868" t="inlineStr">
        <is>
          <t>POR</t>
        </is>
      </c>
    </row>
    <row r="869">
      <c r="A869" s="16" t="n">
        <v>46382</v>
      </c>
      <c r="B869" t="inlineStr">
        <is>
          <t>TOR</t>
        </is>
      </c>
    </row>
    <row r="870">
      <c r="A870" s="16" t="n">
        <v>46382</v>
      </c>
      <c r="B870" t="inlineStr">
        <is>
          <t>UTH</t>
        </is>
      </c>
    </row>
    <row r="871">
      <c r="A871" s="16" t="n">
        <v>46382</v>
      </c>
      <c r="B871" t="inlineStr">
        <is>
          <t>WAS</t>
        </is>
      </c>
    </row>
    <row r="872">
      <c r="A872" s="16" t="n">
        <v>46383</v>
      </c>
      <c r="B872" t="inlineStr">
        <is>
          <t>ATL</t>
        </is>
      </c>
    </row>
    <row r="873">
      <c r="A873" s="16" t="n">
        <v>46383</v>
      </c>
      <c r="B873" t="inlineStr">
        <is>
          <t>BKN</t>
        </is>
      </c>
    </row>
    <row r="874">
      <c r="A874" s="16" t="n">
        <v>46383</v>
      </c>
      <c r="B874" t="inlineStr">
        <is>
          <t>CHA</t>
        </is>
      </c>
    </row>
    <row r="875">
      <c r="A875" s="16" t="n">
        <v>46383</v>
      </c>
      <c r="B875" t="inlineStr">
        <is>
          <t>CLE</t>
        </is>
      </c>
    </row>
    <row r="876">
      <c r="A876" s="16" t="n">
        <v>46383</v>
      </c>
      <c r="B876" t="inlineStr">
        <is>
          <t>DEN</t>
        </is>
      </c>
    </row>
    <row r="877">
      <c r="A877" s="16" t="n">
        <v>46383</v>
      </c>
      <c r="B877" t="inlineStr">
        <is>
          <t>DET</t>
        </is>
      </c>
    </row>
    <row r="878">
      <c r="A878" s="16" t="n">
        <v>46383</v>
      </c>
      <c r="B878" t="inlineStr">
        <is>
          <t>GSW</t>
        </is>
      </c>
    </row>
    <row r="879">
      <c r="A879" s="16" t="n">
        <v>46383</v>
      </c>
      <c r="B879" t="inlineStr">
        <is>
          <t>HOU</t>
        </is>
      </c>
    </row>
    <row r="880">
      <c r="A880" s="16" t="n">
        <v>46383</v>
      </c>
      <c r="B880" t="inlineStr">
        <is>
          <t>IND</t>
        </is>
      </c>
    </row>
    <row r="881">
      <c r="A881" s="16" t="n">
        <v>46383</v>
      </c>
      <c r="B881" t="inlineStr">
        <is>
          <t>LAC</t>
        </is>
      </c>
    </row>
    <row r="882">
      <c r="A882" s="16" t="n">
        <v>46383</v>
      </c>
      <c r="B882" t="inlineStr">
        <is>
          <t>LAL</t>
        </is>
      </c>
    </row>
    <row r="883">
      <c r="A883" s="16" t="n">
        <v>46383</v>
      </c>
      <c r="B883" t="inlineStr">
        <is>
          <t>MEM</t>
        </is>
      </c>
    </row>
    <row r="884">
      <c r="A884" s="16" t="n">
        <v>46383</v>
      </c>
      <c r="B884" t="inlineStr">
        <is>
          <t>MIA</t>
        </is>
      </c>
    </row>
    <row r="885">
      <c r="A885" s="16" t="n">
        <v>46383</v>
      </c>
      <c r="B885" t="inlineStr">
        <is>
          <t>MIL</t>
        </is>
      </c>
    </row>
    <row r="886">
      <c r="A886" s="16" t="n">
        <v>46383</v>
      </c>
      <c r="B886" t="inlineStr">
        <is>
          <t>MIN</t>
        </is>
      </c>
    </row>
    <row r="887">
      <c r="A887" s="16" t="n">
        <v>46383</v>
      </c>
      <c r="B887" t="inlineStr">
        <is>
          <t>NYK</t>
        </is>
      </c>
    </row>
    <row r="888">
      <c r="A888" s="16" t="n">
        <v>46383</v>
      </c>
      <c r="B888" t="inlineStr">
        <is>
          <t>OKC</t>
        </is>
      </c>
    </row>
    <row r="889">
      <c r="A889" s="16" t="n">
        <v>46383</v>
      </c>
      <c r="B889" t="inlineStr">
        <is>
          <t>ORL</t>
        </is>
      </c>
    </row>
    <row r="890">
      <c r="A890" s="16" t="n">
        <v>46383</v>
      </c>
      <c r="B890" t="inlineStr">
        <is>
          <t>PHI</t>
        </is>
      </c>
    </row>
    <row r="891">
      <c r="A891" s="16" t="n">
        <v>46383</v>
      </c>
      <c r="B891" t="inlineStr">
        <is>
          <t>POR</t>
        </is>
      </c>
    </row>
    <row r="892">
      <c r="A892" s="16" t="n">
        <v>46383</v>
      </c>
      <c r="B892" t="inlineStr">
        <is>
          <t>SAC</t>
        </is>
      </c>
    </row>
    <row r="893">
      <c r="A893" s="16" t="n">
        <v>46383</v>
      </c>
      <c r="B893" t="inlineStr">
        <is>
          <t>SAS</t>
        </is>
      </c>
    </row>
    <row r="894">
      <c r="A894" s="16" t="n">
        <v>46383</v>
      </c>
      <c r="B894" t="inlineStr">
        <is>
          <t>UTH</t>
        </is>
      </c>
    </row>
    <row r="895">
      <c r="A895" s="16" t="n">
        <v>46383</v>
      </c>
      <c r="B895" t="inlineStr">
        <is>
          <t>WAS</t>
        </is>
      </c>
    </row>
    <row r="896">
      <c r="A896" s="16" t="n">
        <v>46384</v>
      </c>
      <c r="B896" t="inlineStr">
        <is>
          <t>BOS</t>
        </is>
      </c>
    </row>
    <row r="897">
      <c r="A897" s="16" t="n">
        <v>46384</v>
      </c>
      <c r="B897" t="inlineStr">
        <is>
          <t>CLE</t>
        </is>
      </c>
    </row>
    <row r="898">
      <c r="A898" s="16" t="n">
        <v>46384</v>
      </c>
      <c r="B898" t="inlineStr">
        <is>
          <t>DEN</t>
        </is>
      </c>
    </row>
    <row r="899">
      <c r="A899" s="16" t="n">
        <v>46384</v>
      </c>
      <c r="B899" t="inlineStr">
        <is>
          <t>GSW</t>
        </is>
      </c>
    </row>
    <row r="900">
      <c r="A900" s="16" t="n">
        <v>46384</v>
      </c>
      <c r="B900" t="inlineStr">
        <is>
          <t>MIN</t>
        </is>
      </c>
    </row>
    <row r="901">
      <c r="A901" s="16" t="n">
        <v>46384</v>
      </c>
      <c r="B901" t="inlineStr">
        <is>
          <t>NOR</t>
        </is>
      </c>
    </row>
    <row r="902">
      <c r="A902" s="16" t="n">
        <v>46384</v>
      </c>
      <c r="B902" t="inlineStr">
        <is>
          <t>PHO</t>
        </is>
      </c>
    </row>
    <row r="903">
      <c r="A903" s="16" t="n">
        <v>46384</v>
      </c>
      <c r="B903" t="inlineStr">
        <is>
          <t>TOR</t>
        </is>
      </c>
    </row>
    <row r="904">
      <c r="A904" s="16" t="n">
        <v>46385</v>
      </c>
      <c r="B904" t="inlineStr">
        <is>
          <t>ATL</t>
        </is>
      </c>
    </row>
    <row r="905">
      <c r="A905" s="16" t="n">
        <v>46385</v>
      </c>
      <c r="B905" t="inlineStr">
        <is>
          <t>BKN</t>
        </is>
      </c>
    </row>
    <row r="906">
      <c r="A906" s="16" t="n">
        <v>46385</v>
      </c>
      <c r="B906" t="inlineStr">
        <is>
          <t>CHA</t>
        </is>
      </c>
    </row>
    <row r="907">
      <c r="A907" s="16" t="n">
        <v>46385</v>
      </c>
      <c r="B907" t="inlineStr">
        <is>
          <t>CHI</t>
        </is>
      </c>
    </row>
    <row r="908">
      <c r="A908" s="16" t="n">
        <v>46385</v>
      </c>
      <c r="B908" t="inlineStr">
        <is>
          <t>DAL</t>
        </is>
      </c>
    </row>
    <row r="909">
      <c r="A909" s="16" t="n">
        <v>46385</v>
      </c>
      <c r="B909" t="inlineStr">
        <is>
          <t>HOU</t>
        </is>
      </c>
    </row>
    <row r="910">
      <c r="A910" s="16" t="n">
        <v>46385</v>
      </c>
      <c r="B910" t="inlineStr">
        <is>
          <t>IND</t>
        </is>
      </c>
    </row>
    <row r="911">
      <c r="A911" s="16" t="n">
        <v>46385</v>
      </c>
      <c r="B911" t="inlineStr">
        <is>
          <t>LAC</t>
        </is>
      </c>
    </row>
    <row r="912">
      <c r="A912" s="16" t="n">
        <v>46385</v>
      </c>
      <c r="B912" t="inlineStr">
        <is>
          <t>LAL</t>
        </is>
      </c>
    </row>
    <row r="913">
      <c r="A913" s="16" t="n">
        <v>46385</v>
      </c>
      <c r="B913" t="inlineStr">
        <is>
          <t>MEM</t>
        </is>
      </c>
    </row>
    <row r="914">
      <c r="A914" s="16" t="n">
        <v>46385</v>
      </c>
      <c r="B914" t="inlineStr">
        <is>
          <t>MIA</t>
        </is>
      </c>
    </row>
    <row r="915">
      <c r="A915" s="16" t="n">
        <v>46385</v>
      </c>
      <c r="B915" t="inlineStr">
        <is>
          <t>MIL</t>
        </is>
      </c>
    </row>
    <row r="916">
      <c r="A916" s="16" t="n">
        <v>46385</v>
      </c>
      <c r="B916" t="inlineStr">
        <is>
          <t>OKC</t>
        </is>
      </c>
    </row>
    <row r="917">
      <c r="A917" s="16" t="n">
        <v>46385</v>
      </c>
      <c r="B917" t="inlineStr">
        <is>
          <t>ORL</t>
        </is>
      </c>
    </row>
    <row r="918">
      <c r="A918" s="16" t="n">
        <v>46385</v>
      </c>
      <c r="B918" t="inlineStr">
        <is>
          <t>PHI</t>
        </is>
      </c>
    </row>
    <row r="919">
      <c r="A919" s="16" t="n">
        <v>46385</v>
      </c>
      <c r="B919" t="inlineStr">
        <is>
          <t>POR</t>
        </is>
      </c>
    </row>
    <row r="920">
      <c r="A920" s="16" t="n">
        <v>46385</v>
      </c>
      <c r="B920" t="inlineStr">
        <is>
          <t>SAC</t>
        </is>
      </c>
    </row>
    <row r="921">
      <c r="A921" s="16" t="n">
        <v>46385</v>
      </c>
      <c r="B921" t="inlineStr">
        <is>
          <t>SAS</t>
        </is>
      </c>
    </row>
    <row r="922">
      <c r="A922" s="16" t="n">
        <v>46386</v>
      </c>
      <c r="B922" t="inlineStr">
        <is>
          <t>BOS</t>
        </is>
      </c>
    </row>
    <row r="923">
      <c r="A923" s="16" t="n">
        <v>46386</v>
      </c>
      <c r="B923" t="inlineStr">
        <is>
          <t>CHI</t>
        </is>
      </c>
    </row>
    <row r="924">
      <c r="A924" s="16" t="n">
        <v>46386</v>
      </c>
      <c r="B924" t="inlineStr">
        <is>
          <t>DET</t>
        </is>
      </c>
    </row>
    <row r="925">
      <c r="A925" s="16" t="n">
        <v>46386</v>
      </c>
      <c r="B925" t="inlineStr">
        <is>
          <t>GSW</t>
        </is>
      </c>
    </row>
    <row r="926">
      <c r="A926" s="16" t="n">
        <v>46386</v>
      </c>
      <c r="B926" t="inlineStr">
        <is>
          <t>HOU</t>
        </is>
      </c>
    </row>
    <row r="927">
      <c r="A927" s="16" t="n">
        <v>46386</v>
      </c>
      <c r="B927" t="inlineStr">
        <is>
          <t>NOR</t>
        </is>
      </c>
    </row>
    <row r="928">
      <c r="A928" s="16" t="n">
        <v>46386</v>
      </c>
      <c r="B928" t="inlineStr">
        <is>
          <t>NYK</t>
        </is>
      </c>
    </row>
    <row r="929">
      <c r="A929" s="16" t="n">
        <v>46386</v>
      </c>
      <c r="B929" t="inlineStr">
        <is>
          <t>PHI</t>
        </is>
      </c>
    </row>
    <row r="930">
      <c r="A930" s="16" t="n">
        <v>46386</v>
      </c>
      <c r="B930" t="inlineStr">
        <is>
          <t>PHO</t>
        </is>
      </c>
    </row>
    <row r="931">
      <c r="A931" s="16" t="n">
        <v>46386</v>
      </c>
      <c r="B931" t="inlineStr">
        <is>
          <t>TOR</t>
        </is>
      </c>
    </row>
    <row r="932">
      <c r="A932" s="16" t="n">
        <v>46386</v>
      </c>
      <c r="B932" t="inlineStr">
        <is>
          <t>UTH</t>
        </is>
      </c>
    </row>
    <row r="933">
      <c r="A933" s="16" t="n">
        <v>46386</v>
      </c>
      <c r="B933" t="inlineStr">
        <is>
          <t>WAS</t>
        </is>
      </c>
    </row>
    <row r="934">
      <c r="A934" s="16" t="n">
        <v>46387</v>
      </c>
      <c r="B934" t="inlineStr">
        <is>
          <t>ATL</t>
        </is>
      </c>
    </row>
    <row r="935">
      <c r="A935" s="16" t="n">
        <v>46387</v>
      </c>
      <c r="B935" t="inlineStr">
        <is>
          <t>BKN</t>
        </is>
      </c>
    </row>
    <row r="936">
      <c r="A936" s="16" t="n">
        <v>46387</v>
      </c>
      <c r="B936" t="inlineStr">
        <is>
          <t>CHA</t>
        </is>
      </c>
    </row>
    <row r="937">
      <c r="A937" s="16" t="n">
        <v>46387</v>
      </c>
      <c r="B937" t="inlineStr">
        <is>
          <t>CLE</t>
        </is>
      </c>
    </row>
    <row r="938">
      <c r="A938" s="16" t="n">
        <v>46387</v>
      </c>
      <c r="B938" t="inlineStr">
        <is>
          <t>DEN</t>
        </is>
      </c>
    </row>
    <row r="939">
      <c r="A939" s="16" t="n">
        <v>46387</v>
      </c>
      <c r="B939" t="inlineStr">
        <is>
          <t>IND</t>
        </is>
      </c>
    </row>
    <row r="940">
      <c r="A940" s="16" t="n">
        <v>46387</v>
      </c>
      <c r="B940" t="inlineStr">
        <is>
          <t>LAC</t>
        </is>
      </c>
    </row>
    <row r="941">
      <c r="A941" s="16" t="n">
        <v>46387</v>
      </c>
      <c r="B941" t="inlineStr">
        <is>
          <t>LAL</t>
        </is>
      </c>
    </row>
    <row r="942">
      <c r="A942" s="16" t="n">
        <v>46387</v>
      </c>
      <c r="B942" t="inlineStr">
        <is>
          <t>MIA</t>
        </is>
      </c>
    </row>
    <row r="943">
      <c r="A943" s="16" t="n">
        <v>46387</v>
      </c>
      <c r="B943" t="inlineStr">
        <is>
          <t>MIL</t>
        </is>
      </c>
    </row>
    <row r="944">
      <c r="A944" s="16" t="n">
        <v>46387</v>
      </c>
      <c r="B944" t="inlineStr">
        <is>
          <t>MIN</t>
        </is>
      </c>
    </row>
    <row r="945">
      <c r="A945" s="16" t="n">
        <v>46387</v>
      </c>
      <c r="B945" t="inlineStr">
        <is>
          <t>NOR</t>
        </is>
      </c>
    </row>
    <row r="946">
      <c r="A946" s="16" t="n">
        <v>46387</v>
      </c>
      <c r="B946" t="inlineStr">
        <is>
          <t>NYK</t>
        </is>
      </c>
    </row>
    <row r="947">
      <c r="A947" s="16" t="n">
        <v>46387</v>
      </c>
      <c r="B947" t="inlineStr">
        <is>
          <t>OKC</t>
        </is>
      </c>
    </row>
    <row r="948">
      <c r="A948" s="16" t="n">
        <v>46387</v>
      </c>
      <c r="B948" t="inlineStr">
        <is>
          <t>ORL</t>
        </is>
      </c>
    </row>
    <row r="949">
      <c r="A949" s="16" t="n">
        <v>46387</v>
      </c>
      <c r="B949" t="inlineStr">
        <is>
          <t>PHO</t>
        </is>
      </c>
    </row>
    <row r="950">
      <c r="A950" s="16" t="n">
        <v>46387</v>
      </c>
      <c r="B950" t="inlineStr">
        <is>
          <t>SAC</t>
        </is>
      </c>
    </row>
    <row r="951">
      <c r="A951" s="16" t="n">
        <v>46387</v>
      </c>
      <c r="B951" t="inlineStr">
        <is>
          <t>SAS</t>
        </is>
      </c>
    </row>
    <row r="952">
      <c r="A952" s="16" t="n">
        <v>46388</v>
      </c>
      <c r="B952" t="inlineStr">
        <is>
          <t>BOS</t>
        </is>
      </c>
    </row>
    <row r="953">
      <c r="A953" s="16" t="n">
        <v>46388</v>
      </c>
      <c r="B953" t="inlineStr">
        <is>
          <t>DAL</t>
        </is>
      </c>
    </row>
    <row r="954">
      <c r="A954" s="16" t="n">
        <v>46388</v>
      </c>
      <c r="B954" t="inlineStr">
        <is>
          <t>DET</t>
        </is>
      </c>
    </row>
    <row r="955">
      <c r="A955" s="16" t="n">
        <v>46388</v>
      </c>
      <c r="B955" t="inlineStr">
        <is>
          <t>HOU</t>
        </is>
      </c>
    </row>
    <row r="956">
      <c r="A956" s="16" t="n">
        <v>46388</v>
      </c>
      <c r="B956" t="inlineStr">
        <is>
          <t>LAC</t>
        </is>
      </c>
    </row>
    <row r="957">
      <c r="A957" s="16" t="n">
        <v>46388</v>
      </c>
      <c r="B957" t="inlineStr">
        <is>
          <t>MIL</t>
        </is>
      </c>
    </row>
    <row r="958">
      <c r="A958" s="16" t="n">
        <v>46388</v>
      </c>
      <c r="B958" t="inlineStr">
        <is>
          <t>ORL</t>
        </is>
      </c>
    </row>
    <row r="959">
      <c r="A959" s="16" t="n">
        <v>46388</v>
      </c>
      <c r="B959" t="inlineStr">
        <is>
          <t>PHI</t>
        </is>
      </c>
    </row>
    <row r="960">
      <c r="A960" s="16" t="n">
        <v>46388</v>
      </c>
      <c r="B960" t="inlineStr">
        <is>
          <t>SAS</t>
        </is>
      </c>
    </row>
    <row r="961">
      <c r="A961" s="16" t="n">
        <v>46388</v>
      </c>
      <c r="B961" t="inlineStr">
        <is>
          <t>TOR</t>
        </is>
      </c>
    </row>
    <row r="962">
      <c r="A962" s="16" t="n">
        <v>46388</v>
      </c>
      <c r="B962" t="inlineStr">
        <is>
          <t>UTH</t>
        </is>
      </c>
    </row>
    <row r="963">
      <c r="A963" s="16" t="n">
        <v>46388</v>
      </c>
      <c r="B963" t="inlineStr">
        <is>
          <t>WAS</t>
        </is>
      </c>
    </row>
    <row r="964">
      <c r="A964" s="16" t="n">
        <v>46389</v>
      </c>
      <c r="B964" t="inlineStr">
        <is>
          <t>ATL</t>
        </is>
      </c>
    </row>
    <row r="965">
      <c r="A965" s="16" t="n">
        <v>46389</v>
      </c>
      <c r="B965" t="inlineStr">
        <is>
          <t>BKN</t>
        </is>
      </c>
    </row>
    <row r="966">
      <c r="A966" s="16" t="n">
        <v>46389</v>
      </c>
      <c r="B966" t="inlineStr">
        <is>
          <t>BOS</t>
        </is>
      </c>
    </row>
    <row r="967">
      <c r="A967" s="16" t="n">
        <v>46389</v>
      </c>
      <c r="B967" t="inlineStr">
        <is>
          <t>CHA</t>
        </is>
      </c>
    </row>
    <row r="968">
      <c r="A968" s="16" t="n">
        <v>46389</v>
      </c>
      <c r="B968" t="inlineStr">
        <is>
          <t>CHI</t>
        </is>
      </c>
    </row>
    <row r="969">
      <c r="A969" s="16" t="n">
        <v>46389</v>
      </c>
      <c r="B969" t="inlineStr">
        <is>
          <t>CLE</t>
        </is>
      </c>
    </row>
    <row r="970">
      <c r="A970" s="16" t="n">
        <v>46389</v>
      </c>
      <c r="B970" t="inlineStr">
        <is>
          <t>DAL</t>
        </is>
      </c>
    </row>
    <row r="971">
      <c r="A971" s="16" t="n">
        <v>46389</v>
      </c>
      <c r="B971" t="inlineStr">
        <is>
          <t>DEN</t>
        </is>
      </c>
    </row>
    <row r="972">
      <c r="A972" s="16" t="n">
        <v>46389</v>
      </c>
      <c r="B972" t="inlineStr">
        <is>
          <t>GSW</t>
        </is>
      </c>
    </row>
    <row r="973">
      <c r="A973" s="16" t="n">
        <v>46389</v>
      </c>
      <c r="B973" t="inlineStr">
        <is>
          <t>IND</t>
        </is>
      </c>
    </row>
    <row r="974">
      <c r="A974" s="16" t="n">
        <v>46389</v>
      </c>
      <c r="B974" t="inlineStr">
        <is>
          <t>LAL</t>
        </is>
      </c>
    </row>
    <row r="975">
      <c r="A975" s="16" t="n">
        <v>46389</v>
      </c>
      <c r="B975" t="inlineStr">
        <is>
          <t>MIA</t>
        </is>
      </c>
    </row>
    <row r="976">
      <c r="A976" s="16" t="n">
        <v>46389</v>
      </c>
      <c r="B976" t="inlineStr">
        <is>
          <t>MIN</t>
        </is>
      </c>
    </row>
    <row r="977">
      <c r="A977" s="16" t="n">
        <v>46389</v>
      </c>
      <c r="B977" t="inlineStr">
        <is>
          <t>NOR</t>
        </is>
      </c>
    </row>
    <row r="978">
      <c r="A978" s="16" t="n">
        <v>46389</v>
      </c>
      <c r="B978" t="inlineStr">
        <is>
          <t>NYK</t>
        </is>
      </c>
    </row>
    <row r="979">
      <c r="A979" s="16" t="n">
        <v>46389</v>
      </c>
      <c r="B979" t="inlineStr">
        <is>
          <t>OKC</t>
        </is>
      </c>
    </row>
    <row r="980">
      <c r="A980" s="16" t="n">
        <v>46389</v>
      </c>
      <c r="B980" t="inlineStr">
        <is>
          <t>PHO</t>
        </is>
      </c>
    </row>
    <row r="981">
      <c r="A981" s="16" t="n">
        <v>46389</v>
      </c>
      <c r="B981" t="inlineStr">
        <is>
          <t>POR</t>
        </is>
      </c>
    </row>
    <row r="982">
      <c r="A982" s="16" t="n">
        <v>46389</v>
      </c>
      <c r="B982" t="inlineStr">
        <is>
          <t>SAC</t>
        </is>
      </c>
    </row>
    <row r="983">
      <c r="A983" s="16" t="n">
        <v>46389</v>
      </c>
      <c r="B983" t="inlineStr">
        <is>
          <t>UTH</t>
        </is>
      </c>
    </row>
    <row r="984">
      <c r="A984" s="16" t="n">
        <v>46390</v>
      </c>
      <c r="B984" t="inlineStr">
        <is>
          <t>CHA</t>
        </is>
      </c>
    </row>
    <row r="985">
      <c r="A985" s="16" t="n">
        <v>46390</v>
      </c>
      <c r="B985" t="inlineStr">
        <is>
          <t>CLE</t>
        </is>
      </c>
    </row>
    <row r="986">
      <c r="A986" s="16" t="n">
        <v>46390</v>
      </c>
      <c r="B986" t="inlineStr">
        <is>
          <t>DEN</t>
        </is>
      </c>
    </row>
    <row r="987">
      <c r="A987" s="16" t="n">
        <v>46390</v>
      </c>
      <c r="B987" t="inlineStr">
        <is>
          <t>DET</t>
        </is>
      </c>
    </row>
    <row r="988">
      <c r="A988" s="16" t="n">
        <v>46390</v>
      </c>
      <c r="B988" t="inlineStr">
        <is>
          <t>HOU</t>
        </is>
      </c>
    </row>
    <row r="989">
      <c r="A989" s="16" t="n">
        <v>46390</v>
      </c>
      <c r="B989" t="inlineStr">
        <is>
          <t>LAC</t>
        </is>
      </c>
    </row>
    <row r="990">
      <c r="A990" s="16" t="n">
        <v>46390</v>
      </c>
      <c r="B990" t="inlineStr">
        <is>
          <t>LAL</t>
        </is>
      </c>
    </row>
    <row r="991">
      <c r="A991" s="16" t="n">
        <v>46390</v>
      </c>
      <c r="B991" t="inlineStr">
        <is>
          <t>MEM</t>
        </is>
      </c>
    </row>
    <row r="992">
      <c r="A992" s="16" t="n">
        <v>46390</v>
      </c>
      <c r="B992" t="inlineStr">
        <is>
          <t>MIL</t>
        </is>
      </c>
    </row>
    <row r="993">
      <c r="A993" s="16" t="n">
        <v>46390</v>
      </c>
      <c r="B993" t="inlineStr">
        <is>
          <t>MIN</t>
        </is>
      </c>
    </row>
    <row r="994">
      <c r="A994" s="16" t="n">
        <v>46390</v>
      </c>
      <c r="B994" t="inlineStr">
        <is>
          <t>OKC</t>
        </is>
      </c>
    </row>
    <row r="995">
      <c r="A995" s="16" t="n">
        <v>46390</v>
      </c>
      <c r="B995" t="inlineStr">
        <is>
          <t>ORL</t>
        </is>
      </c>
    </row>
    <row r="996">
      <c r="A996" s="16" t="n">
        <v>46390</v>
      </c>
      <c r="B996" t="inlineStr">
        <is>
          <t>SAC</t>
        </is>
      </c>
    </row>
    <row r="997">
      <c r="A997" s="16" t="n">
        <v>46390</v>
      </c>
      <c r="B997" t="inlineStr">
        <is>
          <t>SAS</t>
        </is>
      </c>
    </row>
    <row r="998">
      <c r="A998" s="16" t="n">
        <v>46390</v>
      </c>
      <c r="B998" t="inlineStr">
        <is>
          <t>TOR</t>
        </is>
      </c>
    </row>
    <row r="999">
      <c r="A999" s="16" t="n">
        <v>46390</v>
      </c>
      <c r="B999" t="inlineStr">
        <is>
          <t>WAS</t>
        </is>
      </c>
    </row>
    <row r="1000">
      <c r="A1000" s="16" t="n">
        <v>46391</v>
      </c>
      <c r="B1000" t="inlineStr">
        <is>
          <t>ATL</t>
        </is>
      </c>
    </row>
    <row r="1001">
      <c r="A1001" s="16" t="n">
        <v>46391</v>
      </c>
      <c r="B1001" t="inlineStr">
        <is>
          <t>BKN</t>
        </is>
      </c>
    </row>
    <row r="1002">
      <c r="A1002" s="16" t="n">
        <v>46391</v>
      </c>
      <c r="B1002" t="inlineStr">
        <is>
          <t>BOS</t>
        </is>
      </c>
    </row>
    <row r="1003">
      <c r="A1003" s="16" t="n">
        <v>46391</v>
      </c>
      <c r="B1003" t="inlineStr">
        <is>
          <t>CHI</t>
        </is>
      </c>
    </row>
    <row r="1004">
      <c r="A1004" s="16" t="n">
        <v>46391</v>
      </c>
      <c r="B1004" t="inlineStr">
        <is>
          <t>DAL</t>
        </is>
      </c>
    </row>
    <row r="1005">
      <c r="A1005" s="16" t="n">
        <v>46391</v>
      </c>
      <c r="B1005" t="inlineStr">
        <is>
          <t>IND</t>
        </is>
      </c>
    </row>
    <row r="1006">
      <c r="A1006" s="16" t="n">
        <v>46391</v>
      </c>
      <c r="B1006" t="inlineStr">
        <is>
          <t>NOR</t>
        </is>
      </c>
    </row>
    <row r="1007">
      <c r="A1007" s="16" t="n">
        <v>46391</v>
      </c>
      <c r="B1007" t="inlineStr">
        <is>
          <t>NYK</t>
        </is>
      </c>
    </row>
    <row r="1008">
      <c r="A1008" s="16" t="n">
        <v>46391</v>
      </c>
      <c r="B1008" t="inlineStr">
        <is>
          <t>PHI</t>
        </is>
      </c>
    </row>
    <row r="1009">
      <c r="A1009" s="16" t="n">
        <v>46391</v>
      </c>
      <c r="B1009" t="inlineStr">
        <is>
          <t>PHO</t>
        </is>
      </c>
    </row>
    <row r="1010">
      <c r="A1010" s="16" t="n">
        <v>46391</v>
      </c>
      <c r="B1010" t="inlineStr">
        <is>
          <t>POR</t>
        </is>
      </c>
    </row>
    <row r="1011">
      <c r="A1011" s="16" t="n">
        <v>46391</v>
      </c>
      <c r="B1011" t="inlineStr">
        <is>
          <t>UTH</t>
        </is>
      </c>
    </row>
    <row r="1012">
      <c r="A1012" s="16" t="n">
        <v>46392</v>
      </c>
      <c r="B1012" t="inlineStr">
        <is>
          <t>ATL</t>
        </is>
      </c>
    </row>
    <row r="1013">
      <c r="A1013" s="16" t="n">
        <v>46392</v>
      </c>
      <c r="B1013" t="inlineStr">
        <is>
          <t>CHA</t>
        </is>
      </c>
    </row>
    <row r="1014">
      <c r="A1014" s="16" t="n">
        <v>46392</v>
      </c>
      <c r="B1014" t="inlineStr">
        <is>
          <t>CHI</t>
        </is>
      </c>
    </row>
    <row r="1015">
      <c r="A1015" s="16" t="n">
        <v>46392</v>
      </c>
      <c r="B1015" t="inlineStr">
        <is>
          <t>CLE</t>
        </is>
      </c>
    </row>
    <row r="1016">
      <c r="A1016" s="16" t="n">
        <v>46392</v>
      </c>
      <c r="B1016" t="inlineStr">
        <is>
          <t>DEN</t>
        </is>
      </c>
    </row>
    <row r="1017">
      <c r="A1017" s="16" t="n">
        <v>46392</v>
      </c>
      <c r="B1017" t="inlineStr">
        <is>
          <t>DET</t>
        </is>
      </c>
    </row>
    <row r="1018">
      <c r="A1018" s="16" t="n">
        <v>46392</v>
      </c>
      <c r="B1018" t="inlineStr">
        <is>
          <t>HOU</t>
        </is>
      </c>
    </row>
    <row r="1019">
      <c r="A1019" s="16" t="n">
        <v>46392</v>
      </c>
      <c r="B1019" t="inlineStr">
        <is>
          <t>LAC</t>
        </is>
      </c>
    </row>
    <row r="1020">
      <c r="A1020" s="16" t="n">
        <v>46392</v>
      </c>
      <c r="B1020" t="inlineStr">
        <is>
          <t>LAL</t>
        </is>
      </c>
    </row>
    <row r="1021">
      <c r="A1021" s="16" t="n">
        <v>46392</v>
      </c>
      <c r="B1021" t="inlineStr">
        <is>
          <t>MEM</t>
        </is>
      </c>
    </row>
    <row r="1022">
      <c r="A1022" s="16" t="n">
        <v>46392</v>
      </c>
      <c r="B1022" t="inlineStr">
        <is>
          <t>MIA</t>
        </is>
      </c>
    </row>
    <row r="1023">
      <c r="A1023" s="16" t="n">
        <v>46392</v>
      </c>
      <c r="B1023" t="inlineStr">
        <is>
          <t>MIL</t>
        </is>
      </c>
    </row>
    <row r="1024">
      <c r="A1024" s="16" t="n">
        <v>46392</v>
      </c>
      <c r="B1024" t="inlineStr">
        <is>
          <t>MIN</t>
        </is>
      </c>
    </row>
    <row r="1025">
      <c r="A1025" s="16" t="n">
        <v>46392</v>
      </c>
      <c r="B1025" t="inlineStr">
        <is>
          <t>ORL</t>
        </is>
      </c>
    </row>
    <row r="1026">
      <c r="A1026" s="16" t="n">
        <v>46392</v>
      </c>
      <c r="B1026" t="inlineStr">
        <is>
          <t>PHO</t>
        </is>
      </c>
    </row>
    <row r="1027">
      <c r="A1027" s="16" t="n">
        <v>46392</v>
      </c>
      <c r="B1027" t="inlineStr">
        <is>
          <t>SAC</t>
        </is>
      </c>
    </row>
    <row r="1028">
      <c r="A1028" s="16" t="n">
        <v>46392</v>
      </c>
      <c r="B1028" t="inlineStr">
        <is>
          <t>TOR</t>
        </is>
      </c>
    </row>
    <row r="1029">
      <c r="A1029" s="16" t="n">
        <v>46392</v>
      </c>
      <c r="B1029" t="inlineStr">
        <is>
          <t>WAS</t>
        </is>
      </c>
    </row>
    <row r="1030">
      <c r="A1030" s="16" t="n">
        <v>46393</v>
      </c>
      <c r="B1030" t="inlineStr">
        <is>
          <t>BKN</t>
        </is>
      </c>
    </row>
    <row r="1031">
      <c r="A1031" s="16" t="n">
        <v>46393</v>
      </c>
      <c r="B1031" t="inlineStr">
        <is>
          <t>GSW</t>
        </is>
      </c>
    </row>
    <row r="1032">
      <c r="A1032" s="16" t="n">
        <v>46393</v>
      </c>
      <c r="B1032" t="inlineStr">
        <is>
          <t>IND</t>
        </is>
      </c>
    </row>
    <row r="1033">
      <c r="A1033" s="16" t="n">
        <v>46393</v>
      </c>
      <c r="B1033" t="inlineStr">
        <is>
          <t>NOR</t>
        </is>
      </c>
    </row>
    <row r="1034">
      <c r="A1034" s="16" t="n">
        <v>46393</v>
      </c>
      <c r="B1034" t="inlineStr">
        <is>
          <t>NYK</t>
        </is>
      </c>
    </row>
    <row r="1035">
      <c r="A1035" s="16" t="n">
        <v>46393</v>
      </c>
      <c r="B1035" t="inlineStr">
        <is>
          <t>OKC</t>
        </is>
      </c>
    </row>
    <row r="1036">
      <c r="A1036" s="16" t="n">
        <v>46393</v>
      </c>
      <c r="B1036" t="inlineStr">
        <is>
          <t>PHI</t>
        </is>
      </c>
    </row>
    <row r="1037">
      <c r="A1037" s="16" t="n">
        <v>46393</v>
      </c>
      <c r="B1037" t="inlineStr">
        <is>
          <t>POR</t>
        </is>
      </c>
    </row>
    <row r="1038">
      <c r="A1038" s="16" t="n">
        <v>46393</v>
      </c>
      <c r="B1038" t="inlineStr">
        <is>
          <t>SAS</t>
        </is>
      </c>
    </row>
    <row r="1039">
      <c r="A1039" s="16" t="n">
        <v>46393</v>
      </c>
      <c r="B1039" t="inlineStr">
        <is>
          <t>UTH</t>
        </is>
      </c>
    </row>
    <row r="1040">
      <c r="A1040" s="16" t="n">
        <v>46394</v>
      </c>
      <c r="B1040" t="inlineStr">
        <is>
          <t>ATL</t>
        </is>
      </c>
    </row>
    <row r="1041">
      <c r="A1041" s="16" t="n">
        <v>46394</v>
      </c>
      <c r="B1041" t="inlineStr">
        <is>
          <t>BKN</t>
        </is>
      </c>
    </row>
    <row r="1042">
      <c r="A1042" s="16" t="n">
        <v>46394</v>
      </c>
      <c r="B1042" t="inlineStr">
        <is>
          <t>BOS</t>
        </is>
      </c>
    </row>
    <row r="1043">
      <c r="A1043" s="16" t="n">
        <v>46394</v>
      </c>
      <c r="B1043" t="inlineStr">
        <is>
          <t>CHA</t>
        </is>
      </c>
    </row>
    <row r="1044">
      <c r="A1044" s="16" t="n">
        <v>46394</v>
      </c>
      <c r="B1044" t="inlineStr">
        <is>
          <t>CHI</t>
        </is>
      </c>
    </row>
    <row r="1045">
      <c r="A1045" s="16" t="n">
        <v>46394</v>
      </c>
      <c r="B1045" t="inlineStr">
        <is>
          <t>CLE</t>
        </is>
      </c>
    </row>
    <row r="1046">
      <c r="A1046" s="16" t="n">
        <v>46394</v>
      </c>
      <c r="B1046" t="inlineStr">
        <is>
          <t>DAL</t>
        </is>
      </c>
    </row>
    <row r="1047">
      <c r="A1047" s="16" t="n">
        <v>46394</v>
      </c>
      <c r="B1047" t="inlineStr">
        <is>
          <t>DEN</t>
        </is>
      </c>
    </row>
    <row r="1048">
      <c r="A1048" s="16" t="n">
        <v>46394</v>
      </c>
      <c r="B1048" t="inlineStr">
        <is>
          <t>DET</t>
        </is>
      </c>
    </row>
    <row r="1049">
      <c r="A1049" s="16" t="n">
        <v>46394</v>
      </c>
      <c r="B1049" t="inlineStr">
        <is>
          <t>GSW</t>
        </is>
      </c>
    </row>
    <row r="1050">
      <c r="A1050" s="16" t="n">
        <v>46394</v>
      </c>
      <c r="B1050" t="inlineStr">
        <is>
          <t>HOU</t>
        </is>
      </c>
    </row>
    <row r="1051">
      <c r="A1051" s="16" t="n">
        <v>46394</v>
      </c>
      <c r="B1051" t="inlineStr">
        <is>
          <t>IND</t>
        </is>
      </c>
    </row>
    <row r="1052">
      <c r="A1052" s="16" t="n">
        <v>46394</v>
      </c>
      <c r="B1052" t="inlineStr">
        <is>
          <t>LAC</t>
        </is>
      </c>
    </row>
    <row r="1053">
      <c r="A1053" s="16" t="n">
        <v>46394</v>
      </c>
      <c r="B1053" t="inlineStr">
        <is>
          <t>LAL</t>
        </is>
      </c>
    </row>
    <row r="1054">
      <c r="A1054" s="16" t="n">
        <v>46394</v>
      </c>
      <c r="B1054" t="inlineStr">
        <is>
          <t>MEM</t>
        </is>
      </c>
    </row>
    <row r="1055">
      <c r="A1055" s="16" t="n">
        <v>46394</v>
      </c>
      <c r="B1055" t="inlineStr">
        <is>
          <t>MIA</t>
        </is>
      </c>
    </row>
    <row r="1056">
      <c r="A1056" s="16" t="n">
        <v>46394</v>
      </c>
      <c r="B1056" t="inlineStr">
        <is>
          <t>MIL</t>
        </is>
      </c>
    </row>
    <row r="1057">
      <c r="A1057" s="16" t="n">
        <v>46394</v>
      </c>
      <c r="B1057" t="inlineStr">
        <is>
          <t>MIN</t>
        </is>
      </c>
    </row>
    <row r="1058">
      <c r="A1058" s="16" t="n">
        <v>46394</v>
      </c>
      <c r="B1058" t="inlineStr">
        <is>
          <t>OKC</t>
        </is>
      </c>
    </row>
    <row r="1059">
      <c r="A1059" s="16" t="n">
        <v>46394</v>
      </c>
      <c r="B1059" t="inlineStr">
        <is>
          <t>ORL</t>
        </is>
      </c>
    </row>
    <row r="1060">
      <c r="A1060" s="16" t="n">
        <v>46394</v>
      </c>
      <c r="B1060" t="inlineStr">
        <is>
          <t>POR</t>
        </is>
      </c>
    </row>
    <row r="1061">
      <c r="A1061" s="16" t="n">
        <v>46394</v>
      </c>
      <c r="B1061" t="inlineStr">
        <is>
          <t>SAC</t>
        </is>
      </c>
    </row>
    <row r="1062">
      <c r="A1062" s="16" t="n">
        <v>46394</v>
      </c>
      <c r="B1062" t="inlineStr">
        <is>
          <t>TOR</t>
        </is>
      </c>
    </row>
    <row r="1063">
      <c r="A1063" s="16" t="n">
        <v>46394</v>
      </c>
      <c r="B1063" t="inlineStr">
        <is>
          <t>WAS</t>
        </is>
      </c>
    </row>
    <row r="1064">
      <c r="A1064" s="16" t="n">
        <v>46395</v>
      </c>
      <c r="B1064" t="inlineStr">
        <is>
          <t>DAL</t>
        </is>
      </c>
    </row>
    <row r="1065">
      <c r="A1065" s="16" t="n">
        <v>46395</v>
      </c>
      <c r="B1065" t="inlineStr">
        <is>
          <t>DET</t>
        </is>
      </c>
    </row>
    <row r="1066">
      <c r="A1066" s="16" t="n">
        <v>46395</v>
      </c>
      <c r="B1066" t="inlineStr">
        <is>
          <t>LAL</t>
        </is>
      </c>
    </row>
    <row r="1067">
      <c r="A1067" s="16" t="n">
        <v>46395</v>
      </c>
      <c r="B1067" t="inlineStr">
        <is>
          <t>MEM</t>
        </is>
      </c>
    </row>
    <row r="1068">
      <c r="A1068" s="16" t="n">
        <v>46395</v>
      </c>
      <c r="B1068" t="inlineStr">
        <is>
          <t>MIA</t>
        </is>
      </c>
    </row>
    <row r="1069">
      <c r="A1069" s="16" t="n">
        <v>46395</v>
      </c>
      <c r="B1069" t="inlineStr">
        <is>
          <t>MIN</t>
        </is>
      </c>
    </row>
    <row r="1070">
      <c r="A1070" s="16" t="n">
        <v>46395</v>
      </c>
      <c r="B1070" t="inlineStr">
        <is>
          <t>NOR</t>
        </is>
      </c>
    </row>
    <row r="1071">
      <c r="A1071" s="16" t="n">
        <v>46395</v>
      </c>
      <c r="B1071" t="inlineStr">
        <is>
          <t>NYK</t>
        </is>
      </c>
    </row>
    <row r="1072">
      <c r="A1072" s="16" t="n">
        <v>46395</v>
      </c>
      <c r="B1072" t="inlineStr">
        <is>
          <t>ORL</t>
        </is>
      </c>
    </row>
    <row r="1073">
      <c r="A1073" s="16" t="n">
        <v>46395</v>
      </c>
      <c r="B1073" t="inlineStr">
        <is>
          <t>PHI</t>
        </is>
      </c>
    </row>
    <row r="1074">
      <c r="A1074" s="16" t="n">
        <v>46395</v>
      </c>
      <c r="B1074" t="inlineStr">
        <is>
          <t>PHO</t>
        </is>
      </c>
    </row>
    <row r="1075">
      <c r="A1075" s="16" t="n">
        <v>46395</v>
      </c>
      <c r="B1075" t="inlineStr">
        <is>
          <t>SAC</t>
        </is>
      </c>
    </row>
    <row r="1076">
      <c r="A1076" s="16" t="n">
        <v>46395</v>
      </c>
      <c r="B1076" t="inlineStr">
        <is>
          <t>SAS</t>
        </is>
      </c>
    </row>
    <row r="1077">
      <c r="A1077" s="16" t="n">
        <v>46395</v>
      </c>
      <c r="B1077" t="inlineStr">
        <is>
          <t>TOR</t>
        </is>
      </c>
    </row>
    <row r="1078">
      <c r="A1078" s="16" t="n">
        <v>46395</v>
      </c>
      <c r="B1078" t="inlineStr">
        <is>
          <t>UTH</t>
        </is>
      </c>
    </row>
    <row r="1079">
      <c r="A1079" s="16" t="n">
        <v>46395</v>
      </c>
      <c r="B1079" t="inlineStr">
        <is>
          <t>WAS</t>
        </is>
      </c>
    </row>
    <row r="1080">
      <c r="A1080" s="16" t="n">
        <v>46396</v>
      </c>
      <c r="B1080" t="inlineStr">
        <is>
          <t>BKN</t>
        </is>
      </c>
    </row>
    <row r="1081">
      <c r="A1081" s="16" t="n">
        <v>46396</v>
      </c>
      <c r="B1081" t="inlineStr">
        <is>
          <t>BOS</t>
        </is>
      </c>
    </row>
    <row r="1082">
      <c r="A1082" s="16" t="n">
        <v>46396</v>
      </c>
      <c r="B1082" t="inlineStr">
        <is>
          <t>CHA</t>
        </is>
      </c>
    </row>
    <row r="1083">
      <c r="A1083" s="16" t="n">
        <v>46396</v>
      </c>
      <c r="B1083" t="inlineStr">
        <is>
          <t>CHI</t>
        </is>
      </c>
    </row>
    <row r="1084">
      <c r="A1084" s="16" t="n">
        <v>46396</v>
      </c>
      <c r="B1084" t="inlineStr">
        <is>
          <t>CLE</t>
        </is>
      </c>
    </row>
    <row r="1085">
      <c r="A1085" s="16" t="n">
        <v>46396</v>
      </c>
      <c r="B1085" t="inlineStr">
        <is>
          <t>DEN</t>
        </is>
      </c>
    </row>
    <row r="1086">
      <c r="A1086" s="16" t="n">
        <v>46396</v>
      </c>
      <c r="B1086" t="inlineStr">
        <is>
          <t>GSW</t>
        </is>
      </c>
    </row>
    <row r="1087">
      <c r="A1087" s="16" t="n">
        <v>46396</v>
      </c>
      <c r="B1087" t="inlineStr">
        <is>
          <t>HOU</t>
        </is>
      </c>
    </row>
    <row r="1088">
      <c r="A1088" s="16" t="n">
        <v>46396</v>
      </c>
      <c r="B1088" t="inlineStr">
        <is>
          <t>IND</t>
        </is>
      </c>
    </row>
    <row r="1089">
      <c r="A1089" s="16" t="n">
        <v>46396</v>
      </c>
      <c r="B1089" t="inlineStr">
        <is>
          <t>LAC</t>
        </is>
      </c>
    </row>
    <row r="1090">
      <c r="A1090" s="16" t="n">
        <v>46396</v>
      </c>
      <c r="B1090" t="inlineStr">
        <is>
          <t>MIL</t>
        </is>
      </c>
    </row>
    <row r="1091">
      <c r="A1091" s="16" t="n">
        <v>46396</v>
      </c>
      <c r="B1091" t="inlineStr">
        <is>
          <t>POR</t>
        </is>
      </c>
    </row>
    <row r="1092">
      <c r="A1092" s="16" t="n">
        <v>46397</v>
      </c>
      <c r="B1092" t="inlineStr">
        <is>
          <t>ATL</t>
        </is>
      </c>
    </row>
    <row r="1093">
      <c r="A1093" s="16" t="n">
        <v>46397</v>
      </c>
      <c r="B1093" t="inlineStr">
        <is>
          <t>CHA</t>
        </is>
      </c>
    </row>
    <row r="1094">
      <c r="A1094" s="16" t="n">
        <v>46397</v>
      </c>
      <c r="B1094" t="inlineStr">
        <is>
          <t>CHI</t>
        </is>
      </c>
    </row>
    <row r="1095">
      <c r="A1095" s="16" t="n">
        <v>46397</v>
      </c>
      <c r="B1095" t="inlineStr">
        <is>
          <t>DAL</t>
        </is>
      </c>
    </row>
    <row r="1096">
      <c r="A1096" s="16" t="n">
        <v>46397</v>
      </c>
      <c r="B1096" t="inlineStr">
        <is>
          <t>DET</t>
        </is>
      </c>
    </row>
    <row r="1097">
      <c r="A1097" s="16" t="n">
        <v>46397</v>
      </c>
      <c r="B1097" t="inlineStr">
        <is>
          <t>MEM</t>
        </is>
      </c>
    </row>
    <row r="1098">
      <c r="A1098" s="16" t="n">
        <v>46397</v>
      </c>
      <c r="B1098" t="inlineStr">
        <is>
          <t>MIA</t>
        </is>
      </c>
    </row>
    <row r="1099">
      <c r="A1099" s="16" t="n">
        <v>46397</v>
      </c>
      <c r="B1099" t="inlineStr">
        <is>
          <t>NOR</t>
        </is>
      </c>
    </row>
    <row r="1100">
      <c r="A1100" s="16" t="n">
        <v>46397</v>
      </c>
      <c r="B1100" t="inlineStr">
        <is>
          <t>OKC</t>
        </is>
      </c>
    </row>
    <row r="1101">
      <c r="A1101" s="16" t="n">
        <v>46397</v>
      </c>
      <c r="B1101" t="inlineStr">
        <is>
          <t>ORL</t>
        </is>
      </c>
    </row>
    <row r="1102">
      <c r="A1102" s="16" t="n">
        <v>46397</v>
      </c>
      <c r="B1102" t="inlineStr">
        <is>
          <t>PHI</t>
        </is>
      </c>
    </row>
    <row r="1103">
      <c r="A1103" s="16" t="n">
        <v>46397</v>
      </c>
      <c r="B1103" t="inlineStr">
        <is>
          <t>PHO</t>
        </is>
      </c>
    </row>
    <row r="1104">
      <c r="A1104" s="16" t="n">
        <v>46397</v>
      </c>
      <c r="B1104" t="inlineStr">
        <is>
          <t>SAC</t>
        </is>
      </c>
    </row>
    <row r="1105">
      <c r="A1105" s="16" t="n">
        <v>46397</v>
      </c>
      <c r="B1105" t="inlineStr">
        <is>
          <t>SAS</t>
        </is>
      </c>
    </row>
    <row r="1106">
      <c r="A1106" s="16" t="n">
        <v>46397</v>
      </c>
      <c r="B1106" t="inlineStr">
        <is>
          <t>TOR</t>
        </is>
      </c>
    </row>
    <row r="1107">
      <c r="A1107" s="16" t="n">
        <v>46397</v>
      </c>
      <c r="B1107" t="inlineStr">
        <is>
          <t>UTH</t>
        </is>
      </c>
    </row>
    <row r="1108">
      <c r="A1108" s="16" t="n">
        <v>46398</v>
      </c>
      <c r="B1108" t="inlineStr">
        <is>
          <t>ATL</t>
        </is>
      </c>
    </row>
    <row r="1109">
      <c r="A1109" s="16" t="n">
        <v>46398</v>
      </c>
      <c r="B1109" t="inlineStr">
        <is>
          <t>BKN</t>
        </is>
      </c>
    </row>
    <row r="1110">
      <c r="A1110" s="16" t="n">
        <v>46398</v>
      </c>
      <c r="B1110" t="inlineStr">
        <is>
          <t>BOS</t>
        </is>
      </c>
    </row>
    <row r="1111">
      <c r="A1111" s="16" t="n">
        <v>46398</v>
      </c>
      <c r="B1111" t="inlineStr">
        <is>
          <t>CLE</t>
        </is>
      </c>
    </row>
    <row r="1112">
      <c r="A1112" s="16" t="n">
        <v>46398</v>
      </c>
      <c r="B1112" t="inlineStr">
        <is>
          <t>DEN</t>
        </is>
      </c>
    </row>
    <row r="1113">
      <c r="A1113" s="16" t="n">
        <v>46398</v>
      </c>
      <c r="B1113" t="inlineStr">
        <is>
          <t>HOU</t>
        </is>
      </c>
    </row>
    <row r="1114">
      <c r="A1114" s="16" t="n">
        <v>46398</v>
      </c>
      <c r="B1114" t="inlineStr">
        <is>
          <t>IND</t>
        </is>
      </c>
    </row>
    <row r="1115">
      <c r="A1115" s="16" t="n">
        <v>46398</v>
      </c>
      <c r="B1115" t="inlineStr">
        <is>
          <t>LAC</t>
        </is>
      </c>
    </row>
    <row r="1116">
      <c r="A1116" s="16" t="n">
        <v>46398</v>
      </c>
      <c r="B1116" t="inlineStr">
        <is>
          <t>LAL</t>
        </is>
      </c>
    </row>
    <row r="1117">
      <c r="A1117" s="16" t="n">
        <v>46398</v>
      </c>
      <c r="B1117" t="inlineStr">
        <is>
          <t>MIN</t>
        </is>
      </c>
    </row>
    <row r="1118">
      <c r="A1118" s="16" t="n">
        <v>46398</v>
      </c>
      <c r="B1118" t="inlineStr">
        <is>
          <t>NYK</t>
        </is>
      </c>
    </row>
    <row r="1119">
      <c r="A1119" s="16" t="n">
        <v>46398</v>
      </c>
      <c r="B1119" t="inlineStr">
        <is>
          <t>WAS</t>
        </is>
      </c>
    </row>
    <row r="1120">
      <c r="A1120" s="16" t="n">
        <v>46399</v>
      </c>
      <c r="B1120" t="inlineStr">
        <is>
          <t>BKN</t>
        </is>
      </c>
    </row>
    <row r="1121">
      <c r="A1121" s="16" t="n">
        <v>46399</v>
      </c>
      <c r="B1121" t="inlineStr">
        <is>
          <t>CHI</t>
        </is>
      </c>
    </row>
    <row r="1122">
      <c r="A1122" s="16" t="n">
        <v>46399</v>
      </c>
      <c r="B1122" t="inlineStr">
        <is>
          <t>DAL</t>
        </is>
      </c>
    </row>
    <row r="1123">
      <c r="A1123" s="16" t="n">
        <v>46399</v>
      </c>
      <c r="B1123" t="inlineStr">
        <is>
          <t>DEN</t>
        </is>
      </c>
    </row>
    <row r="1124">
      <c r="A1124" s="16" t="n">
        <v>46399</v>
      </c>
      <c r="B1124" t="inlineStr">
        <is>
          <t>DET</t>
        </is>
      </c>
    </row>
    <row r="1125">
      <c r="A1125" s="16" t="n">
        <v>46399</v>
      </c>
      <c r="B1125" t="inlineStr">
        <is>
          <t>GSW</t>
        </is>
      </c>
    </row>
    <row r="1126">
      <c r="A1126" s="16" t="n">
        <v>46399</v>
      </c>
      <c r="B1126" t="inlineStr">
        <is>
          <t>MEM</t>
        </is>
      </c>
    </row>
    <row r="1127">
      <c r="A1127" s="16" t="n">
        <v>46399</v>
      </c>
      <c r="B1127" t="inlineStr">
        <is>
          <t>MIA</t>
        </is>
      </c>
    </row>
    <row r="1128">
      <c r="A1128" s="16" t="n">
        <v>46399</v>
      </c>
      <c r="B1128" t="inlineStr">
        <is>
          <t>MIL</t>
        </is>
      </c>
    </row>
    <row r="1129">
      <c r="A1129" s="16" t="n">
        <v>46399</v>
      </c>
      <c r="B1129" t="inlineStr">
        <is>
          <t>ORL</t>
        </is>
      </c>
    </row>
    <row r="1130">
      <c r="A1130" s="16" t="n">
        <v>46399</v>
      </c>
      <c r="B1130" t="inlineStr">
        <is>
          <t>PHI</t>
        </is>
      </c>
    </row>
    <row r="1131">
      <c r="A1131" s="16" t="n">
        <v>46399</v>
      </c>
      <c r="B1131" t="inlineStr">
        <is>
          <t>POR</t>
        </is>
      </c>
    </row>
    <row r="1132">
      <c r="A1132" s="16" t="n">
        <v>46399</v>
      </c>
      <c r="B1132" t="inlineStr">
        <is>
          <t>SAC</t>
        </is>
      </c>
    </row>
    <row r="1133">
      <c r="A1133" s="16" t="n">
        <v>46399</v>
      </c>
      <c r="B1133" t="inlineStr">
        <is>
          <t>TOR</t>
        </is>
      </c>
    </row>
    <row r="1134">
      <c r="A1134" s="16" t="n">
        <v>46399</v>
      </c>
      <c r="B1134" t="inlineStr">
        <is>
          <t>UTH</t>
        </is>
      </c>
    </row>
    <row r="1135">
      <c r="A1135" s="16" t="n">
        <v>46399</v>
      </c>
      <c r="B1135" t="inlineStr">
        <is>
          <t>WAS</t>
        </is>
      </c>
    </row>
    <row r="1136">
      <c r="A1136" s="16" t="n">
        <v>46400</v>
      </c>
      <c r="B1136" t="inlineStr">
        <is>
          <t>ATL</t>
        </is>
      </c>
    </row>
    <row r="1137">
      <c r="A1137" s="16" t="n">
        <v>46400</v>
      </c>
      <c r="B1137" t="inlineStr">
        <is>
          <t>BOS</t>
        </is>
      </c>
    </row>
    <row r="1138">
      <c r="A1138" s="16" t="n">
        <v>46400</v>
      </c>
      <c r="B1138" t="inlineStr">
        <is>
          <t>CHA</t>
        </is>
      </c>
    </row>
    <row r="1139">
      <c r="A1139" s="16" t="n">
        <v>46400</v>
      </c>
      <c r="B1139" t="inlineStr">
        <is>
          <t>CLE</t>
        </is>
      </c>
    </row>
    <row r="1140">
      <c r="A1140" s="16" t="n">
        <v>46400</v>
      </c>
      <c r="B1140" t="inlineStr">
        <is>
          <t>GSW</t>
        </is>
      </c>
    </row>
    <row r="1141">
      <c r="A1141" s="16" t="n">
        <v>46400</v>
      </c>
      <c r="B1141" t="inlineStr">
        <is>
          <t>HOU</t>
        </is>
      </c>
    </row>
    <row r="1142">
      <c r="A1142" s="16" t="n">
        <v>46400</v>
      </c>
      <c r="B1142" t="inlineStr">
        <is>
          <t>IND</t>
        </is>
      </c>
    </row>
    <row r="1143">
      <c r="A1143" s="16" t="n">
        <v>46400</v>
      </c>
      <c r="B1143" t="inlineStr">
        <is>
          <t>LAL</t>
        </is>
      </c>
    </row>
    <row r="1144">
      <c r="A1144" s="16" t="n">
        <v>46400</v>
      </c>
      <c r="B1144" t="inlineStr">
        <is>
          <t>MIL</t>
        </is>
      </c>
    </row>
    <row r="1145">
      <c r="A1145" s="16" t="n">
        <v>46400</v>
      </c>
      <c r="B1145" t="inlineStr">
        <is>
          <t>NYK</t>
        </is>
      </c>
    </row>
    <row r="1146">
      <c r="A1146" s="16" t="n">
        <v>46400</v>
      </c>
      <c r="B1146" t="inlineStr">
        <is>
          <t>OKC</t>
        </is>
      </c>
    </row>
    <row r="1147">
      <c r="A1147" s="16" t="n">
        <v>46400</v>
      </c>
      <c r="B1147" t="inlineStr">
        <is>
          <t>PHO</t>
        </is>
      </c>
    </row>
    <row r="1148">
      <c r="A1148" s="16" t="n">
        <v>46400</v>
      </c>
      <c r="B1148" t="inlineStr">
        <is>
          <t>POR</t>
        </is>
      </c>
    </row>
    <row r="1149">
      <c r="A1149" s="16" t="n">
        <v>46400</v>
      </c>
      <c r="B1149" t="inlineStr">
        <is>
          <t>TOR</t>
        </is>
      </c>
    </row>
    <row r="1150">
      <c r="A1150" s="16" t="n">
        <v>46401</v>
      </c>
      <c r="B1150" t="inlineStr">
        <is>
          <t>BKN</t>
        </is>
      </c>
    </row>
    <row r="1151">
      <c r="A1151" s="16" t="n">
        <v>46401</v>
      </c>
      <c r="B1151" t="inlineStr">
        <is>
          <t>CHA</t>
        </is>
      </c>
    </row>
    <row r="1152">
      <c r="A1152" s="16" t="n">
        <v>46401</v>
      </c>
      <c r="B1152" t="inlineStr">
        <is>
          <t>CHI</t>
        </is>
      </c>
    </row>
    <row r="1153">
      <c r="A1153" s="16" t="n">
        <v>46401</v>
      </c>
      <c r="B1153" t="inlineStr">
        <is>
          <t>DAL</t>
        </is>
      </c>
    </row>
    <row r="1154">
      <c r="A1154" s="16" t="n">
        <v>46401</v>
      </c>
      <c r="B1154" t="inlineStr">
        <is>
          <t>DEN</t>
        </is>
      </c>
    </row>
    <row r="1155">
      <c r="A1155" s="16" t="n">
        <v>46401</v>
      </c>
      <c r="B1155" t="inlineStr">
        <is>
          <t>DET</t>
        </is>
      </c>
    </row>
    <row r="1156">
      <c r="A1156" s="16" t="n">
        <v>46401</v>
      </c>
      <c r="B1156" t="inlineStr">
        <is>
          <t>LAC</t>
        </is>
      </c>
    </row>
    <row r="1157">
      <c r="A1157" s="16" t="n">
        <v>46401</v>
      </c>
      <c r="B1157" t="inlineStr">
        <is>
          <t>LAL</t>
        </is>
      </c>
    </row>
    <row r="1158">
      <c r="A1158" s="16" t="n">
        <v>46401</v>
      </c>
      <c r="B1158" t="inlineStr">
        <is>
          <t>MEM</t>
        </is>
      </c>
    </row>
    <row r="1159">
      <c r="A1159" s="16" t="n">
        <v>46401</v>
      </c>
      <c r="B1159" t="inlineStr">
        <is>
          <t>MIA</t>
        </is>
      </c>
    </row>
    <row r="1160">
      <c r="A1160" s="16" t="n">
        <v>46401</v>
      </c>
      <c r="B1160" t="inlineStr">
        <is>
          <t>MIN</t>
        </is>
      </c>
    </row>
    <row r="1161">
      <c r="A1161" s="16" t="n">
        <v>46401</v>
      </c>
      <c r="B1161" t="inlineStr">
        <is>
          <t>NOR</t>
        </is>
      </c>
    </row>
    <row r="1162">
      <c r="A1162" s="16" t="n">
        <v>46401</v>
      </c>
      <c r="B1162" t="inlineStr">
        <is>
          <t>NYK</t>
        </is>
      </c>
    </row>
    <row r="1163">
      <c r="A1163" s="16" t="n">
        <v>46401</v>
      </c>
      <c r="B1163" t="inlineStr">
        <is>
          <t>ORL</t>
        </is>
      </c>
    </row>
    <row r="1164">
      <c r="A1164" s="16" t="n">
        <v>46401</v>
      </c>
      <c r="B1164" t="inlineStr">
        <is>
          <t>PHI</t>
        </is>
      </c>
    </row>
    <row r="1165">
      <c r="A1165" s="16" t="n">
        <v>46401</v>
      </c>
      <c r="B1165" t="inlineStr">
        <is>
          <t>SAC</t>
        </is>
      </c>
    </row>
    <row r="1166">
      <c r="A1166" s="16" t="n">
        <v>46401</v>
      </c>
      <c r="B1166" t="inlineStr">
        <is>
          <t>SAS</t>
        </is>
      </c>
    </row>
    <row r="1167">
      <c r="A1167" s="16" t="n">
        <v>46401</v>
      </c>
      <c r="B1167" t="inlineStr">
        <is>
          <t>UTH</t>
        </is>
      </c>
    </row>
    <row r="1168">
      <c r="A1168" s="16" t="n">
        <v>46402</v>
      </c>
      <c r="B1168" t="inlineStr">
        <is>
          <t>ATL</t>
        </is>
      </c>
    </row>
    <row r="1169">
      <c r="A1169" s="16" t="n">
        <v>46402</v>
      </c>
      <c r="B1169" t="inlineStr">
        <is>
          <t>CLE</t>
        </is>
      </c>
    </row>
    <row r="1170">
      <c r="A1170" s="16" t="n">
        <v>46402</v>
      </c>
      <c r="B1170" t="inlineStr">
        <is>
          <t>GSW</t>
        </is>
      </c>
    </row>
    <row r="1171">
      <c r="A1171" s="16" t="n">
        <v>46402</v>
      </c>
      <c r="B1171" t="inlineStr">
        <is>
          <t>HOU</t>
        </is>
      </c>
    </row>
    <row r="1172">
      <c r="A1172" s="16" t="n">
        <v>46402</v>
      </c>
      <c r="B1172" t="inlineStr">
        <is>
          <t>IND</t>
        </is>
      </c>
    </row>
    <row r="1173">
      <c r="A1173" s="16" t="n">
        <v>46402</v>
      </c>
      <c r="B1173" t="inlineStr">
        <is>
          <t>LAC</t>
        </is>
      </c>
    </row>
    <row r="1174">
      <c r="A1174" s="16" t="n">
        <v>46402</v>
      </c>
      <c r="B1174" t="inlineStr">
        <is>
          <t>MIA</t>
        </is>
      </c>
    </row>
    <row r="1175">
      <c r="A1175" s="16" t="n">
        <v>46402</v>
      </c>
      <c r="B1175" t="inlineStr">
        <is>
          <t>MIL</t>
        </is>
      </c>
    </row>
    <row r="1176">
      <c r="A1176" s="16" t="n">
        <v>46402</v>
      </c>
      <c r="B1176" t="inlineStr">
        <is>
          <t>OKC</t>
        </is>
      </c>
    </row>
    <row r="1177">
      <c r="A1177" s="16" t="n">
        <v>46402</v>
      </c>
      <c r="B1177" t="inlineStr">
        <is>
          <t>ORL</t>
        </is>
      </c>
    </row>
    <row r="1178">
      <c r="A1178" s="16" t="n">
        <v>46402</v>
      </c>
      <c r="B1178" t="inlineStr">
        <is>
          <t>PHO</t>
        </is>
      </c>
    </row>
    <row r="1179">
      <c r="A1179" s="16" t="n">
        <v>46402</v>
      </c>
      <c r="B1179" t="inlineStr">
        <is>
          <t>POR</t>
        </is>
      </c>
    </row>
    <row r="1180">
      <c r="A1180" s="16" t="n">
        <v>46402</v>
      </c>
      <c r="B1180" t="inlineStr">
        <is>
          <t>SAC</t>
        </is>
      </c>
    </row>
    <row r="1181">
      <c r="A1181" s="16" t="n">
        <v>46402</v>
      </c>
      <c r="B1181" t="inlineStr">
        <is>
          <t>TOR</t>
        </is>
      </c>
    </row>
    <row r="1182">
      <c r="A1182" s="16" t="n">
        <v>46402</v>
      </c>
      <c r="B1182" t="inlineStr">
        <is>
          <t>UTH</t>
        </is>
      </c>
    </row>
    <row r="1183">
      <c r="A1183" s="16" t="n">
        <v>46402</v>
      </c>
      <c r="B1183" t="inlineStr">
        <is>
          <t>WAS</t>
        </is>
      </c>
    </row>
    <row r="1184">
      <c r="A1184" s="16" t="n">
        <v>46403</v>
      </c>
      <c r="B1184" t="inlineStr">
        <is>
          <t>BKN</t>
        </is>
      </c>
    </row>
    <row r="1185">
      <c r="A1185" s="16" t="n">
        <v>46403</v>
      </c>
      <c r="B1185" t="inlineStr">
        <is>
          <t>BOS</t>
        </is>
      </c>
    </row>
    <row r="1186">
      <c r="A1186" s="16" t="n">
        <v>46403</v>
      </c>
      <c r="B1186" t="inlineStr">
        <is>
          <t>CHA</t>
        </is>
      </c>
    </row>
    <row r="1187">
      <c r="A1187" s="16" t="n">
        <v>46403</v>
      </c>
      <c r="B1187" t="inlineStr">
        <is>
          <t>CLE</t>
        </is>
      </c>
    </row>
    <row r="1188">
      <c r="A1188" s="16" t="n">
        <v>46403</v>
      </c>
      <c r="B1188" t="inlineStr">
        <is>
          <t>DAL</t>
        </is>
      </c>
    </row>
    <row r="1189">
      <c r="A1189" s="16" t="n">
        <v>46403</v>
      </c>
      <c r="B1189" t="inlineStr">
        <is>
          <t>DEN</t>
        </is>
      </c>
    </row>
    <row r="1190">
      <c r="A1190" s="16" t="n">
        <v>46403</v>
      </c>
      <c r="B1190" t="inlineStr">
        <is>
          <t>DET</t>
        </is>
      </c>
    </row>
    <row r="1191">
      <c r="A1191" s="16" t="n">
        <v>46403</v>
      </c>
      <c r="B1191" t="inlineStr">
        <is>
          <t>HOU</t>
        </is>
      </c>
    </row>
    <row r="1192">
      <c r="A1192" s="16" t="n">
        <v>46403</v>
      </c>
      <c r="B1192" t="inlineStr">
        <is>
          <t>MEM</t>
        </is>
      </c>
    </row>
    <row r="1193">
      <c r="A1193" s="16" t="n">
        <v>46403</v>
      </c>
      <c r="B1193" t="inlineStr">
        <is>
          <t>MIN</t>
        </is>
      </c>
    </row>
    <row r="1194">
      <c r="A1194" s="16" t="n">
        <v>46403</v>
      </c>
      <c r="B1194" t="inlineStr">
        <is>
          <t>NYK</t>
        </is>
      </c>
    </row>
    <row r="1195">
      <c r="A1195" s="16" t="n">
        <v>46403</v>
      </c>
      <c r="B1195" t="inlineStr">
        <is>
          <t>PHI</t>
        </is>
      </c>
    </row>
    <row r="1196">
      <c r="A1196" s="16" t="n">
        <v>46404</v>
      </c>
      <c r="B1196" t="inlineStr">
        <is>
          <t>CHI</t>
        </is>
      </c>
    </row>
    <row r="1197">
      <c r="A1197" s="16" t="n">
        <v>46404</v>
      </c>
      <c r="B1197" t="inlineStr">
        <is>
          <t>DEN</t>
        </is>
      </c>
    </row>
    <row r="1198">
      <c r="A1198" s="16" t="n">
        <v>46404</v>
      </c>
      <c r="B1198" t="inlineStr">
        <is>
          <t>GSW</t>
        </is>
      </c>
    </row>
    <row r="1199">
      <c r="A1199" s="16" t="n">
        <v>46404</v>
      </c>
      <c r="B1199" t="inlineStr">
        <is>
          <t>IND</t>
        </is>
      </c>
    </row>
    <row r="1200">
      <c r="A1200" s="16" t="n">
        <v>46404</v>
      </c>
      <c r="B1200" t="inlineStr">
        <is>
          <t>LAL</t>
        </is>
      </c>
    </row>
    <row r="1201">
      <c r="A1201" s="16" t="n">
        <v>46404</v>
      </c>
      <c r="B1201" t="inlineStr">
        <is>
          <t>MIA</t>
        </is>
      </c>
    </row>
    <row r="1202">
      <c r="A1202" s="16" t="n">
        <v>46404</v>
      </c>
      <c r="B1202" t="inlineStr">
        <is>
          <t>MIL</t>
        </is>
      </c>
    </row>
    <row r="1203">
      <c r="A1203" s="16" t="n">
        <v>46404</v>
      </c>
      <c r="B1203" t="inlineStr">
        <is>
          <t>NOR</t>
        </is>
      </c>
    </row>
    <row r="1204">
      <c r="A1204" s="16" t="n">
        <v>46404</v>
      </c>
      <c r="B1204" t="inlineStr">
        <is>
          <t>OKC</t>
        </is>
      </c>
    </row>
    <row r="1205">
      <c r="A1205" s="16" t="n">
        <v>46404</v>
      </c>
      <c r="B1205" t="inlineStr">
        <is>
          <t>ORL</t>
        </is>
      </c>
    </row>
    <row r="1206">
      <c r="A1206" s="16" t="n">
        <v>46404</v>
      </c>
      <c r="B1206" t="inlineStr">
        <is>
          <t>POR</t>
        </is>
      </c>
    </row>
    <row r="1207">
      <c r="A1207" s="16" t="n">
        <v>46404</v>
      </c>
      <c r="B1207" t="inlineStr">
        <is>
          <t>SAC</t>
        </is>
      </c>
    </row>
    <row r="1208">
      <c r="A1208" s="16" t="n">
        <v>46404</v>
      </c>
      <c r="B1208" t="inlineStr">
        <is>
          <t>SAS</t>
        </is>
      </c>
    </row>
    <row r="1209">
      <c r="A1209" s="16" t="n">
        <v>46404</v>
      </c>
      <c r="B1209" t="inlineStr">
        <is>
          <t>TOR</t>
        </is>
      </c>
    </row>
    <row r="1210">
      <c r="A1210" s="16" t="n">
        <v>46404</v>
      </c>
      <c r="B1210" t="inlineStr">
        <is>
          <t>UTH</t>
        </is>
      </c>
    </row>
    <row r="1211">
      <c r="A1211" s="16" t="n">
        <v>46404</v>
      </c>
      <c r="B1211" t="inlineStr">
        <is>
          <t>WAS</t>
        </is>
      </c>
    </row>
    <row r="1212">
      <c r="A1212" s="16" t="n">
        <v>46405</v>
      </c>
      <c r="B1212" t="inlineStr">
        <is>
          <t>ATL</t>
        </is>
      </c>
    </row>
    <row r="1213">
      <c r="A1213" s="16" t="n">
        <v>46405</v>
      </c>
      <c r="B1213" t="inlineStr">
        <is>
          <t>BOS</t>
        </is>
      </c>
    </row>
    <row r="1214">
      <c r="A1214" s="16" t="n">
        <v>46405</v>
      </c>
      <c r="B1214" t="inlineStr">
        <is>
          <t>CLE</t>
        </is>
      </c>
    </row>
    <row r="1215">
      <c r="A1215" s="16" t="n">
        <v>46405</v>
      </c>
      <c r="B1215" t="inlineStr">
        <is>
          <t>DAL</t>
        </is>
      </c>
    </row>
    <row r="1216">
      <c r="A1216" s="16" t="n">
        <v>46405</v>
      </c>
      <c r="B1216" t="inlineStr">
        <is>
          <t>DET</t>
        </is>
      </c>
    </row>
    <row r="1217">
      <c r="A1217" s="16" t="n">
        <v>46405</v>
      </c>
      <c r="B1217" t="inlineStr">
        <is>
          <t>HOU</t>
        </is>
      </c>
    </row>
    <row r="1218">
      <c r="A1218" s="16" t="n">
        <v>46405</v>
      </c>
      <c r="B1218" t="inlineStr">
        <is>
          <t>LAC</t>
        </is>
      </c>
    </row>
    <row r="1219">
      <c r="A1219" s="16" t="n">
        <v>46405</v>
      </c>
      <c r="B1219" t="inlineStr">
        <is>
          <t>MEM</t>
        </is>
      </c>
    </row>
    <row r="1220">
      <c r="A1220" s="16" t="n">
        <v>46405</v>
      </c>
      <c r="B1220" t="inlineStr">
        <is>
          <t>MIN</t>
        </is>
      </c>
    </row>
    <row r="1221">
      <c r="A1221" s="16" t="n">
        <v>46405</v>
      </c>
      <c r="B1221" t="inlineStr">
        <is>
          <t>NYK</t>
        </is>
      </c>
    </row>
    <row r="1222">
      <c r="A1222" s="16" t="n">
        <v>46405</v>
      </c>
      <c r="B1222" t="inlineStr">
        <is>
          <t>OKC</t>
        </is>
      </c>
    </row>
    <row r="1223">
      <c r="A1223" s="16" t="n">
        <v>46405</v>
      </c>
      <c r="B1223" t="inlineStr">
        <is>
          <t>PHI</t>
        </is>
      </c>
    </row>
    <row r="1224">
      <c r="A1224" s="16" t="n">
        <v>46405</v>
      </c>
      <c r="B1224" t="inlineStr">
        <is>
          <t>PHO</t>
        </is>
      </c>
    </row>
    <row r="1225">
      <c r="A1225" s="16" t="n">
        <v>46405</v>
      </c>
      <c r="B1225" t="inlineStr">
        <is>
          <t>WAS</t>
        </is>
      </c>
    </row>
    <row r="1226">
      <c r="A1226" s="16" t="n">
        <v>46406</v>
      </c>
      <c r="B1226" t="inlineStr">
        <is>
          <t>CHA</t>
        </is>
      </c>
    </row>
    <row r="1227">
      <c r="A1227" s="16" t="n">
        <v>46406</v>
      </c>
      <c r="B1227" t="inlineStr">
        <is>
          <t>CHI</t>
        </is>
      </c>
    </row>
    <row r="1228">
      <c r="A1228" s="16" t="n">
        <v>46406</v>
      </c>
      <c r="B1228" t="inlineStr">
        <is>
          <t>DAL</t>
        </is>
      </c>
    </row>
    <row r="1229">
      <c r="A1229" s="16" t="n">
        <v>46406</v>
      </c>
      <c r="B1229" t="inlineStr">
        <is>
          <t>DEN</t>
        </is>
      </c>
    </row>
    <row r="1230">
      <c r="A1230" s="16" t="n">
        <v>46406</v>
      </c>
      <c r="B1230" t="inlineStr">
        <is>
          <t>GSW</t>
        </is>
      </c>
    </row>
    <row r="1231">
      <c r="A1231" s="16" t="n">
        <v>46406</v>
      </c>
      <c r="B1231" t="inlineStr">
        <is>
          <t>IND</t>
        </is>
      </c>
    </row>
    <row r="1232">
      <c r="A1232" s="16" t="n">
        <v>46406</v>
      </c>
      <c r="B1232" t="inlineStr">
        <is>
          <t>LAL</t>
        </is>
      </c>
    </row>
    <row r="1233">
      <c r="A1233" s="16" t="n">
        <v>46406</v>
      </c>
      <c r="B1233" t="inlineStr">
        <is>
          <t>MIA</t>
        </is>
      </c>
    </row>
    <row r="1234">
      <c r="A1234" s="16" t="n">
        <v>46406</v>
      </c>
      <c r="B1234" t="inlineStr">
        <is>
          <t>ORL</t>
        </is>
      </c>
    </row>
    <row r="1235">
      <c r="A1235" s="16" t="n">
        <v>46406</v>
      </c>
      <c r="B1235" t="inlineStr">
        <is>
          <t>PHI</t>
        </is>
      </c>
    </row>
    <row r="1236">
      <c r="A1236" s="16" t="n">
        <v>46406</v>
      </c>
      <c r="B1236" t="inlineStr">
        <is>
          <t>POR</t>
        </is>
      </c>
    </row>
    <row r="1237">
      <c r="A1237" s="16" t="n">
        <v>46406</v>
      </c>
      <c r="B1237" t="inlineStr">
        <is>
          <t>SAC</t>
        </is>
      </c>
    </row>
    <row r="1238">
      <c r="A1238" s="16" t="n">
        <v>46406</v>
      </c>
      <c r="B1238" t="inlineStr">
        <is>
          <t>TOR</t>
        </is>
      </c>
    </row>
    <row r="1239">
      <c r="A1239" s="16" t="n">
        <v>46406</v>
      </c>
      <c r="B1239" t="inlineStr">
        <is>
          <t>UTH</t>
        </is>
      </c>
    </row>
    <row r="1240">
      <c r="A1240" s="16" t="n">
        <v>46407</v>
      </c>
      <c r="B1240" t="inlineStr">
        <is>
          <t>ATL</t>
        </is>
      </c>
    </row>
    <row r="1241">
      <c r="A1241" s="16" t="n">
        <v>46407</v>
      </c>
      <c r="B1241" t="inlineStr">
        <is>
          <t>BKN</t>
        </is>
      </c>
    </row>
    <row r="1242">
      <c r="A1242" s="16" t="n">
        <v>46407</v>
      </c>
      <c r="B1242" t="inlineStr">
        <is>
          <t>BOS</t>
        </is>
      </c>
    </row>
    <row r="1243">
      <c r="A1243" s="16" t="n">
        <v>46407</v>
      </c>
      <c r="B1243" t="inlineStr">
        <is>
          <t>CHI</t>
        </is>
      </c>
    </row>
    <row r="1244">
      <c r="A1244" s="16" t="n">
        <v>46407</v>
      </c>
      <c r="B1244" t="inlineStr">
        <is>
          <t>HOU</t>
        </is>
      </c>
    </row>
    <row r="1245">
      <c r="A1245" s="16" t="n">
        <v>46407</v>
      </c>
      <c r="B1245" t="inlineStr">
        <is>
          <t>IND</t>
        </is>
      </c>
    </row>
    <row r="1246">
      <c r="A1246" s="16" t="n">
        <v>46407</v>
      </c>
      <c r="B1246" t="inlineStr">
        <is>
          <t>LAC</t>
        </is>
      </c>
    </row>
    <row r="1247">
      <c r="A1247" s="16" t="n">
        <v>46407</v>
      </c>
      <c r="B1247" t="inlineStr">
        <is>
          <t>MEM</t>
        </is>
      </c>
    </row>
    <row r="1248">
      <c r="A1248" s="16" t="n">
        <v>46407</v>
      </c>
      <c r="B1248" t="inlineStr">
        <is>
          <t>MIA</t>
        </is>
      </c>
    </row>
    <row r="1249">
      <c r="A1249" s="16" t="n">
        <v>46407</v>
      </c>
      <c r="B1249" t="inlineStr">
        <is>
          <t>MIL</t>
        </is>
      </c>
    </row>
    <row r="1250">
      <c r="A1250" s="16" t="n">
        <v>46407</v>
      </c>
      <c r="B1250" t="inlineStr">
        <is>
          <t>MIN</t>
        </is>
      </c>
    </row>
    <row r="1251">
      <c r="A1251" s="16" t="n">
        <v>46407</v>
      </c>
      <c r="B1251" t="inlineStr">
        <is>
          <t>NOR</t>
        </is>
      </c>
    </row>
    <row r="1252">
      <c r="A1252" s="16" t="n">
        <v>46407</v>
      </c>
      <c r="B1252" t="inlineStr">
        <is>
          <t>NYK</t>
        </is>
      </c>
    </row>
    <row r="1253">
      <c r="A1253" s="16" t="n">
        <v>46407</v>
      </c>
      <c r="B1253" t="inlineStr">
        <is>
          <t>OKC</t>
        </is>
      </c>
    </row>
    <row r="1254">
      <c r="A1254" s="16" t="n">
        <v>46407</v>
      </c>
      <c r="B1254" t="inlineStr">
        <is>
          <t>PHO</t>
        </is>
      </c>
    </row>
    <row r="1255">
      <c r="A1255" s="16" t="n">
        <v>46407</v>
      </c>
      <c r="B1255" t="inlineStr">
        <is>
          <t>POR</t>
        </is>
      </c>
    </row>
    <row r="1256">
      <c r="A1256" s="16" t="n">
        <v>46407</v>
      </c>
      <c r="B1256" t="inlineStr">
        <is>
          <t>SAC</t>
        </is>
      </c>
    </row>
    <row r="1257">
      <c r="A1257" s="16" t="n">
        <v>46407</v>
      </c>
      <c r="B1257" t="inlineStr">
        <is>
          <t>SAS</t>
        </is>
      </c>
    </row>
    <row r="1258">
      <c r="A1258" s="16" t="n">
        <v>46407</v>
      </c>
      <c r="B1258" t="inlineStr">
        <is>
          <t>TOR</t>
        </is>
      </c>
    </row>
    <row r="1259">
      <c r="A1259" s="16" t="n">
        <v>46407</v>
      </c>
      <c r="B1259" t="inlineStr">
        <is>
          <t>UTH</t>
        </is>
      </c>
    </row>
    <row r="1260">
      <c r="A1260" s="16" t="n">
        <v>46408</v>
      </c>
      <c r="B1260" t="inlineStr">
        <is>
          <t>BKN</t>
        </is>
      </c>
    </row>
    <row r="1261">
      <c r="A1261" s="16" t="n">
        <v>46408</v>
      </c>
      <c r="B1261" t="inlineStr">
        <is>
          <t>BOS</t>
        </is>
      </c>
    </row>
    <row r="1262">
      <c r="A1262" s="16" t="n">
        <v>46408</v>
      </c>
      <c r="B1262" t="inlineStr">
        <is>
          <t>CLE</t>
        </is>
      </c>
    </row>
    <row r="1263">
      <c r="A1263" s="16" t="n">
        <v>46408</v>
      </c>
      <c r="B1263" t="inlineStr">
        <is>
          <t>DEN</t>
        </is>
      </c>
    </row>
    <row r="1264">
      <c r="A1264" s="16" t="n">
        <v>46408</v>
      </c>
      <c r="B1264" t="inlineStr">
        <is>
          <t>GSW</t>
        </is>
      </c>
    </row>
    <row r="1265">
      <c r="A1265" s="16" t="n">
        <v>46408</v>
      </c>
      <c r="B1265" t="inlineStr">
        <is>
          <t>LAL</t>
        </is>
      </c>
    </row>
    <row r="1266">
      <c r="A1266" s="16" t="n">
        <v>46408</v>
      </c>
      <c r="B1266" t="inlineStr">
        <is>
          <t>PHI</t>
        </is>
      </c>
    </row>
    <row r="1267">
      <c r="A1267" s="16" t="n">
        <v>46408</v>
      </c>
      <c r="B1267" t="inlineStr">
        <is>
          <t>WAS</t>
        </is>
      </c>
    </row>
    <row r="1268">
      <c r="A1268" s="16" t="n">
        <v>46409</v>
      </c>
      <c r="B1268" t="inlineStr">
        <is>
          <t>ATL</t>
        </is>
      </c>
    </row>
    <row r="1269">
      <c r="A1269" s="16" t="n">
        <v>46409</v>
      </c>
      <c r="B1269" t="inlineStr">
        <is>
          <t>CHA</t>
        </is>
      </c>
    </row>
    <row r="1270">
      <c r="A1270" s="16" t="n">
        <v>46409</v>
      </c>
      <c r="B1270" t="inlineStr">
        <is>
          <t>DAL</t>
        </is>
      </c>
    </row>
    <row r="1271">
      <c r="A1271" s="16" t="n">
        <v>46409</v>
      </c>
      <c r="B1271" t="inlineStr">
        <is>
          <t>DET</t>
        </is>
      </c>
    </row>
    <row r="1272">
      <c r="A1272" s="16" t="n">
        <v>46409</v>
      </c>
      <c r="B1272" t="inlineStr">
        <is>
          <t>GSW</t>
        </is>
      </c>
    </row>
    <row r="1273">
      <c r="A1273" s="16" t="n">
        <v>46409</v>
      </c>
      <c r="B1273" t="inlineStr">
        <is>
          <t>HOU</t>
        </is>
      </c>
    </row>
    <row r="1274">
      <c r="A1274" s="16" t="n">
        <v>46409</v>
      </c>
      <c r="B1274" t="inlineStr">
        <is>
          <t>IND</t>
        </is>
      </c>
    </row>
    <row r="1275">
      <c r="A1275" s="16" t="n">
        <v>46409</v>
      </c>
      <c r="B1275" t="inlineStr">
        <is>
          <t>LAC</t>
        </is>
      </c>
    </row>
    <row r="1276">
      <c r="A1276" s="16" t="n">
        <v>46409</v>
      </c>
      <c r="B1276" t="inlineStr">
        <is>
          <t>LAL</t>
        </is>
      </c>
    </row>
    <row r="1277">
      <c r="A1277" s="16" t="n">
        <v>46409</v>
      </c>
      <c r="B1277" t="inlineStr">
        <is>
          <t>MEM</t>
        </is>
      </c>
    </row>
    <row r="1278">
      <c r="A1278" s="16" t="n">
        <v>46409</v>
      </c>
      <c r="B1278" t="inlineStr">
        <is>
          <t>MIL</t>
        </is>
      </c>
    </row>
    <row r="1279">
      <c r="A1279" s="16" t="n">
        <v>46409</v>
      </c>
      <c r="B1279" t="inlineStr">
        <is>
          <t>MIN</t>
        </is>
      </c>
    </row>
    <row r="1280">
      <c r="A1280" s="16" t="n">
        <v>46409</v>
      </c>
      <c r="B1280" t="inlineStr">
        <is>
          <t>NOR</t>
        </is>
      </c>
    </row>
    <row r="1281">
      <c r="A1281" s="16" t="n">
        <v>46409</v>
      </c>
      <c r="B1281" t="inlineStr">
        <is>
          <t>NYK</t>
        </is>
      </c>
    </row>
    <row r="1282">
      <c r="A1282" s="16" t="n">
        <v>46409</v>
      </c>
      <c r="B1282" t="inlineStr">
        <is>
          <t>OKC</t>
        </is>
      </c>
    </row>
    <row r="1283">
      <c r="A1283" s="16" t="n">
        <v>46409</v>
      </c>
      <c r="B1283" t="inlineStr">
        <is>
          <t>ORL</t>
        </is>
      </c>
    </row>
    <row r="1284">
      <c r="A1284" s="16" t="n">
        <v>46409</v>
      </c>
      <c r="B1284" t="inlineStr">
        <is>
          <t>PHO</t>
        </is>
      </c>
    </row>
    <row r="1285">
      <c r="A1285" s="16" t="n">
        <v>46409</v>
      </c>
      <c r="B1285" t="inlineStr">
        <is>
          <t>POR</t>
        </is>
      </c>
    </row>
    <row r="1286">
      <c r="A1286" s="16" t="n">
        <v>46409</v>
      </c>
      <c r="B1286" t="inlineStr">
        <is>
          <t>SAC</t>
        </is>
      </c>
    </row>
    <row r="1287">
      <c r="A1287" s="16" t="n">
        <v>46409</v>
      </c>
      <c r="B1287" t="inlineStr">
        <is>
          <t>SAS</t>
        </is>
      </c>
    </row>
    <row r="1288">
      <c r="A1288" s="16" t="n">
        <v>46409</v>
      </c>
      <c r="B1288" t="inlineStr">
        <is>
          <t>UTH</t>
        </is>
      </c>
    </row>
    <row r="1289">
      <c r="A1289" s="16" t="n">
        <v>46409</v>
      </c>
      <c r="B1289" t="inlineStr">
        <is>
          <t>WAS</t>
        </is>
      </c>
    </row>
    <row r="1290">
      <c r="A1290" s="16" t="n">
        <v>46410</v>
      </c>
      <c r="B1290" t="inlineStr">
        <is>
          <t>ATL</t>
        </is>
      </c>
    </row>
    <row r="1291">
      <c r="A1291" s="16" t="n">
        <v>46410</v>
      </c>
      <c r="B1291" t="inlineStr">
        <is>
          <t>BKN</t>
        </is>
      </c>
    </row>
    <row r="1292">
      <c r="A1292" s="16" t="n">
        <v>46410</v>
      </c>
      <c r="B1292" t="inlineStr">
        <is>
          <t>BOS</t>
        </is>
      </c>
    </row>
    <row r="1293">
      <c r="A1293" s="16" t="n">
        <v>46410</v>
      </c>
      <c r="B1293" t="inlineStr">
        <is>
          <t>CHA</t>
        </is>
      </c>
    </row>
    <row r="1294">
      <c r="A1294" s="16" t="n">
        <v>46410</v>
      </c>
      <c r="B1294" t="inlineStr">
        <is>
          <t>CHI</t>
        </is>
      </c>
    </row>
    <row r="1295">
      <c r="A1295" s="16" t="n">
        <v>46410</v>
      </c>
      <c r="B1295" t="inlineStr">
        <is>
          <t>CLE</t>
        </is>
      </c>
    </row>
    <row r="1296">
      <c r="A1296" s="16" t="n">
        <v>46410</v>
      </c>
      <c r="B1296" t="inlineStr">
        <is>
          <t>DAL</t>
        </is>
      </c>
    </row>
    <row r="1297">
      <c r="A1297" s="16" t="n">
        <v>46410</v>
      </c>
      <c r="B1297" t="inlineStr">
        <is>
          <t>DEN</t>
        </is>
      </c>
    </row>
    <row r="1298">
      <c r="A1298" s="16" t="n">
        <v>46410</v>
      </c>
      <c r="B1298" t="inlineStr">
        <is>
          <t>MIA</t>
        </is>
      </c>
    </row>
    <row r="1299">
      <c r="A1299" s="16" t="n">
        <v>46410</v>
      </c>
      <c r="B1299" t="inlineStr">
        <is>
          <t>MIL</t>
        </is>
      </c>
    </row>
    <row r="1300">
      <c r="A1300" s="16" t="n">
        <v>46410</v>
      </c>
      <c r="B1300" t="inlineStr">
        <is>
          <t>PHI</t>
        </is>
      </c>
    </row>
    <row r="1301">
      <c r="A1301" s="16" t="n">
        <v>46410</v>
      </c>
      <c r="B1301" t="inlineStr">
        <is>
          <t>TOR</t>
        </is>
      </c>
    </row>
    <row r="1302">
      <c r="A1302" s="16" t="n">
        <v>46411</v>
      </c>
      <c r="B1302" t="inlineStr">
        <is>
          <t>DET</t>
        </is>
      </c>
    </row>
    <row r="1303">
      <c r="A1303" s="16" t="n">
        <v>46411</v>
      </c>
      <c r="B1303" t="inlineStr">
        <is>
          <t>GSW</t>
        </is>
      </c>
    </row>
    <row r="1304">
      <c r="A1304" s="16" t="n">
        <v>46411</v>
      </c>
      <c r="B1304" t="inlineStr">
        <is>
          <t>HOU</t>
        </is>
      </c>
    </row>
    <row r="1305">
      <c r="A1305" s="16" t="n">
        <v>46411</v>
      </c>
      <c r="B1305" t="inlineStr">
        <is>
          <t>LAC</t>
        </is>
      </c>
    </row>
    <row r="1306">
      <c r="A1306" s="16" t="n">
        <v>46411</v>
      </c>
      <c r="B1306" t="inlineStr">
        <is>
          <t>LAL</t>
        </is>
      </c>
    </row>
    <row r="1307">
      <c r="A1307" s="16" t="n">
        <v>46411</v>
      </c>
      <c r="B1307" t="inlineStr">
        <is>
          <t>MIN</t>
        </is>
      </c>
    </row>
    <row r="1308">
      <c r="A1308" s="16" t="n">
        <v>46411</v>
      </c>
      <c r="B1308" t="inlineStr">
        <is>
          <t>NYK</t>
        </is>
      </c>
    </row>
    <row r="1309">
      <c r="A1309" s="16" t="n">
        <v>46411</v>
      </c>
      <c r="B1309" t="inlineStr">
        <is>
          <t>OKC</t>
        </is>
      </c>
    </row>
    <row r="1310">
      <c r="A1310" s="16" t="n">
        <v>46411</v>
      </c>
      <c r="B1310" t="inlineStr">
        <is>
          <t>ORL</t>
        </is>
      </c>
    </row>
    <row r="1311">
      <c r="A1311" s="16" t="n">
        <v>46411</v>
      </c>
      <c r="B1311" t="inlineStr">
        <is>
          <t>PHO</t>
        </is>
      </c>
    </row>
    <row r="1312">
      <c r="A1312" s="16" t="n">
        <v>46411</v>
      </c>
      <c r="B1312" t="inlineStr">
        <is>
          <t>POR</t>
        </is>
      </c>
    </row>
    <row r="1313">
      <c r="A1313" s="16" t="n">
        <v>46411</v>
      </c>
      <c r="B1313" t="inlineStr">
        <is>
          <t>SAS</t>
        </is>
      </c>
    </row>
    <row r="1314">
      <c r="A1314" s="16" t="n">
        <v>46411</v>
      </c>
      <c r="B1314" t="inlineStr">
        <is>
          <t>UTH</t>
        </is>
      </c>
    </row>
    <row r="1315">
      <c r="A1315" s="16" t="n">
        <v>46411</v>
      </c>
      <c r="B1315" t="inlineStr">
        <is>
          <t>WAS</t>
        </is>
      </c>
    </row>
    <row r="1316">
      <c r="A1316" s="16" t="n">
        <v>46412</v>
      </c>
      <c r="B1316" t="inlineStr">
        <is>
          <t>BKN</t>
        </is>
      </c>
    </row>
    <row r="1317">
      <c r="A1317" s="16" t="n">
        <v>46412</v>
      </c>
      <c r="B1317" t="inlineStr">
        <is>
          <t>BOS</t>
        </is>
      </c>
    </row>
    <row r="1318">
      <c r="A1318" s="16" t="n">
        <v>46412</v>
      </c>
      <c r="B1318" t="inlineStr">
        <is>
          <t>CHA</t>
        </is>
      </c>
    </row>
    <row r="1319">
      <c r="A1319" s="16" t="n">
        <v>46412</v>
      </c>
      <c r="B1319" t="inlineStr">
        <is>
          <t>CHI</t>
        </is>
      </c>
    </row>
    <row r="1320">
      <c r="A1320" s="16" t="n">
        <v>46412</v>
      </c>
      <c r="B1320" t="inlineStr">
        <is>
          <t>CLE</t>
        </is>
      </c>
    </row>
    <row r="1321">
      <c r="A1321" s="16" t="n">
        <v>46412</v>
      </c>
      <c r="B1321" t="inlineStr">
        <is>
          <t>DAL</t>
        </is>
      </c>
    </row>
    <row r="1322">
      <c r="A1322" s="16" t="n">
        <v>46412</v>
      </c>
      <c r="B1322" t="inlineStr">
        <is>
          <t>DEN</t>
        </is>
      </c>
    </row>
    <row r="1323">
      <c r="A1323" s="16" t="n">
        <v>46412</v>
      </c>
      <c r="B1323" t="inlineStr">
        <is>
          <t>LAC</t>
        </is>
      </c>
    </row>
    <row r="1324">
      <c r="A1324" s="16" t="n">
        <v>46412</v>
      </c>
      <c r="B1324" t="inlineStr">
        <is>
          <t>MEM</t>
        </is>
      </c>
    </row>
    <row r="1325">
      <c r="A1325" s="16" t="n">
        <v>46412</v>
      </c>
      <c r="B1325" t="inlineStr">
        <is>
          <t>MIA</t>
        </is>
      </c>
    </row>
    <row r="1326">
      <c r="A1326" s="16" t="n">
        <v>46412</v>
      </c>
      <c r="B1326" t="inlineStr">
        <is>
          <t>MIN</t>
        </is>
      </c>
    </row>
    <row r="1327">
      <c r="A1327" s="16" t="n">
        <v>46412</v>
      </c>
      <c r="B1327" t="inlineStr">
        <is>
          <t>NOR</t>
        </is>
      </c>
    </row>
    <row r="1328">
      <c r="A1328" s="16" t="n">
        <v>46412</v>
      </c>
      <c r="B1328" t="inlineStr">
        <is>
          <t>ORL</t>
        </is>
      </c>
    </row>
    <row r="1329">
      <c r="A1329" s="16" t="n">
        <v>46412</v>
      </c>
      <c r="B1329" t="inlineStr">
        <is>
          <t>PHI</t>
        </is>
      </c>
    </row>
    <row r="1330">
      <c r="A1330" s="16" t="n">
        <v>46412</v>
      </c>
      <c r="B1330" t="inlineStr">
        <is>
          <t>SAC</t>
        </is>
      </c>
    </row>
    <row r="1331">
      <c r="A1331" s="16" t="n">
        <v>46412</v>
      </c>
      <c r="B1331" t="inlineStr">
        <is>
          <t>TOR</t>
        </is>
      </c>
    </row>
    <row r="1332">
      <c r="A1332" s="16" t="n">
        <v>46413</v>
      </c>
      <c r="B1332" t="inlineStr">
        <is>
          <t>ATL</t>
        </is>
      </c>
    </row>
    <row r="1333">
      <c r="A1333" s="16" t="n">
        <v>46413</v>
      </c>
      <c r="B1333" t="inlineStr">
        <is>
          <t>CHI</t>
        </is>
      </c>
    </row>
    <row r="1334">
      <c r="A1334" s="16" t="n">
        <v>46413</v>
      </c>
      <c r="B1334" t="inlineStr">
        <is>
          <t>DET</t>
        </is>
      </c>
    </row>
    <row r="1335">
      <c r="A1335" s="16" t="n">
        <v>46413</v>
      </c>
      <c r="B1335" t="inlineStr">
        <is>
          <t>HOU</t>
        </is>
      </c>
    </row>
    <row r="1336">
      <c r="A1336" s="16" t="n">
        <v>46413</v>
      </c>
      <c r="B1336" t="inlineStr">
        <is>
          <t>IND</t>
        </is>
      </c>
    </row>
    <row r="1337">
      <c r="A1337" s="16" t="n">
        <v>46413</v>
      </c>
      <c r="B1337" t="inlineStr">
        <is>
          <t>LAL</t>
        </is>
      </c>
    </row>
    <row r="1338">
      <c r="A1338" s="16" t="n">
        <v>46413</v>
      </c>
      <c r="B1338" t="inlineStr">
        <is>
          <t>MIL</t>
        </is>
      </c>
    </row>
    <row r="1339">
      <c r="A1339" s="16" t="n">
        <v>46413</v>
      </c>
      <c r="B1339" t="inlineStr">
        <is>
          <t>NYK</t>
        </is>
      </c>
    </row>
    <row r="1340">
      <c r="A1340" s="16" t="n">
        <v>46413</v>
      </c>
      <c r="B1340" t="inlineStr">
        <is>
          <t>OKC</t>
        </is>
      </c>
    </row>
    <row r="1341">
      <c r="A1341" s="16" t="n">
        <v>46413</v>
      </c>
      <c r="B1341" t="inlineStr">
        <is>
          <t>PHO</t>
        </is>
      </c>
    </row>
    <row r="1342">
      <c r="A1342" s="16" t="n">
        <v>46413</v>
      </c>
      <c r="B1342" t="inlineStr">
        <is>
          <t>POR</t>
        </is>
      </c>
    </row>
    <row r="1343">
      <c r="A1343" s="16" t="n">
        <v>46413</v>
      </c>
      <c r="B1343" t="inlineStr">
        <is>
          <t>SAS</t>
        </is>
      </c>
    </row>
    <row r="1344">
      <c r="A1344" s="16" t="n">
        <v>46413</v>
      </c>
      <c r="B1344" t="inlineStr">
        <is>
          <t>UTH</t>
        </is>
      </c>
    </row>
    <row r="1345">
      <c r="A1345" s="16" t="n">
        <v>46413</v>
      </c>
      <c r="B1345" t="inlineStr">
        <is>
          <t>WAS</t>
        </is>
      </c>
    </row>
    <row r="1346">
      <c r="A1346" s="16" t="n">
        <v>46414</v>
      </c>
      <c r="B1346" t="inlineStr">
        <is>
          <t>BKN</t>
        </is>
      </c>
    </row>
    <row r="1347">
      <c r="A1347" s="16" t="n">
        <v>46414</v>
      </c>
      <c r="B1347" t="inlineStr">
        <is>
          <t>BOS</t>
        </is>
      </c>
    </row>
    <row r="1348">
      <c r="A1348" s="16" t="n">
        <v>46414</v>
      </c>
      <c r="B1348" t="inlineStr">
        <is>
          <t>CHA</t>
        </is>
      </c>
    </row>
    <row r="1349">
      <c r="A1349" s="16" t="n">
        <v>46414</v>
      </c>
      <c r="B1349" t="inlineStr">
        <is>
          <t>CLE</t>
        </is>
      </c>
    </row>
    <row r="1350">
      <c r="A1350" s="16" t="n">
        <v>46414</v>
      </c>
      <c r="B1350" t="inlineStr">
        <is>
          <t>DAL</t>
        </is>
      </c>
    </row>
    <row r="1351">
      <c r="A1351" s="16" t="n">
        <v>46414</v>
      </c>
      <c r="B1351" t="inlineStr">
        <is>
          <t>DEN</t>
        </is>
      </c>
    </row>
    <row r="1352">
      <c r="A1352" s="16" t="n">
        <v>46414</v>
      </c>
      <c r="B1352" t="inlineStr">
        <is>
          <t>DET</t>
        </is>
      </c>
    </row>
    <row r="1353">
      <c r="A1353" s="16" t="n">
        <v>46414</v>
      </c>
      <c r="B1353" t="inlineStr">
        <is>
          <t>GSW</t>
        </is>
      </c>
    </row>
    <row r="1354">
      <c r="A1354" s="16" t="n">
        <v>46414</v>
      </c>
      <c r="B1354" t="inlineStr">
        <is>
          <t>HOU</t>
        </is>
      </c>
    </row>
    <row r="1355">
      <c r="A1355" s="16" t="n">
        <v>46414</v>
      </c>
      <c r="B1355" t="inlineStr">
        <is>
          <t>LAC</t>
        </is>
      </c>
    </row>
    <row r="1356">
      <c r="A1356" s="16" t="n">
        <v>46414</v>
      </c>
      <c r="B1356" t="inlineStr">
        <is>
          <t>MIN</t>
        </is>
      </c>
    </row>
    <row r="1357">
      <c r="A1357" s="16" t="n">
        <v>46414</v>
      </c>
      <c r="B1357" t="inlineStr">
        <is>
          <t>NOR</t>
        </is>
      </c>
    </row>
    <row r="1358">
      <c r="A1358" s="16" t="n">
        <v>46414</v>
      </c>
      <c r="B1358" t="inlineStr">
        <is>
          <t>PHI</t>
        </is>
      </c>
    </row>
    <row r="1359">
      <c r="A1359" s="16" t="n">
        <v>46414</v>
      </c>
      <c r="B1359" t="inlineStr">
        <is>
          <t>PHO</t>
        </is>
      </c>
    </row>
    <row r="1360">
      <c r="A1360" s="16" t="n">
        <v>46414</v>
      </c>
      <c r="B1360" t="inlineStr">
        <is>
          <t>POR</t>
        </is>
      </c>
    </row>
    <row r="1361">
      <c r="A1361" s="16" t="n">
        <v>46414</v>
      </c>
      <c r="B1361" t="inlineStr">
        <is>
          <t>SAC</t>
        </is>
      </c>
    </row>
    <row r="1362">
      <c r="A1362" s="16" t="n">
        <v>46414</v>
      </c>
      <c r="B1362" t="inlineStr">
        <is>
          <t>SAS</t>
        </is>
      </c>
    </row>
    <row r="1363">
      <c r="A1363" s="16" t="n">
        <v>46414</v>
      </c>
      <c r="B1363" t="inlineStr">
        <is>
          <t>TOR</t>
        </is>
      </c>
    </row>
    <row r="1364">
      <c r="A1364" s="16" t="n">
        <v>46415</v>
      </c>
      <c r="B1364" t="inlineStr">
        <is>
          <t>ATL</t>
        </is>
      </c>
    </row>
    <row r="1365">
      <c r="A1365" s="16" t="n">
        <v>46415</v>
      </c>
      <c r="B1365" t="inlineStr">
        <is>
          <t>CHI</t>
        </is>
      </c>
    </row>
    <row r="1366">
      <c r="A1366" s="16" t="n">
        <v>46415</v>
      </c>
      <c r="B1366" t="inlineStr">
        <is>
          <t>GSW</t>
        </is>
      </c>
    </row>
    <row r="1367">
      <c r="A1367" s="16" t="n">
        <v>46415</v>
      </c>
      <c r="B1367" t="inlineStr">
        <is>
          <t>IND</t>
        </is>
      </c>
    </row>
    <row r="1368">
      <c r="A1368" s="16" t="n">
        <v>46415</v>
      </c>
      <c r="B1368" t="inlineStr">
        <is>
          <t>LAL</t>
        </is>
      </c>
    </row>
    <row r="1369">
      <c r="A1369" s="16" t="n">
        <v>46415</v>
      </c>
      <c r="B1369" t="inlineStr">
        <is>
          <t>MEM</t>
        </is>
      </c>
    </row>
    <row r="1370">
      <c r="A1370" s="16" t="n">
        <v>46415</v>
      </c>
      <c r="B1370" t="inlineStr">
        <is>
          <t>MIA</t>
        </is>
      </c>
    </row>
    <row r="1371">
      <c r="A1371" s="16" t="n">
        <v>46415</v>
      </c>
      <c r="B1371" t="inlineStr">
        <is>
          <t>MIL</t>
        </is>
      </c>
    </row>
    <row r="1372">
      <c r="A1372" s="16" t="n">
        <v>46415</v>
      </c>
      <c r="B1372" t="inlineStr">
        <is>
          <t>NOR</t>
        </is>
      </c>
    </row>
    <row r="1373">
      <c r="A1373" s="16" t="n">
        <v>46415</v>
      </c>
      <c r="B1373" t="inlineStr">
        <is>
          <t>NYK</t>
        </is>
      </c>
    </row>
    <row r="1374">
      <c r="A1374" s="16" t="n">
        <v>46415</v>
      </c>
      <c r="B1374" t="inlineStr">
        <is>
          <t>OKC</t>
        </is>
      </c>
    </row>
    <row r="1375">
      <c r="A1375" s="16" t="n">
        <v>46415</v>
      </c>
      <c r="B1375" t="inlineStr">
        <is>
          <t>ORL</t>
        </is>
      </c>
    </row>
    <row r="1376">
      <c r="A1376" s="16" t="n">
        <v>46415</v>
      </c>
      <c r="B1376" t="inlineStr">
        <is>
          <t>PHI</t>
        </is>
      </c>
    </row>
    <row r="1377">
      <c r="A1377" s="16" t="n">
        <v>46415</v>
      </c>
      <c r="B1377" t="inlineStr">
        <is>
          <t>SAC</t>
        </is>
      </c>
    </row>
    <row r="1378">
      <c r="A1378" s="16" t="n">
        <v>46415</v>
      </c>
      <c r="B1378" t="inlineStr">
        <is>
          <t>UTH</t>
        </is>
      </c>
    </row>
    <row r="1379">
      <c r="A1379" s="16" t="n">
        <v>46415</v>
      </c>
      <c r="B1379" t="inlineStr">
        <is>
          <t>WAS</t>
        </is>
      </c>
    </row>
    <row r="1380">
      <c r="A1380" s="16" t="n">
        <v>46416</v>
      </c>
      <c r="B1380" t="inlineStr">
        <is>
          <t>BKN</t>
        </is>
      </c>
    </row>
    <row r="1381">
      <c r="A1381" s="16" t="n">
        <v>46416</v>
      </c>
      <c r="B1381" t="inlineStr">
        <is>
          <t>BOS</t>
        </is>
      </c>
    </row>
    <row r="1382">
      <c r="A1382" s="16" t="n">
        <v>46416</v>
      </c>
      <c r="B1382" t="inlineStr">
        <is>
          <t>CHA</t>
        </is>
      </c>
    </row>
    <row r="1383">
      <c r="A1383" s="16" t="n">
        <v>46416</v>
      </c>
      <c r="B1383" t="inlineStr">
        <is>
          <t>CLE</t>
        </is>
      </c>
    </row>
    <row r="1384">
      <c r="A1384" s="16" t="n">
        <v>46416</v>
      </c>
      <c r="B1384" t="inlineStr">
        <is>
          <t>DAL</t>
        </is>
      </c>
    </row>
    <row r="1385">
      <c r="A1385" s="16" t="n">
        <v>46416</v>
      </c>
      <c r="B1385" t="inlineStr">
        <is>
          <t>DET</t>
        </is>
      </c>
    </row>
    <row r="1386">
      <c r="A1386" s="16" t="n">
        <v>46416</v>
      </c>
      <c r="B1386" t="inlineStr">
        <is>
          <t>HOU</t>
        </is>
      </c>
    </row>
    <row r="1387">
      <c r="A1387" s="16" t="n">
        <v>46416</v>
      </c>
      <c r="B1387" t="inlineStr">
        <is>
          <t>LAC</t>
        </is>
      </c>
    </row>
    <row r="1388">
      <c r="A1388" s="16" t="n">
        <v>46416</v>
      </c>
      <c r="B1388" t="inlineStr">
        <is>
          <t>MIN</t>
        </is>
      </c>
    </row>
    <row r="1389">
      <c r="A1389" s="16" t="n">
        <v>46416</v>
      </c>
      <c r="B1389" t="inlineStr">
        <is>
          <t>ORL</t>
        </is>
      </c>
    </row>
    <row r="1390">
      <c r="A1390" s="16" t="n">
        <v>46416</v>
      </c>
      <c r="B1390" t="inlineStr">
        <is>
          <t>PHO</t>
        </is>
      </c>
    </row>
    <row r="1391">
      <c r="A1391" s="16" t="n">
        <v>46416</v>
      </c>
      <c r="B1391" t="inlineStr">
        <is>
          <t>TOR</t>
        </is>
      </c>
    </row>
    <row r="1392">
      <c r="A1392" s="16" t="n">
        <v>46417</v>
      </c>
      <c r="B1392" t="inlineStr">
        <is>
          <t>ATL</t>
        </is>
      </c>
    </row>
    <row r="1393">
      <c r="A1393" s="16" t="n">
        <v>46417</v>
      </c>
      <c r="B1393" t="inlineStr">
        <is>
          <t>CLE</t>
        </is>
      </c>
    </row>
    <row r="1394">
      <c r="A1394" s="16" t="n">
        <v>46417</v>
      </c>
      <c r="B1394" t="inlineStr">
        <is>
          <t>DEN</t>
        </is>
      </c>
    </row>
    <row r="1395">
      <c r="A1395" s="16" t="n">
        <v>46417</v>
      </c>
      <c r="B1395" t="inlineStr">
        <is>
          <t>GSW</t>
        </is>
      </c>
    </row>
    <row r="1396">
      <c r="A1396" s="16" t="n">
        <v>46417</v>
      </c>
      <c r="B1396" t="inlineStr">
        <is>
          <t>IND</t>
        </is>
      </c>
    </row>
    <row r="1397">
      <c r="A1397" s="16" t="n">
        <v>46417</v>
      </c>
      <c r="B1397" t="inlineStr">
        <is>
          <t>LAL</t>
        </is>
      </c>
    </row>
    <row r="1398">
      <c r="A1398" s="16" t="n">
        <v>46417</v>
      </c>
      <c r="B1398" t="inlineStr">
        <is>
          <t>MEM</t>
        </is>
      </c>
    </row>
    <row r="1399">
      <c r="A1399" s="16" t="n">
        <v>46417</v>
      </c>
      <c r="B1399" t="inlineStr">
        <is>
          <t>MIA</t>
        </is>
      </c>
    </row>
    <row r="1400">
      <c r="A1400" s="16" t="n">
        <v>46417</v>
      </c>
      <c r="B1400" t="inlineStr">
        <is>
          <t>MIL</t>
        </is>
      </c>
    </row>
    <row r="1401">
      <c r="A1401" s="16" t="n">
        <v>46417</v>
      </c>
      <c r="B1401" t="inlineStr">
        <is>
          <t>NOR</t>
        </is>
      </c>
    </row>
    <row r="1402">
      <c r="A1402" s="16" t="n">
        <v>46417</v>
      </c>
      <c r="B1402" t="inlineStr">
        <is>
          <t>NYK</t>
        </is>
      </c>
    </row>
    <row r="1403">
      <c r="A1403" s="16" t="n">
        <v>46417</v>
      </c>
      <c r="B1403" t="inlineStr">
        <is>
          <t>OKC</t>
        </is>
      </c>
    </row>
    <row r="1404">
      <c r="A1404" s="16" t="n">
        <v>46417</v>
      </c>
      <c r="B1404" t="inlineStr">
        <is>
          <t>PHI</t>
        </is>
      </c>
    </row>
    <row r="1405">
      <c r="A1405" s="16" t="n">
        <v>46417</v>
      </c>
      <c r="B1405" t="inlineStr">
        <is>
          <t>SAS</t>
        </is>
      </c>
    </row>
    <row r="1406">
      <c r="A1406" s="16" t="n">
        <v>46417</v>
      </c>
      <c r="B1406" t="inlineStr">
        <is>
          <t>UTH</t>
        </is>
      </c>
    </row>
    <row r="1407">
      <c r="A1407" s="16" t="n">
        <v>46417</v>
      </c>
      <c r="B1407" t="inlineStr">
        <is>
          <t>WAS</t>
        </is>
      </c>
    </row>
    <row r="1408">
      <c r="A1408" s="16" t="n">
        <v>46418</v>
      </c>
      <c r="B1408" t="inlineStr">
        <is>
          <t>BKN</t>
        </is>
      </c>
    </row>
    <row r="1409">
      <c r="A1409" s="16" t="n">
        <v>46418</v>
      </c>
      <c r="B1409" t="inlineStr">
        <is>
          <t>BOS</t>
        </is>
      </c>
    </row>
    <row r="1410">
      <c r="A1410" s="16" t="n">
        <v>46418</v>
      </c>
      <c r="B1410" t="inlineStr">
        <is>
          <t>CHA</t>
        </is>
      </c>
    </row>
    <row r="1411">
      <c r="A1411" s="16" t="n">
        <v>46418</v>
      </c>
      <c r="B1411" t="inlineStr">
        <is>
          <t>CHI</t>
        </is>
      </c>
    </row>
    <row r="1412">
      <c r="A1412" s="16" t="n">
        <v>46418</v>
      </c>
      <c r="B1412" t="inlineStr">
        <is>
          <t>DAL</t>
        </is>
      </c>
    </row>
    <row r="1413">
      <c r="A1413" s="16" t="n">
        <v>46418</v>
      </c>
      <c r="B1413" t="inlineStr">
        <is>
          <t>DEN</t>
        </is>
      </c>
    </row>
    <row r="1414">
      <c r="A1414" s="16" t="n">
        <v>46418</v>
      </c>
      <c r="B1414" t="inlineStr">
        <is>
          <t>DET</t>
        </is>
      </c>
    </row>
    <row r="1415">
      <c r="A1415" s="16" t="n">
        <v>46418</v>
      </c>
      <c r="B1415" t="inlineStr">
        <is>
          <t>HOU</t>
        </is>
      </c>
    </row>
    <row r="1416">
      <c r="A1416" s="16" t="n">
        <v>46418</v>
      </c>
      <c r="B1416" t="inlineStr">
        <is>
          <t>LAL</t>
        </is>
      </c>
    </row>
    <row r="1417">
      <c r="A1417" s="16" t="n">
        <v>46418</v>
      </c>
      <c r="B1417" t="inlineStr">
        <is>
          <t>MIN</t>
        </is>
      </c>
    </row>
    <row r="1418">
      <c r="A1418" s="16" t="n">
        <v>46418</v>
      </c>
      <c r="B1418" t="inlineStr">
        <is>
          <t>OKC</t>
        </is>
      </c>
    </row>
    <row r="1419">
      <c r="A1419" s="16" t="n">
        <v>46418</v>
      </c>
      <c r="B1419" t="inlineStr">
        <is>
          <t>ORL</t>
        </is>
      </c>
    </row>
    <row r="1420">
      <c r="A1420" s="16" t="n">
        <v>46418</v>
      </c>
      <c r="B1420" t="inlineStr">
        <is>
          <t>PHO</t>
        </is>
      </c>
    </row>
    <row r="1421">
      <c r="A1421" s="16" t="n">
        <v>46418</v>
      </c>
      <c r="B1421" t="inlineStr">
        <is>
          <t>POR</t>
        </is>
      </c>
    </row>
    <row r="1422">
      <c r="A1422" s="16" t="n">
        <v>46418</v>
      </c>
      <c r="B1422" t="inlineStr">
        <is>
          <t>SAC</t>
        </is>
      </c>
    </row>
    <row r="1423">
      <c r="A1423" s="16" t="n">
        <v>46418</v>
      </c>
      <c r="B1423" t="inlineStr">
        <is>
          <t>TOR</t>
        </is>
      </c>
    </row>
    <row r="1424">
      <c r="A1424" s="16" t="n">
        <v>46419</v>
      </c>
      <c r="B1424" t="inlineStr">
        <is>
          <t>ATL</t>
        </is>
      </c>
    </row>
    <row r="1425">
      <c r="A1425" s="16" t="n">
        <v>46419</v>
      </c>
      <c r="B1425" t="inlineStr">
        <is>
          <t>BKN</t>
        </is>
      </c>
    </row>
    <row r="1426">
      <c r="A1426" s="16" t="n">
        <v>46419</v>
      </c>
      <c r="B1426" t="inlineStr">
        <is>
          <t>CLE</t>
        </is>
      </c>
    </row>
    <row r="1427">
      <c r="A1427" s="16" t="n">
        <v>46419</v>
      </c>
      <c r="B1427" t="inlineStr">
        <is>
          <t>GSW</t>
        </is>
      </c>
    </row>
    <row r="1428">
      <c r="A1428" s="16" t="n">
        <v>46419</v>
      </c>
      <c r="B1428" t="inlineStr">
        <is>
          <t>IND</t>
        </is>
      </c>
    </row>
    <row r="1429">
      <c r="A1429" s="16" t="n">
        <v>46419</v>
      </c>
      <c r="B1429" t="inlineStr">
        <is>
          <t>MEM</t>
        </is>
      </c>
    </row>
    <row r="1430">
      <c r="A1430" s="16" t="n">
        <v>46419</v>
      </c>
      <c r="B1430" t="inlineStr">
        <is>
          <t>MIA</t>
        </is>
      </c>
    </row>
    <row r="1431">
      <c r="A1431" s="16" t="n">
        <v>46419</v>
      </c>
      <c r="B1431" t="inlineStr">
        <is>
          <t>MIL</t>
        </is>
      </c>
    </row>
    <row r="1432">
      <c r="A1432" s="16" t="n">
        <v>46419</v>
      </c>
      <c r="B1432" t="inlineStr">
        <is>
          <t>NOR</t>
        </is>
      </c>
    </row>
    <row r="1433">
      <c r="A1433" s="16" t="n">
        <v>46419</v>
      </c>
      <c r="B1433" t="inlineStr">
        <is>
          <t>NYK</t>
        </is>
      </c>
    </row>
    <row r="1434">
      <c r="A1434" s="16" t="n">
        <v>46419</v>
      </c>
      <c r="B1434" t="inlineStr">
        <is>
          <t>PHI</t>
        </is>
      </c>
    </row>
    <row r="1435">
      <c r="A1435" s="16" t="n">
        <v>46419</v>
      </c>
      <c r="B1435" t="inlineStr">
        <is>
          <t>SAS</t>
        </is>
      </c>
    </row>
    <row r="1436">
      <c r="A1436" s="16" t="n">
        <v>46419</v>
      </c>
      <c r="B1436" t="inlineStr">
        <is>
          <t>UTH</t>
        </is>
      </c>
    </row>
    <row r="1437">
      <c r="A1437" s="16" t="n">
        <v>46419</v>
      </c>
      <c r="B1437" t="inlineStr">
        <is>
          <t>WAS</t>
        </is>
      </c>
    </row>
    <row r="1438">
      <c r="A1438" s="16" t="n">
        <v>46420</v>
      </c>
      <c r="B1438" t="inlineStr">
        <is>
          <t>BOS</t>
        </is>
      </c>
    </row>
    <row r="1439">
      <c r="A1439" s="16" t="n">
        <v>46420</v>
      </c>
      <c r="B1439" t="inlineStr">
        <is>
          <t>CHA</t>
        </is>
      </c>
    </row>
    <row r="1440">
      <c r="A1440" s="16" t="n">
        <v>46420</v>
      </c>
      <c r="B1440" t="inlineStr">
        <is>
          <t>CHI</t>
        </is>
      </c>
    </row>
    <row r="1441">
      <c r="A1441" s="16" t="n">
        <v>46420</v>
      </c>
      <c r="B1441" t="inlineStr">
        <is>
          <t>DAL</t>
        </is>
      </c>
    </row>
    <row r="1442">
      <c r="A1442" s="16" t="n">
        <v>46420</v>
      </c>
      <c r="B1442" t="inlineStr">
        <is>
          <t>DEN</t>
        </is>
      </c>
    </row>
    <row r="1443">
      <c r="A1443" s="16" t="n">
        <v>46420</v>
      </c>
      <c r="B1443" t="inlineStr">
        <is>
          <t>DET</t>
        </is>
      </c>
    </row>
    <row r="1444">
      <c r="A1444" s="16" t="n">
        <v>46420</v>
      </c>
      <c r="B1444" t="inlineStr">
        <is>
          <t>LAC</t>
        </is>
      </c>
    </row>
    <row r="1445">
      <c r="A1445" s="16" t="n">
        <v>46420</v>
      </c>
      <c r="B1445" t="inlineStr">
        <is>
          <t>LAL</t>
        </is>
      </c>
    </row>
    <row r="1446">
      <c r="A1446" s="16" t="n">
        <v>46420</v>
      </c>
      <c r="B1446" t="inlineStr">
        <is>
          <t>MIA</t>
        </is>
      </c>
    </row>
    <row r="1447">
      <c r="A1447" s="16" t="n">
        <v>46420</v>
      </c>
      <c r="B1447" t="inlineStr">
        <is>
          <t>MIN</t>
        </is>
      </c>
    </row>
    <row r="1448">
      <c r="A1448" s="16" t="n">
        <v>46420</v>
      </c>
      <c r="B1448" t="inlineStr">
        <is>
          <t>NOR</t>
        </is>
      </c>
    </row>
    <row r="1449">
      <c r="A1449" s="16" t="n">
        <v>46420</v>
      </c>
      <c r="B1449" t="inlineStr">
        <is>
          <t>OKC</t>
        </is>
      </c>
    </row>
    <row r="1450">
      <c r="A1450" s="16" t="n">
        <v>46420</v>
      </c>
      <c r="B1450" t="inlineStr">
        <is>
          <t>ORL</t>
        </is>
      </c>
    </row>
    <row r="1451">
      <c r="A1451" s="16" t="n">
        <v>46420</v>
      </c>
      <c r="B1451" t="inlineStr">
        <is>
          <t>POR</t>
        </is>
      </c>
    </row>
    <row r="1452">
      <c r="A1452" s="16" t="n">
        <v>46420</v>
      </c>
      <c r="B1452" t="inlineStr">
        <is>
          <t>SAS</t>
        </is>
      </c>
    </row>
    <row r="1453">
      <c r="A1453" s="16" t="n">
        <v>46420</v>
      </c>
      <c r="B1453" t="inlineStr">
        <is>
          <t>TOR</t>
        </is>
      </c>
    </row>
    <row r="1454">
      <c r="A1454" s="16" t="n">
        <v>46421</v>
      </c>
      <c r="B1454" t="inlineStr">
        <is>
          <t>ATL</t>
        </is>
      </c>
    </row>
    <row r="1455">
      <c r="A1455" s="16" t="n">
        <v>46421</v>
      </c>
      <c r="B1455" t="inlineStr">
        <is>
          <t>CLE</t>
        </is>
      </c>
    </row>
    <row r="1456">
      <c r="A1456" s="16" t="n">
        <v>46421</v>
      </c>
      <c r="B1456" t="inlineStr">
        <is>
          <t>DET</t>
        </is>
      </c>
    </row>
    <row r="1457">
      <c r="A1457" s="16" t="n">
        <v>46421</v>
      </c>
      <c r="B1457" t="inlineStr">
        <is>
          <t>GSW</t>
        </is>
      </c>
    </row>
    <row r="1458">
      <c r="A1458" s="16" t="n">
        <v>46421</v>
      </c>
      <c r="B1458" t="inlineStr">
        <is>
          <t>HOU</t>
        </is>
      </c>
    </row>
    <row r="1459">
      <c r="A1459" s="16" t="n">
        <v>46421</v>
      </c>
      <c r="B1459" t="inlineStr">
        <is>
          <t>IND</t>
        </is>
      </c>
    </row>
    <row r="1460">
      <c r="A1460" s="16" t="n">
        <v>46421</v>
      </c>
      <c r="B1460" t="inlineStr">
        <is>
          <t>LAC</t>
        </is>
      </c>
    </row>
    <row r="1461">
      <c r="A1461" s="16" t="n">
        <v>46421</v>
      </c>
      <c r="B1461" t="inlineStr">
        <is>
          <t>MEM</t>
        </is>
      </c>
    </row>
    <row r="1462">
      <c r="A1462" s="16" t="n">
        <v>46421</v>
      </c>
      <c r="B1462" t="inlineStr">
        <is>
          <t>NYK</t>
        </is>
      </c>
    </row>
    <row r="1463">
      <c r="A1463" s="16" t="n">
        <v>46421</v>
      </c>
      <c r="B1463" t="inlineStr">
        <is>
          <t>PHI</t>
        </is>
      </c>
    </row>
    <row r="1464">
      <c r="A1464" s="16" t="n">
        <v>46421</v>
      </c>
      <c r="B1464" t="inlineStr">
        <is>
          <t>PHO</t>
        </is>
      </c>
    </row>
    <row r="1465">
      <c r="A1465" s="16" t="n">
        <v>46421</v>
      </c>
      <c r="B1465" t="inlineStr">
        <is>
          <t>UTH</t>
        </is>
      </c>
    </row>
    <row r="1466">
      <c r="A1466" s="16" t="n">
        <v>46422</v>
      </c>
      <c r="B1466" t="inlineStr">
        <is>
          <t>BKN</t>
        </is>
      </c>
    </row>
    <row r="1467">
      <c r="A1467" s="16" t="n">
        <v>46422</v>
      </c>
      <c r="B1467" t="inlineStr">
        <is>
          <t>BOS</t>
        </is>
      </c>
    </row>
    <row r="1468">
      <c r="A1468" s="16" t="n">
        <v>46422</v>
      </c>
      <c r="B1468" t="inlineStr">
        <is>
          <t>CHA</t>
        </is>
      </c>
    </row>
    <row r="1469">
      <c r="A1469" s="16" t="n">
        <v>46422</v>
      </c>
      <c r="B1469" t="inlineStr">
        <is>
          <t>CHI</t>
        </is>
      </c>
    </row>
    <row r="1470">
      <c r="A1470" s="16" t="n">
        <v>46422</v>
      </c>
      <c r="B1470" t="inlineStr">
        <is>
          <t>CLE</t>
        </is>
      </c>
    </row>
    <row r="1471">
      <c r="A1471" s="16" t="n">
        <v>46422</v>
      </c>
      <c r="B1471" t="inlineStr">
        <is>
          <t>DAL</t>
        </is>
      </c>
    </row>
    <row r="1472">
      <c r="A1472" s="16" t="n">
        <v>46422</v>
      </c>
      <c r="B1472" t="inlineStr">
        <is>
          <t>DEN</t>
        </is>
      </c>
    </row>
    <row r="1473">
      <c r="A1473" s="16" t="n">
        <v>46422</v>
      </c>
      <c r="B1473" t="inlineStr">
        <is>
          <t>LAL</t>
        </is>
      </c>
    </row>
    <row r="1474">
      <c r="A1474" s="16" t="n">
        <v>46422</v>
      </c>
      <c r="B1474" t="inlineStr">
        <is>
          <t>MIA</t>
        </is>
      </c>
    </row>
    <row r="1475">
      <c r="A1475" s="16" t="n">
        <v>46422</v>
      </c>
      <c r="B1475" t="inlineStr">
        <is>
          <t>MIL</t>
        </is>
      </c>
    </row>
    <row r="1476">
      <c r="A1476" s="16" t="n">
        <v>46422</v>
      </c>
      <c r="B1476" t="inlineStr">
        <is>
          <t>MIN</t>
        </is>
      </c>
    </row>
    <row r="1477">
      <c r="A1477" s="16" t="n">
        <v>46422</v>
      </c>
      <c r="B1477" t="inlineStr">
        <is>
          <t>NOR</t>
        </is>
      </c>
    </row>
    <row r="1478">
      <c r="A1478" s="16" t="n">
        <v>46422</v>
      </c>
      <c r="B1478" t="inlineStr">
        <is>
          <t>NYK</t>
        </is>
      </c>
    </row>
    <row r="1479">
      <c r="A1479" s="16" t="n">
        <v>46422</v>
      </c>
      <c r="B1479" t="inlineStr">
        <is>
          <t>OKC</t>
        </is>
      </c>
    </row>
    <row r="1480">
      <c r="A1480" s="16" t="n">
        <v>46422</v>
      </c>
      <c r="B1480" t="inlineStr">
        <is>
          <t>ORL</t>
        </is>
      </c>
    </row>
    <row r="1481">
      <c r="A1481" s="16" t="n">
        <v>46422</v>
      </c>
      <c r="B1481" t="inlineStr">
        <is>
          <t>POR</t>
        </is>
      </c>
    </row>
    <row r="1482">
      <c r="A1482" s="16" t="n">
        <v>46422</v>
      </c>
      <c r="B1482" t="inlineStr">
        <is>
          <t>SAC</t>
        </is>
      </c>
    </row>
    <row r="1483">
      <c r="A1483" s="16" t="n">
        <v>46422</v>
      </c>
      <c r="B1483" t="inlineStr">
        <is>
          <t>SAS</t>
        </is>
      </c>
    </row>
    <row r="1484">
      <c r="A1484" s="16" t="n">
        <v>46422</v>
      </c>
      <c r="B1484" t="inlineStr">
        <is>
          <t>TOR</t>
        </is>
      </c>
    </row>
    <row r="1485">
      <c r="A1485" s="16" t="n">
        <v>46422</v>
      </c>
      <c r="B1485" t="inlineStr">
        <is>
          <t>WAS</t>
        </is>
      </c>
    </row>
    <row r="1486">
      <c r="A1486" s="16" t="n">
        <v>46423</v>
      </c>
      <c r="B1486" t="inlineStr">
        <is>
          <t>ATL</t>
        </is>
      </c>
    </row>
    <row r="1487">
      <c r="A1487" s="16" t="n">
        <v>46423</v>
      </c>
      <c r="B1487" t="inlineStr">
        <is>
          <t>BOS</t>
        </is>
      </c>
    </row>
    <row r="1488">
      <c r="A1488" s="16" t="n">
        <v>46423</v>
      </c>
      <c r="B1488" t="inlineStr">
        <is>
          <t>CHA</t>
        </is>
      </c>
    </row>
    <row r="1489">
      <c r="A1489" s="16" t="n">
        <v>46423</v>
      </c>
      <c r="B1489" t="inlineStr">
        <is>
          <t>DEN</t>
        </is>
      </c>
    </row>
    <row r="1490">
      <c r="A1490" s="16" t="n">
        <v>46423</v>
      </c>
      <c r="B1490" t="inlineStr">
        <is>
          <t>DET</t>
        </is>
      </c>
    </row>
    <row r="1491">
      <c r="A1491" s="16" t="n">
        <v>46423</v>
      </c>
      <c r="B1491" t="inlineStr">
        <is>
          <t>GSW</t>
        </is>
      </c>
    </row>
    <row r="1492">
      <c r="A1492" s="16" t="n">
        <v>46423</v>
      </c>
      <c r="B1492" t="inlineStr">
        <is>
          <t>HOU</t>
        </is>
      </c>
    </row>
    <row r="1493">
      <c r="A1493" s="16" t="n">
        <v>46423</v>
      </c>
      <c r="B1493" t="inlineStr">
        <is>
          <t>IND</t>
        </is>
      </c>
    </row>
    <row r="1494">
      <c r="A1494" s="16" t="n">
        <v>46423</v>
      </c>
      <c r="B1494" t="inlineStr">
        <is>
          <t>LAC</t>
        </is>
      </c>
    </row>
    <row r="1495">
      <c r="A1495" s="16" t="n">
        <v>46423</v>
      </c>
      <c r="B1495" t="inlineStr">
        <is>
          <t>OKC</t>
        </is>
      </c>
    </row>
    <row r="1496">
      <c r="A1496" s="16" t="n">
        <v>46423</v>
      </c>
      <c r="B1496" t="inlineStr">
        <is>
          <t>PHI</t>
        </is>
      </c>
    </row>
    <row r="1497">
      <c r="A1497" s="16" t="n">
        <v>46423</v>
      </c>
      <c r="B1497" t="inlineStr">
        <is>
          <t>PHO</t>
        </is>
      </c>
    </row>
    <row r="1498">
      <c r="A1498" s="16" t="n">
        <v>46424</v>
      </c>
      <c r="B1498" t="inlineStr">
        <is>
          <t>BKN</t>
        </is>
      </c>
    </row>
    <row r="1499">
      <c r="A1499" s="16" t="n">
        <v>46424</v>
      </c>
      <c r="B1499" t="inlineStr">
        <is>
          <t>CHI</t>
        </is>
      </c>
    </row>
    <row r="1500">
      <c r="A1500" s="16" t="n">
        <v>46424</v>
      </c>
      <c r="B1500" t="inlineStr">
        <is>
          <t>CLE</t>
        </is>
      </c>
    </row>
    <row r="1501">
      <c r="A1501" s="16" t="n">
        <v>46424</v>
      </c>
      <c r="B1501" t="inlineStr">
        <is>
          <t>DAL</t>
        </is>
      </c>
    </row>
    <row r="1502">
      <c r="A1502" s="16" t="n">
        <v>46424</v>
      </c>
      <c r="B1502" t="inlineStr">
        <is>
          <t>LAL</t>
        </is>
      </c>
    </row>
    <row r="1503">
      <c r="A1503" s="16" t="n">
        <v>46424</v>
      </c>
      <c r="B1503" t="inlineStr">
        <is>
          <t>MEM</t>
        </is>
      </c>
    </row>
    <row r="1504">
      <c r="A1504" s="16" t="n">
        <v>46424</v>
      </c>
      <c r="B1504" t="inlineStr">
        <is>
          <t>MIA</t>
        </is>
      </c>
    </row>
    <row r="1505">
      <c r="A1505" s="16" t="n">
        <v>46424</v>
      </c>
      <c r="B1505" t="inlineStr">
        <is>
          <t>MIL</t>
        </is>
      </c>
    </row>
    <row r="1506">
      <c r="A1506" s="16" t="n">
        <v>46424</v>
      </c>
      <c r="B1506" t="inlineStr">
        <is>
          <t>MIN</t>
        </is>
      </c>
    </row>
    <row r="1507">
      <c r="A1507" s="16" t="n">
        <v>46424</v>
      </c>
      <c r="B1507" t="inlineStr">
        <is>
          <t>NOR</t>
        </is>
      </c>
    </row>
    <row r="1508">
      <c r="A1508" s="16" t="n">
        <v>46424</v>
      </c>
      <c r="B1508" t="inlineStr">
        <is>
          <t>ORL</t>
        </is>
      </c>
    </row>
    <row r="1509">
      <c r="A1509" s="16" t="n">
        <v>46424</v>
      </c>
      <c r="B1509" t="inlineStr">
        <is>
          <t>PHO</t>
        </is>
      </c>
    </row>
    <row r="1510">
      <c r="A1510" s="16" t="n">
        <v>46424</v>
      </c>
      <c r="B1510" t="inlineStr">
        <is>
          <t>POR</t>
        </is>
      </c>
    </row>
    <row r="1511">
      <c r="A1511" s="16" t="n">
        <v>46424</v>
      </c>
      <c r="B1511" t="inlineStr">
        <is>
          <t>SAC</t>
        </is>
      </c>
    </row>
    <row r="1512">
      <c r="A1512" s="16" t="n">
        <v>46424</v>
      </c>
      <c r="B1512" t="inlineStr">
        <is>
          <t>SAS</t>
        </is>
      </c>
    </row>
    <row r="1513">
      <c r="A1513" s="16" t="n">
        <v>46424</v>
      </c>
      <c r="B1513" t="inlineStr">
        <is>
          <t>TOR</t>
        </is>
      </c>
    </row>
    <row r="1514">
      <c r="A1514" s="16" t="n">
        <v>46424</v>
      </c>
      <c r="B1514" t="inlineStr">
        <is>
          <t>UTH</t>
        </is>
      </c>
    </row>
    <row r="1515">
      <c r="A1515" s="16" t="n">
        <v>46424</v>
      </c>
      <c r="B1515" t="inlineStr">
        <is>
          <t>WAS</t>
        </is>
      </c>
    </row>
    <row r="1516">
      <c r="A1516" s="16" t="n">
        <v>46425</v>
      </c>
      <c r="B1516" t="inlineStr">
        <is>
          <t>ATL</t>
        </is>
      </c>
    </row>
    <row r="1517">
      <c r="A1517" s="16" t="n">
        <v>46425</v>
      </c>
      <c r="B1517" t="inlineStr">
        <is>
          <t>BOS</t>
        </is>
      </c>
    </row>
    <row r="1518">
      <c r="A1518" s="16" t="n">
        <v>46425</v>
      </c>
      <c r="B1518" t="inlineStr">
        <is>
          <t>CHA</t>
        </is>
      </c>
    </row>
    <row r="1519">
      <c r="A1519" s="16" t="n">
        <v>46425</v>
      </c>
      <c r="B1519" t="inlineStr">
        <is>
          <t>DAL</t>
        </is>
      </c>
    </row>
    <row r="1520">
      <c r="A1520" s="16" t="n">
        <v>46425</v>
      </c>
      <c r="B1520" t="inlineStr">
        <is>
          <t>DEN</t>
        </is>
      </c>
    </row>
    <row r="1521">
      <c r="A1521" s="16" t="n">
        <v>46425</v>
      </c>
      <c r="B1521" t="inlineStr">
        <is>
          <t>DET</t>
        </is>
      </c>
    </row>
    <row r="1522">
      <c r="A1522" s="16" t="n">
        <v>46425</v>
      </c>
      <c r="B1522" t="inlineStr">
        <is>
          <t>GSW</t>
        </is>
      </c>
    </row>
    <row r="1523">
      <c r="A1523" s="16" t="n">
        <v>46425</v>
      </c>
      <c r="B1523" t="inlineStr">
        <is>
          <t>HOU</t>
        </is>
      </c>
    </row>
    <row r="1524">
      <c r="A1524" s="16" t="n">
        <v>46425</v>
      </c>
      <c r="B1524" t="inlineStr">
        <is>
          <t>LAC</t>
        </is>
      </c>
    </row>
    <row r="1525">
      <c r="A1525" s="16" t="n">
        <v>46425</v>
      </c>
      <c r="B1525" t="inlineStr">
        <is>
          <t>MIN</t>
        </is>
      </c>
    </row>
    <row r="1526">
      <c r="A1526" s="16" t="n">
        <v>46425</v>
      </c>
      <c r="B1526" t="inlineStr">
        <is>
          <t>NYK</t>
        </is>
      </c>
    </row>
    <row r="1527">
      <c r="A1527" s="16" t="n">
        <v>46425</v>
      </c>
      <c r="B1527" t="inlineStr">
        <is>
          <t>OKC</t>
        </is>
      </c>
    </row>
    <row r="1528">
      <c r="A1528" s="16" t="n">
        <v>46425</v>
      </c>
      <c r="B1528" t="inlineStr">
        <is>
          <t>PHI</t>
        </is>
      </c>
    </row>
    <row r="1529">
      <c r="A1529" s="16" t="n">
        <v>46425</v>
      </c>
      <c r="B1529" t="inlineStr">
        <is>
          <t>SAC</t>
        </is>
      </c>
    </row>
    <row r="1530">
      <c r="A1530" s="16" t="n">
        <v>46425</v>
      </c>
      <c r="B1530" t="inlineStr">
        <is>
          <t>TOR</t>
        </is>
      </c>
    </row>
    <row r="1531">
      <c r="A1531" s="16" t="n">
        <v>46425</v>
      </c>
      <c r="B1531" t="inlineStr">
        <is>
          <t>UTH</t>
        </is>
      </c>
    </row>
    <row r="1532">
      <c r="A1532" s="16" t="n">
        <v>46426</v>
      </c>
      <c r="B1532" t="inlineStr">
        <is>
          <t>ATL</t>
        </is>
      </c>
    </row>
    <row r="1533">
      <c r="A1533" s="16" t="n">
        <v>46426</v>
      </c>
      <c r="B1533" t="inlineStr">
        <is>
          <t>BKN</t>
        </is>
      </c>
    </row>
    <row r="1534">
      <c r="A1534" s="16" t="n">
        <v>46426</v>
      </c>
      <c r="B1534" t="inlineStr">
        <is>
          <t>CHI</t>
        </is>
      </c>
    </row>
    <row r="1535">
      <c r="A1535" s="16" t="n">
        <v>46426</v>
      </c>
      <c r="B1535" t="inlineStr">
        <is>
          <t>IND</t>
        </is>
      </c>
    </row>
    <row r="1536">
      <c r="A1536" s="16" t="n">
        <v>46426</v>
      </c>
      <c r="B1536" t="inlineStr">
        <is>
          <t>LAL</t>
        </is>
      </c>
    </row>
    <row r="1537">
      <c r="A1537" s="16" t="n">
        <v>46426</v>
      </c>
      <c r="B1537" t="inlineStr">
        <is>
          <t>MEM</t>
        </is>
      </c>
    </row>
    <row r="1538">
      <c r="A1538" s="16" t="n">
        <v>46426</v>
      </c>
      <c r="B1538" t="inlineStr">
        <is>
          <t>MIA</t>
        </is>
      </c>
    </row>
    <row r="1539">
      <c r="A1539" s="16" t="n">
        <v>46426</v>
      </c>
      <c r="B1539" t="inlineStr">
        <is>
          <t>MIL</t>
        </is>
      </c>
    </row>
    <row r="1540">
      <c r="A1540" s="16" t="n">
        <v>46426</v>
      </c>
      <c r="B1540" t="inlineStr">
        <is>
          <t>NOR</t>
        </is>
      </c>
    </row>
    <row r="1541">
      <c r="A1541" s="16" t="n">
        <v>46426</v>
      </c>
      <c r="B1541" t="inlineStr">
        <is>
          <t>ORL</t>
        </is>
      </c>
    </row>
    <row r="1542">
      <c r="A1542" s="16" t="n">
        <v>46426</v>
      </c>
      <c r="B1542" t="inlineStr">
        <is>
          <t>PHI</t>
        </is>
      </c>
    </row>
    <row r="1543">
      <c r="A1543" s="16" t="n">
        <v>46426</v>
      </c>
      <c r="B1543" t="inlineStr">
        <is>
          <t>PHO</t>
        </is>
      </c>
    </row>
    <row r="1544">
      <c r="A1544" s="16" t="n">
        <v>46426</v>
      </c>
      <c r="B1544" t="inlineStr">
        <is>
          <t>POR</t>
        </is>
      </c>
    </row>
    <row r="1545">
      <c r="A1545" s="16" t="n">
        <v>46426</v>
      </c>
      <c r="B1545" t="inlineStr">
        <is>
          <t>WAS</t>
        </is>
      </c>
    </row>
    <row r="1546">
      <c r="A1546" s="16" t="n">
        <v>46427</v>
      </c>
      <c r="B1546" t="inlineStr">
        <is>
          <t>BKN</t>
        </is>
      </c>
    </row>
    <row r="1547">
      <c r="A1547" s="16" t="n">
        <v>46427</v>
      </c>
      <c r="B1547" t="inlineStr">
        <is>
          <t>BOS</t>
        </is>
      </c>
    </row>
    <row r="1548">
      <c r="A1548" s="16" t="n">
        <v>46427</v>
      </c>
      <c r="B1548" t="inlineStr">
        <is>
          <t>CHA</t>
        </is>
      </c>
    </row>
    <row r="1549">
      <c r="A1549" s="16" t="n">
        <v>46427</v>
      </c>
      <c r="B1549" t="inlineStr">
        <is>
          <t>CHI</t>
        </is>
      </c>
    </row>
    <row r="1550">
      <c r="A1550" s="16" t="n">
        <v>46427</v>
      </c>
      <c r="B1550" t="inlineStr">
        <is>
          <t>CLE</t>
        </is>
      </c>
    </row>
    <row r="1551">
      <c r="A1551" s="16" t="n">
        <v>46427</v>
      </c>
      <c r="B1551" t="inlineStr">
        <is>
          <t>DAL</t>
        </is>
      </c>
    </row>
    <row r="1552">
      <c r="A1552" s="16" t="n">
        <v>46427</v>
      </c>
      <c r="B1552" t="inlineStr">
        <is>
          <t>DEN</t>
        </is>
      </c>
    </row>
    <row r="1553">
      <c r="A1553" s="16" t="n">
        <v>46427</v>
      </c>
      <c r="B1553" t="inlineStr">
        <is>
          <t>DET</t>
        </is>
      </c>
    </row>
    <row r="1554">
      <c r="A1554" s="16" t="n">
        <v>46427</v>
      </c>
      <c r="B1554" t="inlineStr">
        <is>
          <t>GSW</t>
        </is>
      </c>
    </row>
    <row r="1555">
      <c r="A1555" s="16" t="n">
        <v>46427</v>
      </c>
      <c r="B1555" t="inlineStr">
        <is>
          <t>HOU</t>
        </is>
      </c>
    </row>
    <row r="1556">
      <c r="A1556" s="16" t="n">
        <v>46427</v>
      </c>
      <c r="B1556" t="inlineStr">
        <is>
          <t>LAC</t>
        </is>
      </c>
    </row>
    <row r="1557">
      <c r="A1557" s="16" t="n">
        <v>46427</v>
      </c>
      <c r="B1557" t="inlineStr">
        <is>
          <t>MIL</t>
        </is>
      </c>
    </row>
    <row r="1558">
      <c r="A1558" s="16" t="n">
        <v>46427</v>
      </c>
      <c r="B1558" t="inlineStr">
        <is>
          <t>MIN</t>
        </is>
      </c>
    </row>
    <row r="1559">
      <c r="A1559" s="16" t="n">
        <v>46427</v>
      </c>
      <c r="B1559" t="inlineStr">
        <is>
          <t>NYK</t>
        </is>
      </c>
    </row>
    <row r="1560">
      <c r="A1560" s="16" t="n">
        <v>46427</v>
      </c>
      <c r="B1560" t="inlineStr">
        <is>
          <t>OKC</t>
        </is>
      </c>
    </row>
    <row r="1561">
      <c r="A1561" s="16" t="n">
        <v>46427</v>
      </c>
      <c r="B1561" t="inlineStr">
        <is>
          <t>POR</t>
        </is>
      </c>
    </row>
    <row r="1562">
      <c r="A1562" s="16" t="n">
        <v>46427</v>
      </c>
      <c r="B1562" t="inlineStr">
        <is>
          <t>SAC</t>
        </is>
      </c>
    </row>
    <row r="1563">
      <c r="A1563" s="16" t="n">
        <v>46427</v>
      </c>
      <c r="B1563" t="inlineStr">
        <is>
          <t>SAS</t>
        </is>
      </c>
    </row>
    <row r="1564">
      <c r="A1564" s="16" t="n">
        <v>46427</v>
      </c>
      <c r="B1564" t="inlineStr">
        <is>
          <t>TOR</t>
        </is>
      </c>
    </row>
    <row r="1565">
      <c r="A1565" s="16" t="n">
        <v>46427</v>
      </c>
      <c r="B1565" t="inlineStr">
        <is>
          <t>UTH</t>
        </is>
      </c>
    </row>
    <row r="1566">
      <c r="A1566" s="16" t="n">
        <v>46428</v>
      </c>
      <c r="B1566" t="inlineStr">
        <is>
          <t>ATL</t>
        </is>
      </c>
    </row>
    <row r="1567">
      <c r="A1567" s="16" t="n">
        <v>46428</v>
      </c>
      <c r="B1567" t="inlineStr">
        <is>
          <t>BOS</t>
        </is>
      </c>
    </row>
    <row r="1568">
      <c r="A1568" s="16" t="n">
        <v>46428</v>
      </c>
      <c r="B1568" t="inlineStr">
        <is>
          <t>CLE</t>
        </is>
      </c>
    </row>
    <row r="1569">
      <c r="A1569" s="16" t="n">
        <v>46428</v>
      </c>
      <c r="B1569" t="inlineStr">
        <is>
          <t>DET</t>
        </is>
      </c>
    </row>
    <row r="1570">
      <c r="A1570" s="16" t="n">
        <v>46428</v>
      </c>
      <c r="B1570" t="inlineStr">
        <is>
          <t>GSW</t>
        </is>
      </c>
    </row>
    <row r="1571">
      <c r="A1571" s="16" t="n">
        <v>46428</v>
      </c>
      <c r="B1571" t="inlineStr">
        <is>
          <t>IND</t>
        </is>
      </c>
    </row>
    <row r="1572">
      <c r="A1572" s="16" t="n">
        <v>46428</v>
      </c>
      <c r="B1572" t="inlineStr">
        <is>
          <t>LAC</t>
        </is>
      </c>
    </row>
    <row r="1573">
      <c r="A1573" s="16" t="n">
        <v>46428</v>
      </c>
      <c r="B1573" t="inlineStr">
        <is>
          <t>LAL</t>
        </is>
      </c>
    </row>
    <row r="1574">
      <c r="A1574" s="16" t="n">
        <v>46428</v>
      </c>
      <c r="B1574" t="inlineStr">
        <is>
          <t>MEM</t>
        </is>
      </c>
    </row>
    <row r="1575">
      <c r="A1575" s="16" t="n">
        <v>46428</v>
      </c>
      <c r="B1575" t="inlineStr">
        <is>
          <t>MIA</t>
        </is>
      </c>
    </row>
    <row r="1576">
      <c r="A1576" s="16" t="n">
        <v>46428</v>
      </c>
      <c r="B1576" t="inlineStr">
        <is>
          <t>NOR</t>
        </is>
      </c>
    </row>
    <row r="1577">
      <c r="A1577" s="16" t="n">
        <v>46428</v>
      </c>
      <c r="B1577" t="inlineStr">
        <is>
          <t>ORL</t>
        </is>
      </c>
    </row>
    <row r="1578">
      <c r="A1578" s="16" t="n">
        <v>46428</v>
      </c>
      <c r="B1578" t="inlineStr">
        <is>
          <t>PHO</t>
        </is>
      </c>
    </row>
    <row r="1579">
      <c r="A1579" s="16" t="n">
        <v>46428</v>
      </c>
      <c r="B1579" t="inlineStr">
        <is>
          <t>WAS</t>
        </is>
      </c>
    </row>
    <row r="1580">
      <c r="A1580" s="16" t="n">
        <v>46429</v>
      </c>
      <c r="B1580" t="inlineStr">
        <is>
          <t>CHA</t>
        </is>
      </c>
    </row>
    <row r="1581">
      <c r="A1581" s="16" t="n">
        <v>46429</v>
      </c>
      <c r="B1581" t="inlineStr">
        <is>
          <t>CHI</t>
        </is>
      </c>
    </row>
    <row r="1582">
      <c r="A1582" s="16" t="n">
        <v>46429</v>
      </c>
      <c r="B1582" t="inlineStr">
        <is>
          <t>DAL</t>
        </is>
      </c>
    </row>
    <row r="1583">
      <c r="A1583" s="16" t="n">
        <v>46429</v>
      </c>
      <c r="B1583" t="inlineStr">
        <is>
          <t>DEN</t>
        </is>
      </c>
    </row>
    <row r="1584">
      <c r="A1584" s="16" t="n">
        <v>46429</v>
      </c>
      <c r="B1584" t="inlineStr">
        <is>
          <t>HOU</t>
        </is>
      </c>
    </row>
    <row r="1585">
      <c r="A1585" s="16" t="n">
        <v>46429</v>
      </c>
      <c r="B1585" t="inlineStr">
        <is>
          <t>IND</t>
        </is>
      </c>
    </row>
    <row r="1586">
      <c r="A1586" s="16" t="n">
        <v>46429</v>
      </c>
      <c r="B1586" t="inlineStr">
        <is>
          <t>MIL</t>
        </is>
      </c>
    </row>
    <row r="1587">
      <c r="A1587" s="16" t="n">
        <v>46429</v>
      </c>
      <c r="B1587" t="inlineStr">
        <is>
          <t>NYK</t>
        </is>
      </c>
    </row>
    <row r="1588">
      <c r="A1588" s="16" t="n">
        <v>46429</v>
      </c>
      <c r="B1588" t="inlineStr">
        <is>
          <t>OKC</t>
        </is>
      </c>
    </row>
    <row r="1589">
      <c r="A1589" s="16" t="n">
        <v>46429</v>
      </c>
      <c r="B1589" t="inlineStr">
        <is>
          <t>PHI</t>
        </is>
      </c>
    </row>
    <row r="1590">
      <c r="A1590" s="16" t="n">
        <v>46429</v>
      </c>
      <c r="B1590" t="inlineStr">
        <is>
          <t>POR</t>
        </is>
      </c>
    </row>
    <row r="1591">
      <c r="A1591" s="16" t="n">
        <v>46429</v>
      </c>
      <c r="B1591" t="inlineStr">
        <is>
          <t>SAC</t>
        </is>
      </c>
    </row>
    <row r="1592">
      <c r="A1592" s="16" t="n">
        <v>46429</v>
      </c>
      <c r="B1592" t="inlineStr">
        <is>
          <t>SAS</t>
        </is>
      </c>
    </row>
    <row r="1593">
      <c r="A1593" s="16" t="n">
        <v>46429</v>
      </c>
      <c r="B1593" t="inlineStr">
        <is>
          <t>UTH</t>
        </is>
      </c>
    </row>
    <row r="1594">
      <c r="A1594" s="16" t="n">
        <v>46430</v>
      </c>
      <c r="B1594" t="inlineStr">
        <is>
          <t>ATL</t>
        </is>
      </c>
    </row>
    <row r="1595">
      <c r="A1595" s="16" t="n">
        <v>46430</v>
      </c>
      <c r="B1595" t="inlineStr">
        <is>
          <t>BKN</t>
        </is>
      </c>
    </row>
    <row r="1596">
      <c r="A1596" s="16" t="n">
        <v>46430</v>
      </c>
      <c r="B1596" t="inlineStr">
        <is>
          <t>BOS</t>
        </is>
      </c>
    </row>
    <row r="1597">
      <c r="A1597" s="16" t="n">
        <v>46430</v>
      </c>
      <c r="B1597" t="inlineStr">
        <is>
          <t>CLE</t>
        </is>
      </c>
    </row>
    <row r="1598">
      <c r="A1598" s="16" t="n">
        <v>46430</v>
      </c>
      <c r="B1598" t="inlineStr">
        <is>
          <t>DEN</t>
        </is>
      </c>
    </row>
    <row r="1599">
      <c r="A1599" s="16" t="n">
        <v>46430</v>
      </c>
      <c r="B1599" t="inlineStr">
        <is>
          <t>HOU</t>
        </is>
      </c>
    </row>
    <row r="1600">
      <c r="A1600" s="16" t="n">
        <v>46430</v>
      </c>
      <c r="B1600" t="inlineStr">
        <is>
          <t>LAC</t>
        </is>
      </c>
    </row>
    <row r="1601">
      <c r="A1601" s="16" t="n">
        <v>46430</v>
      </c>
      <c r="B1601" t="inlineStr">
        <is>
          <t>LAL</t>
        </is>
      </c>
    </row>
    <row r="1602">
      <c r="A1602" s="16" t="n">
        <v>46430</v>
      </c>
      <c r="B1602" t="inlineStr">
        <is>
          <t>MEM</t>
        </is>
      </c>
    </row>
    <row r="1603">
      <c r="A1603" s="16" t="n">
        <v>46430</v>
      </c>
      <c r="B1603" t="inlineStr">
        <is>
          <t>MIA</t>
        </is>
      </c>
    </row>
    <row r="1604">
      <c r="A1604" s="16" t="n">
        <v>46430</v>
      </c>
      <c r="B1604" t="inlineStr">
        <is>
          <t>MIN</t>
        </is>
      </c>
    </row>
    <row r="1605">
      <c r="A1605" s="16" t="n">
        <v>46430</v>
      </c>
      <c r="B1605" t="inlineStr">
        <is>
          <t>NOR</t>
        </is>
      </c>
    </row>
    <row r="1606">
      <c r="A1606" s="16" t="n">
        <v>46430</v>
      </c>
      <c r="B1606" t="inlineStr">
        <is>
          <t>ORL</t>
        </is>
      </c>
    </row>
    <row r="1607">
      <c r="A1607" s="16" t="n">
        <v>46430</v>
      </c>
      <c r="B1607" t="inlineStr">
        <is>
          <t>PHO</t>
        </is>
      </c>
    </row>
    <row r="1608">
      <c r="A1608" s="16" t="n">
        <v>46430</v>
      </c>
      <c r="B1608" t="inlineStr">
        <is>
          <t>TOR</t>
        </is>
      </c>
    </row>
    <row r="1609">
      <c r="A1609" s="16" t="n">
        <v>46430</v>
      </c>
      <c r="B1609" t="inlineStr">
        <is>
          <t>WAS</t>
        </is>
      </c>
    </row>
    <row r="1610">
      <c r="A1610" s="16" t="n">
        <v>46431</v>
      </c>
      <c r="B1610" t="inlineStr">
        <is>
          <t>CHA</t>
        </is>
      </c>
    </row>
    <row r="1611">
      <c r="A1611" s="16" t="n">
        <v>46431</v>
      </c>
      <c r="B1611" t="inlineStr">
        <is>
          <t>DAL</t>
        </is>
      </c>
    </row>
    <row r="1612">
      <c r="A1612" s="16" t="n">
        <v>46431</v>
      </c>
      <c r="B1612" t="inlineStr">
        <is>
          <t>DET</t>
        </is>
      </c>
    </row>
    <row r="1613">
      <c r="A1613" s="16" t="n">
        <v>46431</v>
      </c>
      <c r="B1613" t="inlineStr">
        <is>
          <t>GSW</t>
        </is>
      </c>
    </row>
    <row r="1614">
      <c r="A1614" s="16" t="n">
        <v>46431</v>
      </c>
      <c r="B1614" t="inlineStr">
        <is>
          <t>IND</t>
        </is>
      </c>
    </row>
    <row r="1615">
      <c r="A1615" s="16" t="n">
        <v>46431</v>
      </c>
      <c r="B1615" t="inlineStr">
        <is>
          <t>MIL</t>
        </is>
      </c>
    </row>
    <row r="1616">
      <c r="A1616" s="16" t="n">
        <v>46431</v>
      </c>
      <c r="B1616" t="inlineStr">
        <is>
          <t>NYK</t>
        </is>
      </c>
    </row>
    <row r="1617">
      <c r="A1617" s="16" t="n">
        <v>46431</v>
      </c>
      <c r="B1617" t="inlineStr">
        <is>
          <t>OKC</t>
        </is>
      </c>
    </row>
    <row r="1618">
      <c r="A1618" s="16" t="n">
        <v>46431</v>
      </c>
      <c r="B1618" t="inlineStr">
        <is>
          <t>ORL</t>
        </is>
      </c>
    </row>
    <row r="1619">
      <c r="A1619" s="16" t="n">
        <v>46431</v>
      </c>
      <c r="B1619" t="inlineStr">
        <is>
          <t>PHI</t>
        </is>
      </c>
    </row>
    <row r="1620">
      <c r="A1620" s="16" t="n">
        <v>46431</v>
      </c>
      <c r="B1620" t="inlineStr">
        <is>
          <t>POR</t>
        </is>
      </c>
    </row>
    <row r="1621">
      <c r="A1621" s="16" t="n">
        <v>46431</v>
      </c>
      <c r="B1621" t="inlineStr">
        <is>
          <t>SAC</t>
        </is>
      </c>
    </row>
    <row r="1622">
      <c r="A1622" s="16" t="n">
        <v>46431</v>
      </c>
      <c r="B1622" t="inlineStr">
        <is>
          <t>SAS</t>
        </is>
      </c>
    </row>
    <row r="1623">
      <c r="A1623" s="16" t="n">
        <v>46431</v>
      </c>
      <c r="B1623" t="inlineStr">
        <is>
          <t>WAS</t>
        </is>
      </c>
    </row>
    <row r="1624">
      <c r="A1624" s="16" t="n">
        <v>46432</v>
      </c>
      <c r="B1624" t="inlineStr">
        <is>
          <t>ATL</t>
        </is>
      </c>
    </row>
    <row r="1625">
      <c r="A1625" s="16" t="n">
        <v>46432</v>
      </c>
      <c r="B1625" t="inlineStr">
        <is>
          <t>BKN</t>
        </is>
      </c>
    </row>
    <row r="1626">
      <c r="A1626" s="16" t="n">
        <v>46432</v>
      </c>
      <c r="B1626" t="inlineStr">
        <is>
          <t>BOS</t>
        </is>
      </c>
    </row>
    <row r="1627">
      <c r="A1627" s="16" t="n">
        <v>46432</v>
      </c>
      <c r="B1627" t="inlineStr">
        <is>
          <t>CHI</t>
        </is>
      </c>
    </row>
    <row r="1628">
      <c r="A1628" s="16" t="n">
        <v>46432</v>
      </c>
      <c r="B1628" t="inlineStr">
        <is>
          <t>CLE</t>
        </is>
      </c>
    </row>
    <row r="1629">
      <c r="A1629" s="16" t="n">
        <v>46432</v>
      </c>
      <c r="B1629" t="inlineStr">
        <is>
          <t>DEN</t>
        </is>
      </c>
    </row>
    <row r="1630">
      <c r="A1630" s="16" t="n">
        <v>46432</v>
      </c>
      <c r="B1630" t="inlineStr">
        <is>
          <t>HOU</t>
        </is>
      </c>
    </row>
    <row r="1631">
      <c r="A1631" s="16" t="n">
        <v>46432</v>
      </c>
      <c r="B1631" t="inlineStr">
        <is>
          <t>LAC</t>
        </is>
      </c>
    </row>
    <row r="1632">
      <c r="A1632" s="16" t="n">
        <v>46432</v>
      </c>
      <c r="B1632" t="inlineStr">
        <is>
          <t>MIA</t>
        </is>
      </c>
    </row>
    <row r="1633">
      <c r="A1633" s="16" t="n">
        <v>46432</v>
      </c>
      <c r="B1633" t="inlineStr">
        <is>
          <t>NOR</t>
        </is>
      </c>
    </row>
    <row r="1634">
      <c r="A1634" s="16" t="n">
        <v>46432</v>
      </c>
      <c r="B1634" t="inlineStr">
        <is>
          <t>PHO</t>
        </is>
      </c>
    </row>
    <row r="1635">
      <c r="A1635" s="16" t="n">
        <v>46432</v>
      </c>
      <c r="B1635" t="inlineStr">
        <is>
          <t>POR</t>
        </is>
      </c>
    </row>
    <row r="1636">
      <c r="A1636" s="16" t="n">
        <v>46432</v>
      </c>
      <c r="B1636" t="inlineStr">
        <is>
          <t>SAC</t>
        </is>
      </c>
    </row>
    <row r="1637">
      <c r="A1637" s="16" t="n">
        <v>46432</v>
      </c>
      <c r="B1637" t="inlineStr">
        <is>
          <t>TOR</t>
        </is>
      </c>
    </row>
    <row r="1638">
      <c r="A1638" s="16" t="n">
        <v>46433</v>
      </c>
      <c r="B1638" t="inlineStr">
        <is>
          <t>CHA</t>
        </is>
      </c>
    </row>
    <row r="1639">
      <c r="A1639" s="16" t="n">
        <v>46433</v>
      </c>
      <c r="B1639" t="inlineStr">
        <is>
          <t>DAL</t>
        </is>
      </c>
    </row>
    <row r="1640">
      <c r="A1640" s="16" t="n">
        <v>46433</v>
      </c>
      <c r="B1640" t="inlineStr">
        <is>
          <t>DET</t>
        </is>
      </c>
    </row>
    <row r="1641">
      <c r="A1641" s="16" t="n">
        <v>46433</v>
      </c>
      <c r="B1641" t="inlineStr">
        <is>
          <t>GSW</t>
        </is>
      </c>
    </row>
    <row r="1642">
      <c r="A1642" s="16" t="n">
        <v>46433</v>
      </c>
      <c r="B1642" t="inlineStr">
        <is>
          <t>IND</t>
        </is>
      </c>
    </row>
    <row r="1643">
      <c r="A1643" s="16" t="n">
        <v>46433</v>
      </c>
      <c r="B1643" t="inlineStr">
        <is>
          <t>MEM</t>
        </is>
      </c>
    </row>
    <row r="1644">
      <c r="A1644" s="16" t="n">
        <v>46433</v>
      </c>
      <c r="B1644" t="inlineStr">
        <is>
          <t>MIA</t>
        </is>
      </c>
    </row>
    <row r="1645">
      <c r="A1645" s="16" t="n">
        <v>46433</v>
      </c>
      <c r="B1645" t="inlineStr">
        <is>
          <t>MIN</t>
        </is>
      </c>
    </row>
    <row r="1646">
      <c r="A1646" s="16" t="n">
        <v>46433</v>
      </c>
      <c r="B1646" t="inlineStr">
        <is>
          <t>NYK</t>
        </is>
      </c>
    </row>
    <row r="1647">
      <c r="A1647" s="16" t="n">
        <v>46433</v>
      </c>
      <c r="B1647" t="inlineStr">
        <is>
          <t>OKC</t>
        </is>
      </c>
    </row>
    <row r="1648">
      <c r="A1648" s="16" t="n">
        <v>46433</v>
      </c>
      <c r="B1648" t="inlineStr">
        <is>
          <t>ORL</t>
        </is>
      </c>
    </row>
    <row r="1649">
      <c r="A1649" s="16" t="n">
        <v>46433</v>
      </c>
      <c r="B1649" t="inlineStr">
        <is>
          <t>PHI</t>
        </is>
      </c>
    </row>
    <row r="1650">
      <c r="A1650" s="16" t="n">
        <v>46433</v>
      </c>
      <c r="B1650" t="inlineStr">
        <is>
          <t>PHO</t>
        </is>
      </c>
    </row>
    <row r="1651">
      <c r="A1651" s="16" t="n">
        <v>46433</v>
      </c>
      <c r="B1651" t="inlineStr">
        <is>
          <t>SAS</t>
        </is>
      </c>
    </row>
    <row r="1652">
      <c r="A1652" s="16" t="n">
        <v>46433</v>
      </c>
      <c r="B1652" t="inlineStr">
        <is>
          <t>UTH</t>
        </is>
      </c>
    </row>
    <row r="1653">
      <c r="A1653" s="16" t="n">
        <v>46433</v>
      </c>
      <c r="B1653" t="inlineStr">
        <is>
          <t>WAS</t>
        </is>
      </c>
    </row>
    <row r="1654">
      <c r="A1654" s="16" t="n">
        <v>46434</v>
      </c>
      <c r="B1654" t="inlineStr">
        <is>
          <t>ATL</t>
        </is>
      </c>
    </row>
    <row r="1655">
      <c r="A1655" s="16" t="n">
        <v>46434</v>
      </c>
      <c r="B1655" t="inlineStr">
        <is>
          <t>CHI</t>
        </is>
      </c>
    </row>
    <row r="1656">
      <c r="A1656" s="16" t="n">
        <v>46434</v>
      </c>
      <c r="B1656" t="inlineStr">
        <is>
          <t>CLE</t>
        </is>
      </c>
    </row>
    <row r="1657">
      <c r="A1657" s="16" t="n">
        <v>46434</v>
      </c>
      <c r="B1657" t="inlineStr">
        <is>
          <t>HOU</t>
        </is>
      </c>
    </row>
    <row r="1658">
      <c r="A1658" s="16" t="n">
        <v>46434</v>
      </c>
      <c r="B1658" t="inlineStr">
        <is>
          <t>LAC</t>
        </is>
      </c>
    </row>
    <row r="1659">
      <c r="A1659" s="16" t="n">
        <v>46434</v>
      </c>
      <c r="B1659" t="inlineStr">
        <is>
          <t>LAL</t>
        </is>
      </c>
    </row>
    <row r="1660">
      <c r="A1660" s="16" t="n">
        <v>46434</v>
      </c>
      <c r="B1660" t="inlineStr">
        <is>
          <t>MIL</t>
        </is>
      </c>
    </row>
    <row r="1661">
      <c r="A1661" s="16" t="n">
        <v>46434</v>
      </c>
      <c r="B1661" t="inlineStr">
        <is>
          <t>NOR</t>
        </is>
      </c>
    </row>
    <row r="1662">
      <c r="A1662" s="16" t="n">
        <v>46434</v>
      </c>
      <c r="B1662" t="inlineStr">
        <is>
          <t>POR</t>
        </is>
      </c>
    </row>
    <row r="1663">
      <c r="A1663" s="16" t="n">
        <v>46434</v>
      </c>
      <c r="B1663" t="inlineStr">
        <is>
          <t>TOR</t>
        </is>
      </c>
    </row>
    <row r="1664">
      <c r="A1664" s="16" t="n">
        <v>46435</v>
      </c>
      <c r="B1664" t="inlineStr">
        <is>
          <t>ATL</t>
        </is>
      </c>
    </row>
    <row r="1665">
      <c r="A1665" s="16" t="n">
        <v>46435</v>
      </c>
      <c r="B1665" t="inlineStr">
        <is>
          <t>BKN</t>
        </is>
      </c>
    </row>
    <row r="1666">
      <c r="A1666" s="16" t="n">
        <v>46435</v>
      </c>
      <c r="B1666" t="inlineStr">
        <is>
          <t>BOS</t>
        </is>
      </c>
    </row>
    <row r="1667">
      <c r="A1667" s="16" t="n">
        <v>46435</v>
      </c>
      <c r="B1667" t="inlineStr">
        <is>
          <t>CHA</t>
        </is>
      </c>
    </row>
    <row r="1668">
      <c r="A1668" s="16" t="n">
        <v>46435</v>
      </c>
      <c r="B1668" t="inlineStr">
        <is>
          <t>CHI</t>
        </is>
      </c>
    </row>
    <row r="1669">
      <c r="A1669" s="16" t="n">
        <v>46435</v>
      </c>
      <c r="B1669" t="inlineStr">
        <is>
          <t>CLE</t>
        </is>
      </c>
    </row>
    <row r="1670">
      <c r="A1670" s="16" t="n">
        <v>46435</v>
      </c>
      <c r="B1670" t="inlineStr">
        <is>
          <t>DAL</t>
        </is>
      </c>
    </row>
    <row r="1671">
      <c r="A1671" s="16" t="n">
        <v>46435</v>
      </c>
      <c r="B1671" t="inlineStr">
        <is>
          <t>DEN</t>
        </is>
      </c>
    </row>
    <row r="1672">
      <c r="A1672" s="16" t="n">
        <v>46435</v>
      </c>
      <c r="B1672" t="inlineStr">
        <is>
          <t>DET</t>
        </is>
      </c>
    </row>
    <row r="1673">
      <c r="A1673" s="16" t="n">
        <v>46435</v>
      </c>
      <c r="B1673" t="inlineStr">
        <is>
          <t>GSW</t>
        </is>
      </c>
    </row>
    <row r="1674">
      <c r="A1674" s="16" t="n">
        <v>46435</v>
      </c>
      <c r="B1674" t="inlineStr">
        <is>
          <t>IND</t>
        </is>
      </c>
    </row>
    <row r="1675">
      <c r="A1675" s="16" t="n">
        <v>46435</v>
      </c>
      <c r="B1675" t="inlineStr">
        <is>
          <t>LAC</t>
        </is>
      </c>
    </row>
    <row r="1676">
      <c r="A1676" s="16" t="n">
        <v>46435</v>
      </c>
      <c r="B1676" t="inlineStr">
        <is>
          <t>MEM</t>
        </is>
      </c>
    </row>
    <row r="1677">
      <c r="A1677" s="16" t="n">
        <v>46435</v>
      </c>
      <c r="B1677" t="inlineStr">
        <is>
          <t>MIA</t>
        </is>
      </c>
    </row>
    <row r="1678">
      <c r="A1678" s="16" t="n">
        <v>46435</v>
      </c>
      <c r="B1678" t="inlineStr">
        <is>
          <t>MIL</t>
        </is>
      </c>
    </row>
    <row r="1679">
      <c r="A1679" s="16" t="n">
        <v>46435</v>
      </c>
      <c r="B1679" t="inlineStr">
        <is>
          <t>NOR</t>
        </is>
      </c>
    </row>
    <row r="1680">
      <c r="A1680" s="16" t="n">
        <v>46435</v>
      </c>
      <c r="B1680" t="inlineStr">
        <is>
          <t>NYK</t>
        </is>
      </c>
    </row>
    <row r="1681">
      <c r="A1681" s="16" t="n">
        <v>46435</v>
      </c>
      <c r="B1681" t="inlineStr">
        <is>
          <t>OKC</t>
        </is>
      </c>
    </row>
    <row r="1682">
      <c r="A1682" s="16" t="n">
        <v>46435</v>
      </c>
      <c r="B1682" t="inlineStr">
        <is>
          <t>ORL</t>
        </is>
      </c>
    </row>
    <row r="1683">
      <c r="A1683" s="16" t="n">
        <v>46435</v>
      </c>
      <c r="B1683" t="inlineStr">
        <is>
          <t>PHI</t>
        </is>
      </c>
    </row>
    <row r="1684">
      <c r="A1684" s="16" t="n">
        <v>46435</v>
      </c>
      <c r="B1684" t="inlineStr">
        <is>
          <t>PHO</t>
        </is>
      </c>
    </row>
    <row r="1685">
      <c r="A1685" s="16" t="n">
        <v>46435</v>
      </c>
      <c r="B1685" t="inlineStr">
        <is>
          <t>SAC</t>
        </is>
      </c>
    </row>
    <row r="1686">
      <c r="A1686" s="16" t="n">
        <v>46435</v>
      </c>
      <c r="B1686" t="inlineStr">
        <is>
          <t>SAS</t>
        </is>
      </c>
    </row>
    <row r="1687">
      <c r="A1687" s="16" t="n">
        <v>46435</v>
      </c>
      <c r="B1687" t="inlineStr">
        <is>
          <t>TOR</t>
        </is>
      </c>
    </row>
    <row r="1688">
      <c r="A1688" s="16" t="n">
        <v>46435</v>
      </c>
      <c r="B1688" t="inlineStr">
        <is>
          <t>UTH</t>
        </is>
      </c>
    </row>
    <row r="1689">
      <c r="A1689" s="16" t="n">
        <v>46435</v>
      </c>
      <c r="B1689" t="inlineStr">
        <is>
          <t>WAS</t>
        </is>
      </c>
    </row>
    <row r="1690">
      <c r="A1690" s="16" t="n">
        <v>46436</v>
      </c>
      <c r="B1690" t="inlineStr">
        <is>
          <t>BOS</t>
        </is>
      </c>
    </row>
    <row r="1691">
      <c r="A1691" s="16" t="n">
        <v>46436</v>
      </c>
      <c r="B1691" t="inlineStr">
        <is>
          <t>HOU</t>
        </is>
      </c>
    </row>
    <row r="1692">
      <c r="A1692" s="16" t="n">
        <v>46436</v>
      </c>
      <c r="B1692" t="inlineStr">
        <is>
          <t>IND</t>
        </is>
      </c>
    </row>
    <row r="1693">
      <c r="A1693" s="16" t="n">
        <v>46436</v>
      </c>
      <c r="B1693" t="inlineStr">
        <is>
          <t>LAL</t>
        </is>
      </c>
    </row>
    <row r="1694">
      <c r="A1694" s="16" t="n">
        <v>46436</v>
      </c>
      <c r="B1694" t="inlineStr">
        <is>
          <t>MEM</t>
        </is>
      </c>
    </row>
    <row r="1695">
      <c r="A1695" s="16" t="n">
        <v>46436</v>
      </c>
      <c r="B1695" t="inlineStr">
        <is>
          <t>MIN</t>
        </is>
      </c>
    </row>
    <row r="1696">
      <c r="A1696" s="16" t="n">
        <v>46436</v>
      </c>
      <c r="B1696" t="inlineStr">
        <is>
          <t>POR</t>
        </is>
      </c>
    </row>
    <row r="1697">
      <c r="A1697" s="16" t="n">
        <v>46436</v>
      </c>
      <c r="B1697" t="inlineStr">
        <is>
          <t>SAS</t>
        </is>
      </c>
    </row>
    <row r="1698">
      <c r="A1698" s="16" t="n">
        <v>46443</v>
      </c>
      <c r="B1698" t="inlineStr">
        <is>
          <t>ATL</t>
        </is>
      </c>
    </row>
    <row r="1699">
      <c r="A1699" s="16" t="n">
        <v>46443</v>
      </c>
      <c r="B1699" t="inlineStr">
        <is>
          <t>BKN</t>
        </is>
      </c>
    </row>
    <row r="1700">
      <c r="A1700" s="16" t="n">
        <v>46443</v>
      </c>
      <c r="B1700" t="inlineStr">
        <is>
          <t>CHA</t>
        </is>
      </c>
    </row>
    <row r="1701">
      <c r="A1701" s="16" t="n">
        <v>46443</v>
      </c>
      <c r="B1701" t="inlineStr">
        <is>
          <t>CHI</t>
        </is>
      </c>
    </row>
    <row r="1702">
      <c r="A1702" s="16" t="n">
        <v>46443</v>
      </c>
      <c r="B1702" t="inlineStr">
        <is>
          <t>CLE</t>
        </is>
      </c>
    </row>
    <row r="1703">
      <c r="A1703" s="16" t="n">
        <v>46443</v>
      </c>
      <c r="B1703" t="inlineStr">
        <is>
          <t>DAL</t>
        </is>
      </c>
    </row>
    <row r="1704">
      <c r="A1704" s="16" t="n">
        <v>46443</v>
      </c>
      <c r="B1704" t="inlineStr">
        <is>
          <t>DET</t>
        </is>
      </c>
    </row>
    <row r="1705">
      <c r="A1705" s="16" t="n">
        <v>46443</v>
      </c>
      <c r="B1705" t="inlineStr">
        <is>
          <t>GSW</t>
        </is>
      </c>
    </row>
    <row r="1706">
      <c r="A1706" s="16" t="n">
        <v>46443</v>
      </c>
      <c r="B1706" t="inlineStr">
        <is>
          <t>LAC</t>
        </is>
      </c>
    </row>
    <row r="1707">
      <c r="A1707" s="16" t="n">
        <v>46443</v>
      </c>
      <c r="B1707" t="inlineStr">
        <is>
          <t>MIA</t>
        </is>
      </c>
    </row>
    <row r="1708">
      <c r="A1708" s="16" t="n">
        <v>46443</v>
      </c>
      <c r="B1708" t="inlineStr">
        <is>
          <t>MIL</t>
        </is>
      </c>
    </row>
    <row r="1709">
      <c r="A1709" s="16" t="n">
        <v>46443</v>
      </c>
      <c r="B1709" t="inlineStr">
        <is>
          <t>NOR</t>
        </is>
      </c>
    </row>
    <row r="1710">
      <c r="A1710" s="16" t="n">
        <v>46443</v>
      </c>
      <c r="B1710" t="inlineStr">
        <is>
          <t>NYK</t>
        </is>
      </c>
    </row>
    <row r="1711">
      <c r="A1711" s="16" t="n">
        <v>46443</v>
      </c>
      <c r="B1711" t="inlineStr">
        <is>
          <t>OKC</t>
        </is>
      </c>
    </row>
    <row r="1712">
      <c r="A1712" s="16" t="n">
        <v>46443</v>
      </c>
      <c r="B1712" t="inlineStr">
        <is>
          <t>ORL</t>
        </is>
      </c>
    </row>
    <row r="1713">
      <c r="A1713" s="16" t="n">
        <v>46443</v>
      </c>
      <c r="B1713" t="inlineStr">
        <is>
          <t>PHI</t>
        </is>
      </c>
    </row>
    <row r="1714">
      <c r="A1714" s="16" t="n">
        <v>46443</v>
      </c>
      <c r="B1714" t="inlineStr">
        <is>
          <t>PHO</t>
        </is>
      </c>
    </row>
    <row r="1715">
      <c r="A1715" s="16" t="n">
        <v>46443</v>
      </c>
      <c r="B1715" t="inlineStr">
        <is>
          <t>SAC</t>
        </is>
      </c>
    </row>
    <row r="1716">
      <c r="A1716" s="16" t="n">
        <v>46443</v>
      </c>
      <c r="B1716" t="inlineStr">
        <is>
          <t>UTH</t>
        </is>
      </c>
    </row>
    <row r="1717">
      <c r="A1717" s="16" t="n">
        <v>46443</v>
      </c>
      <c r="B1717" t="inlineStr">
        <is>
          <t>WAS</t>
        </is>
      </c>
    </row>
    <row r="1718">
      <c r="A1718" s="16" t="n">
        <v>46444</v>
      </c>
      <c r="B1718" t="inlineStr">
        <is>
          <t>ATL</t>
        </is>
      </c>
    </row>
    <row r="1719">
      <c r="A1719" s="16" t="n">
        <v>46444</v>
      </c>
      <c r="B1719" t="inlineStr">
        <is>
          <t>BOS</t>
        </is>
      </c>
    </row>
    <row r="1720">
      <c r="A1720" s="16" t="n">
        <v>46444</v>
      </c>
      <c r="B1720" t="inlineStr">
        <is>
          <t>CHA</t>
        </is>
      </c>
    </row>
    <row r="1721">
      <c r="A1721" s="16" t="n">
        <v>46444</v>
      </c>
      <c r="B1721" t="inlineStr">
        <is>
          <t>CLE</t>
        </is>
      </c>
    </row>
    <row r="1722">
      <c r="A1722" s="16" t="n">
        <v>46444</v>
      </c>
      <c r="B1722" t="inlineStr">
        <is>
          <t>DAL</t>
        </is>
      </c>
    </row>
    <row r="1723">
      <c r="A1723" s="16" t="n">
        <v>46444</v>
      </c>
      <c r="B1723" t="inlineStr">
        <is>
          <t>DEN</t>
        </is>
      </c>
    </row>
    <row r="1724">
      <c r="A1724" s="16" t="n">
        <v>46444</v>
      </c>
      <c r="B1724" t="inlineStr">
        <is>
          <t>HOU</t>
        </is>
      </c>
    </row>
    <row r="1725">
      <c r="A1725" s="16" t="n">
        <v>46444</v>
      </c>
      <c r="B1725" t="inlineStr">
        <is>
          <t>IND</t>
        </is>
      </c>
    </row>
    <row r="1726">
      <c r="A1726" s="16" t="n">
        <v>46444</v>
      </c>
      <c r="B1726" t="inlineStr">
        <is>
          <t>LAL</t>
        </is>
      </c>
    </row>
    <row r="1727">
      <c r="A1727" s="16" t="n">
        <v>46444</v>
      </c>
      <c r="B1727" t="inlineStr">
        <is>
          <t>MEM</t>
        </is>
      </c>
    </row>
    <row r="1728">
      <c r="A1728" s="16" t="n">
        <v>46444</v>
      </c>
      <c r="B1728" t="inlineStr">
        <is>
          <t>MIN</t>
        </is>
      </c>
    </row>
    <row r="1729">
      <c r="A1729" s="16" t="n">
        <v>46444</v>
      </c>
      <c r="B1729" t="inlineStr">
        <is>
          <t>POR</t>
        </is>
      </c>
    </row>
    <row r="1730">
      <c r="A1730" s="16" t="n">
        <v>46444</v>
      </c>
      <c r="B1730" t="inlineStr">
        <is>
          <t>SAS</t>
        </is>
      </c>
    </row>
    <row r="1731">
      <c r="A1731" s="16" t="n">
        <v>46444</v>
      </c>
      <c r="B1731" t="inlineStr">
        <is>
          <t>TOR</t>
        </is>
      </c>
    </row>
    <row r="1732">
      <c r="A1732" s="16" t="n">
        <v>46445</v>
      </c>
      <c r="B1732" t="inlineStr">
        <is>
          <t>BKN</t>
        </is>
      </c>
    </row>
    <row r="1733">
      <c r="A1733" s="16" t="n">
        <v>46445</v>
      </c>
      <c r="B1733" t="inlineStr">
        <is>
          <t>CHI</t>
        </is>
      </c>
    </row>
    <row r="1734">
      <c r="A1734" s="16" t="n">
        <v>46445</v>
      </c>
      <c r="B1734" t="inlineStr">
        <is>
          <t>DET</t>
        </is>
      </c>
    </row>
    <row r="1735">
      <c r="A1735" s="16" t="n">
        <v>46445</v>
      </c>
      <c r="B1735" t="inlineStr">
        <is>
          <t>MEM</t>
        </is>
      </c>
    </row>
    <row r="1736">
      <c r="A1736" s="16" t="n">
        <v>46445</v>
      </c>
      <c r="B1736" t="inlineStr">
        <is>
          <t>NOR</t>
        </is>
      </c>
    </row>
    <row r="1737">
      <c r="A1737" s="16" t="n">
        <v>46445</v>
      </c>
      <c r="B1737" t="inlineStr">
        <is>
          <t>NYK</t>
        </is>
      </c>
    </row>
    <row r="1738">
      <c r="A1738" s="16" t="n">
        <v>46445</v>
      </c>
      <c r="B1738" t="inlineStr">
        <is>
          <t>OKC</t>
        </is>
      </c>
    </row>
    <row r="1739">
      <c r="A1739" s="16" t="n">
        <v>46445</v>
      </c>
      <c r="B1739" t="inlineStr">
        <is>
          <t>PHI</t>
        </is>
      </c>
    </row>
    <row r="1740">
      <c r="A1740" s="16" t="n">
        <v>46445</v>
      </c>
      <c r="B1740" t="inlineStr">
        <is>
          <t>PHO</t>
        </is>
      </c>
    </row>
    <row r="1741">
      <c r="A1741" s="16" t="n">
        <v>46445</v>
      </c>
      <c r="B1741" t="inlineStr">
        <is>
          <t>SAC</t>
        </is>
      </c>
    </row>
    <row r="1742">
      <c r="A1742" s="16" t="n">
        <v>46445</v>
      </c>
      <c r="B1742" t="inlineStr">
        <is>
          <t>UTH</t>
        </is>
      </c>
    </row>
    <row r="1743">
      <c r="A1743" s="16" t="n">
        <v>46445</v>
      </c>
      <c r="B1743" t="inlineStr">
        <is>
          <t>WAS</t>
        </is>
      </c>
    </row>
    <row r="1744">
      <c r="A1744" s="16" t="n">
        <v>46446</v>
      </c>
      <c r="B1744" t="inlineStr">
        <is>
          <t>ATL</t>
        </is>
      </c>
    </row>
    <row r="1745">
      <c r="A1745" s="16" t="n">
        <v>46446</v>
      </c>
      <c r="B1745" t="inlineStr">
        <is>
          <t>BOS</t>
        </is>
      </c>
    </row>
    <row r="1746">
      <c r="A1746" s="16" t="n">
        <v>46446</v>
      </c>
      <c r="B1746" t="inlineStr">
        <is>
          <t>CHA</t>
        </is>
      </c>
    </row>
    <row r="1747">
      <c r="A1747" s="16" t="n">
        <v>46446</v>
      </c>
      <c r="B1747" t="inlineStr">
        <is>
          <t>DAL</t>
        </is>
      </c>
    </row>
    <row r="1748">
      <c r="A1748" s="16" t="n">
        <v>46446</v>
      </c>
      <c r="B1748" t="inlineStr">
        <is>
          <t>DEN</t>
        </is>
      </c>
    </row>
    <row r="1749">
      <c r="A1749" s="16" t="n">
        <v>46446</v>
      </c>
      <c r="B1749" t="inlineStr">
        <is>
          <t>HOU</t>
        </is>
      </c>
    </row>
    <row r="1750">
      <c r="A1750" s="16" t="n">
        <v>46446</v>
      </c>
      <c r="B1750" t="inlineStr">
        <is>
          <t>IND</t>
        </is>
      </c>
    </row>
    <row r="1751">
      <c r="A1751" s="16" t="n">
        <v>46446</v>
      </c>
      <c r="B1751" t="inlineStr">
        <is>
          <t>LAC</t>
        </is>
      </c>
    </row>
    <row r="1752">
      <c r="A1752" s="16" t="n">
        <v>46446</v>
      </c>
      <c r="B1752" t="inlineStr">
        <is>
          <t>LAL</t>
        </is>
      </c>
    </row>
    <row r="1753">
      <c r="A1753" s="16" t="n">
        <v>46446</v>
      </c>
      <c r="B1753" t="inlineStr">
        <is>
          <t>MIA</t>
        </is>
      </c>
    </row>
    <row r="1754">
      <c r="A1754" s="16" t="n">
        <v>46446</v>
      </c>
      <c r="B1754" t="inlineStr">
        <is>
          <t>MIL</t>
        </is>
      </c>
    </row>
    <row r="1755">
      <c r="A1755" s="16" t="n">
        <v>46446</v>
      </c>
      <c r="B1755" t="inlineStr">
        <is>
          <t>MIN</t>
        </is>
      </c>
    </row>
    <row r="1756">
      <c r="A1756" s="16" t="n">
        <v>46446</v>
      </c>
      <c r="B1756" t="inlineStr">
        <is>
          <t>NYK</t>
        </is>
      </c>
    </row>
    <row r="1757">
      <c r="A1757" s="16" t="n">
        <v>46446</v>
      </c>
      <c r="B1757" t="inlineStr">
        <is>
          <t>ORL</t>
        </is>
      </c>
    </row>
    <row r="1758">
      <c r="A1758" s="16" t="n">
        <v>46446</v>
      </c>
      <c r="B1758" t="inlineStr">
        <is>
          <t>POR</t>
        </is>
      </c>
    </row>
    <row r="1759">
      <c r="A1759" s="16" t="n">
        <v>46446</v>
      </c>
      <c r="B1759" t="inlineStr">
        <is>
          <t>SAC</t>
        </is>
      </c>
    </row>
    <row r="1760">
      <c r="A1760" s="16" t="n">
        <v>46446</v>
      </c>
      <c r="B1760" t="inlineStr">
        <is>
          <t>SAS</t>
        </is>
      </c>
    </row>
    <row r="1761">
      <c r="A1761" s="16" t="n">
        <v>46446</v>
      </c>
      <c r="B1761" t="inlineStr">
        <is>
          <t>TOR</t>
        </is>
      </c>
    </row>
    <row r="1762">
      <c r="A1762" s="16" t="n">
        <v>46447</v>
      </c>
      <c r="B1762" t="inlineStr">
        <is>
          <t>BKN</t>
        </is>
      </c>
    </row>
    <row r="1763">
      <c r="A1763" s="16" t="n">
        <v>46447</v>
      </c>
      <c r="B1763" t="inlineStr">
        <is>
          <t>CHI</t>
        </is>
      </c>
    </row>
    <row r="1764">
      <c r="A1764" s="16" t="n">
        <v>46447</v>
      </c>
      <c r="B1764" t="inlineStr">
        <is>
          <t>CLE</t>
        </is>
      </c>
    </row>
    <row r="1765">
      <c r="A1765" s="16" t="n">
        <v>46447</v>
      </c>
      <c r="B1765" t="inlineStr">
        <is>
          <t>DEN</t>
        </is>
      </c>
    </row>
    <row r="1766">
      <c r="A1766" s="16" t="n">
        <v>46447</v>
      </c>
      <c r="B1766" t="inlineStr">
        <is>
          <t>DET</t>
        </is>
      </c>
    </row>
    <row r="1767">
      <c r="A1767" s="16" t="n">
        <v>46447</v>
      </c>
      <c r="B1767" t="inlineStr">
        <is>
          <t>GSW</t>
        </is>
      </c>
    </row>
    <row r="1768">
      <c r="A1768" s="16" t="n">
        <v>46447</v>
      </c>
      <c r="B1768" t="inlineStr">
        <is>
          <t>HOU</t>
        </is>
      </c>
    </row>
    <row r="1769">
      <c r="A1769" s="16" t="n">
        <v>46447</v>
      </c>
      <c r="B1769" t="inlineStr">
        <is>
          <t>NOR</t>
        </is>
      </c>
    </row>
    <row r="1770">
      <c r="A1770" s="16" t="n">
        <v>46447</v>
      </c>
      <c r="B1770" t="inlineStr">
        <is>
          <t>PHI</t>
        </is>
      </c>
    </row>
    <row r="1771">
      <c r="A1771" s="16" t="n">
        <v>46447</v>
      </c>
      <c r="B1771" t="inlineStr">
        <is>
          <t>PHO</t>
        </is>
      </c>
    </row>
    <row r="1772">
      <c r="A1772" s="16" t="n">
        <v>46447</v>
      </c>
      <c r="B1772" t="inlineStr">
        <is>
          <t>UTH</t>
        </is>
      </c>
    </row>
    <row r="1773">
      <c r="A1773" s="16" t="n">
        <v>46447</v>
      </c>
      <c r="B1773" t="inlineStr">
        <is>
          <t>WAS</t>
        </is>
      </c>
    </row>
    <row r="1774">
      <c r="A1774" s="16" t="n">
        <v>46448</v>
      </c>
      <c r="B1774" t="inlineStr">
        <is>
          <t>BOS</t>
        </is>
      </c>
    </row>
    <row r="1775">
      <c r="A1775" s="16" t="n">
        <v>46448</v>
      </c>
      <c r="B1775" t="inlineStr">
        <is>
          <t>DAL</t>
        </is>
      </c>
    </row>
    <row r="1776">
      <c r="A1776" s="16" t="n">
        <v>46448</v>
      </c>
      <c r="B1776" t="inlineStr">
        <is>
          <t>DET</t>
        </is>
      </c>
    </row>
    <row r="1777">
      <c r="A1777" s="16" t="n">
        <v>46448</v>
      </c>
      <c r="B1777" t="inlineStr">
        <is>
          <t>GSW</t>
        </is>
      </c>
    </row>
    <row r="1778">
      <c r="A1778" s="16" t="n">
        <v>46448</v>
      </c>
      <c r="B1778" t="inlineStr">
        <is>
          <t>IND</t>
        </is>
      </c>
    </row>
    <row r="1779">
      <c r="A1779" s="16" t="n">
        <v>46448</v>
      </c>
      <c r="B1779" t="inlineStr">
        <is>
          <t>LAC</t>
        </is>
      </c>
    </row>
    <row r="1780">
      <c r="A1780" s="16" t="n">
        <v>46448</v>
      </c>
      <c r="B1780" t="inlineStr">
        <is>
          <t>LAL</t>
        </is>
      </c>
    </row>
    <row r="1781">
      <c r="A1781" s="16" t="n">
        <v>46448</v>
      </c>
      <c r="B1781" t="inlineStr">
        <is>
          <t>MEM</t>
        </is>
      </c>
    </row>
    <row r="1782">
      <c r="A1782" s="16" t="n">
        <v>46448</v>
      </c>
      <c r="B1782" t="inlineStr">
        <is>
          <t>MIA</t>
        </is>
      </c>
    </row>
    <row r="1783">
      <c r="A1783" s="16" t="n">
        <v>46448</v>
      </c>
      <c r="B1783" t="inlineStr">
        <is>
          <t>MIL</t>
        </is>
      </c>
    </row>
    <row r="1784">
      <c r="A1784" s="16" t="n">
        <v>46448</v>
      </c>
      <c r="B1784" t="inlineStr">
        <is>
          <t>MIN</t>
        </is>
      </c>
    </row>
    <row r="1785">
      <c r="A1785" s="16" t="n">
        <v>46448</v>
      </c>
      <c r="B1785" t="inlineStr">
        <is>
          <t>NYK</t>
        </is>
      </c>
    </row>
    <row r="1786">
      <c r="A1786" s="16" t="n">
        <v>46448</v>
      </c>
      <c r="B1786" t="inlineStr">
        <is>
          <t>OKC</t>
        </is>
      </c>
    </row>
    <row r="1787">
      <c r="A1787" s="16" t="n">
        <v>46448</v>
      </c>
      <c r="B1787" t="inlineStr">
        <is>
          <t>ORL</t>
        </is>
      </c>
    </row>
    <row r="1788">
      <c r="A1788" s="16" t="n">
        <v>46448</v>
      </c>
      <c r="B1788" t="inlineStr">
        <is>
          <t>POR</t>
        </is>
      </c>
    </row>
    <row r="1789">
      <c r="A1789" s="16" t="n">
        <v>46448</v>
      </c>
      <c r="B1789" t="inlineStr">
        <is>
          <t>SAC</t>
        </is>
      </c>
    </row>
    <row r="1790">
      <c r="A1790" s="16" t="n">
        <v>46448</v>
      </c>
      <c r="B1790" t="inlineStr">
        <is>
          <t>TOR</t>
        </is>
      </c>
    </row>
    <row r="1791">
      <c r="A1791" s="16" t="n">
        <v>46448</v>
      </c>
      <c r="B1791" t="inlineStr">
        <is>
          <t>WAS</t>
        </is>
      </c>
    </row>
    <row r="1792">
      <c r="A1792" s="16" t="n">
        <v>46449</v>
      </c>
      <c r="B1792" t="inlineStr">
        <is>
          <t>ATL</t>
        </is>
      </c>
    </row>
    <row r="1793">
      <c r="A1793" s="16" t="n">
        <v>46449</v>
      </c>
      <c r="B1793" t="inlineStr">
        <is>
          <t>BKN</t>
        </is>
      </c>
    </row>
    <row r="1794">
      <c r="A1794" s="16" t="n">
        <v>46449</v>
      </c>
      <c r="B1794" t="inlineStr">
        <is>
          <t>CHA</t>
        </is>
      </c>
    </row>
    <row r="1795">
      <c r="A1795" s="16" t="n">
        <v>46449</v>
      </c>
      <c r="B1795" t="inlineStr">
        <is>
          <t>CHI</t>
        </is>
      </c>
    </row>
    <row r="1796">
      <c r="A1796" s="16" t="n">
        <v>46449</v>
      </c>
      <c r="B1796" t="inlineStr">
        <is>
          <t>DEN</t>
        </is>
      </c>
    </row>
    <row r="1797">
      <c r="A1797" s="16" t="n">
        <v>46449</v>
      </c>
      <c r="B1797" t="inlineStr">
        <is>
          <t>HOU</t>
        </is>
      </c>
    </row>
    <row r="1798">
      <c r="A1798" s="16" t="n">
        <v>46449</v>
      </c>
      <c r="B1798" t="inlineStr">
        <is>
          <t>MIA</t>
        </is>
      </c>
    </row>
    <row r="1799">
      <c r="A1799" s="16" t="n">
        <v>46449</v>
      </c>
      <c r="B1799" t="inlineStr">
        <is>
          <t>MIL</t>
        </is>
      </c>
    </row>
    <row r="1800">
      <c r="A1800" s="16" t="n">
        <v>46449</v>
      </c>
      <c r="B1800" t="inlineStr">
        <is>
          <t>NOR</t>
        </is>
      </c>
    </row>
    <row r="1801">
      <c r="A1801" s="16" t="n">
        <v>46449</v>
      </c>
      <c r="B1801" t="inlineStr">
        <is>
          <t>PHI</t>
        </is>
      </c>
    </row>
    <row r="1802">
      <c r="A1802" s="16" t="n">
        <v>46449</v>
      </c>
      <c r="B1802" t="inlineStr">
        <is>
          <t>PHO</t>
        </is>
      </c>
    </row>
    <row r="1803">
      <c r="A1803" s="16" t="n">
        <v>46449</v>
      </c>
      <c r="B1803" t="inlineStr">
        <is>
          <t>SAS</t>
        </is>
      </c>
    </row>
    <row r="1804">
      <c r="A1804" s="16" t="n">
        <v>46449</v>
      </c>
      <c r="B1804" t="inlineStr">
        <is>
          <t>TOR</t>
        </is>
      </c>
    </row>
    <row r="1805">
      <c r="A1805" s="16" t="n">
        <v>46449</v>
      </c>
      <c r="B1805" t="inlineStr">
        <is>
          <t>UTH</t>
        </is>
      </c>
    </row>
    <row r="1806">
      <c r="A1806" s="16" t="n">
        <v>46450</v>
      </c>
      <c r="B1806" t="inlineStr">
        <is>
          <t>ATL</t>
        </is>
      </c>
    </row>
    <row r="1807">
      <c r="A1807" s="16" t="n">
        <v>46450</v>
      </c>
      <c r="B1807" t="inlineStr">
        <is>
          <t>BKN</t>
        </is>
      </c>
    </row>
    <row r="1808">
      <c r="A1808" s="16" t="n">
        <v>46450</v>
      </c>
      <c r="B1808" t="inlineStr">
        <is>
          <t>CLE</t>
        </is>
      </c>
    </row>
    <row r="1809">
      <c r="A1809" s="16" t="n">
        <v>46450</v>
      </c>
      <c r="B1809" t="inlineStr">
        <is>
          <t>DAL</t>
        </is>
      </c>
    </row>
    <row r="1810">
      <c r="A1810" s="16" t="n">
        <v>46450</v>
      </c>
      <c r="B1810" t="inlineStr">
        <is>
          <t>GSW</t>
        </is>
      </c>
    </row>
    <row r="1811">
      <c r="A1811" s="16" t="n">
        <v>46450</v>
      </c>
      <c r="B1811" t="inlineStr">
        <is>
          <t>IND</t>
        </is>
      </c>
    </row>
    <row r="1812">
      <c r="A1812" s="16" t="n">
        <v>46450</v>
      </c>
      <c r="B1812" t="inlineStr">
        <is>
          <t>LAC</t>
        </is>
      </c>
    </row>
    <row r="1813">
      <c r="A1813" s="16" t="n">
        <v>46450</v>
      </c>
      <c r="B1813" t="inlineStr">
        <is>
          <t>LAL</t>
        </is>
      </c>
    </row>
    <row r="1814">
      <c r="A1814" s="16" t="n">
        <v>46450</v>
      </c>
      <c r="B1814" t="inlineStr">
        <is>
          <t>MEM</t>
        </is>
      </c>
    </row>
    <row r="1815">
      <c r="A1815" s="16" t="n">
        <v>46450</v>
      </c>
      <c r="B1815" t="inlineStr">
        <is>
          <t>NYK</t>
        </is>
      </c>
    </row>
    <row r="1816">
      <c r="A1816" s="16" t="n">
        <v>46450</v>
      </c>
      <c r="B1816" t="inlineStr">
        <is>
          <t>OKC</t>
        </is>
      </c>
    </row>
    <row r="1817">
      <c r="A1817" s="16" t="n">
        <v>46450</v>
      </c>
      <c r="B1817" t="inlineStr">
        <is>
          <t>ORL</t>
        </is>
      </c>
    </row>
    <row r="1818">
      <c r="A1818" s="16" t="n">
        <v>46450</v>
      </c>
      <c r="B1818" t="inlineStr">
        <is>
          <t>PHI</t>
        </is>
      </c>
    </row>
    <row r="1819">
      <c r="A1819" s="16" t="n">
        <v>46450</v>
      </c>
      <c r="B1819" t="inlineStr">
        <is>
          <t>POR</t>
        </is>
      </c>
    </row>
    <row r="1820">
      <c r="A1820" s="16" t="n">
        <v>46450</v>
      </c>
      <c r="B1820" t="inlineStr">
        <is>
          <t>SAC</t>
        </is>
      </c>
    </row>
    <row r="1821">
      <c r="A1821" s="16" t="n">
        <v>46450</v>
      </c>
      <c r="B1821" t="inlineStr">
        <is>
          <t>WAS</t>
        </is>
      </c>
    </row>
    <row r="1822">
      <c r="A1822" s="16" t="n">
        <v>46451</v>
      </c>
      <c r="B1822" t="inlineStr">
        <is>
          <t>BOS</t>
        </is>
      </c>
    </row>
    <row r="1823">
      <c r="A1823" s="16" t="n">
        <v>46451</v>
      </c>
      <c r="B1823" t="inlineStr">
        <is>
          <t>DET</t>
        </is>
      </c>
    </row>
    <row r="1824">
      <c r="A1824" s="16" t="n">
        <v>46451</v>
      </c>
      <c r="B1824" t="inlineStr">
        <is>
          <t>HOU</t>
        </is>
      </c>
    </row>
    <row r="1825">
      <c r="A1825" s="16" t="n">
        <v>46451</v>
      </c>
      <c r="B1825" t="inlineStr">
        <is>
          <t>MIL</t>
        </is>
      </c>
    </row>
    <row r="1826">
      <c r="A1826" s="16" t="n">
        <v>46451</v>
      </c>
      <c r="B1826" t="inlineStr">
        <is>
          <t>MIN</t>
        </is>
      </c>
    </row>
    <row r="1827">
      <c r="A1827" s="16" t="n">
        <v>46451</v>
      </c>
      <c r="B1827" t="inlineStr">
        <is>
          <t>NOR</t>
        </is>
      </c>
    </row>
    <row r="1828">
      <c r="A1828" s="16" t="n">
        <v>46451</v>
      </c>
      <c r="B1828" t="inlineStr">
        <is>
          <t>ORL</t>
        </is>
      </c>
    </row>
    <row r="1829">
      <c r="A1829" s="16" t="n">
        <v>46451</v>
      </c>
      <c r="B1829" t="inlineStr">
        <is>
          <t>PHO</t>
        </is>
      </c>
    </row>
    <row r="1830">
      <c r="A1830" s="16" t="n">
        <v>46451</v>
      </c>
      <c r="B1830" t="inlineStr">
        <is>
          <t>POR</t>
        </is>
      </c>
    </row>
    <row r="1831">
      <c r="A1831" s="16" t="n">
        <v>46451</v>
      </c>
      <c r="B1831" t="inlineStr">
        <is>
          <t>SAS</t>
        </is>
      </c>
    </row>
    <row r="1832">
      <c r="A1832" s="16" t="n">
        <v>46451</v>
      </c>
      <c r="B1832" t="inlineStr">
        <is>
          <t>TOR</t>
        </is>
      </c>
    </row>
    <row r="1833">
      <c r="A1833" s="16" t="n">
        <v>46451</v>
      </c>
      <c r="B1833" t="inlineStr">
        <is>
          <t>UTH</t>
        </is>
      </c>
    </row>
    <row r="1834">
      <c r="A1834" s="16" t="n">
        <v>46452</v>
      </c>
      <c r="B1834" t="inlineStr">
        <is>
          <t>ATL</t>
        </is>
      </c>
    </row>
    <row r="1835">
      <c r="A1835" s="16" t="n">
        <v>46452</v>
      </c>
      <c r="B1835" t="inlineStr">
        <is>
          <t>CHA</t>
        </is>
      </c>
    </row>
    <row r="1836">
      <c r="A1836" s="16" t="n">
        <v>46452</v>
      </c>
      <c r="B1836" t="inlineStr">
        <is>
          <t>CHI</t>
        </is>
      </c>
    </row>
    <row r="1837">
      <c r="A1837" s="16" t="n">
        <v>46452</v>
      </c>
      <c r="B1837" t="inlineStr">
        <is>
          <t>CLE</t>
        </is>
      </c>
    </row>
    <row r="1838">
      <c r="A1838" s="16" t="n">
        <v>46452</v>
      </c>
      <c r="B1838" t="inlineStr">
        <is>
          <t>IND</t>
        </is>
      </c>
    </row>
    <row r="1839">
      <c r="A1839" s="16" t="n">
        <v>46452</v>
      </c>
      <c r="B1839" t="inlineStr">
        <is>
          <t>LAC</t>
        </is>
      </c>
    </row>
    <row r="1840">
      <c r="A1840" s="16" t="n">
        <v>46452</v>
      </c>
      <c r="B1840" t="inlineStr">
        <is>
          <t>LAL</t>
        </is>
      </c>
    </row>
    <row r="1841">
      <c r="A1841" s="16" t="n">
        <v>46452</v>
      </c>
      <c r="B1841" t="inlineStr">
        <is>
          <t>MEM</t>
        </is>
      </c>
    </row>
    <row r="1842">
      <c r="A1842" s="16" t="n">
        <v>46452</v>
      </c>
      <c r="B1842" t="inlineStr">
        <is>
          <t>MIA</t>
        </is>
      </c>
    </row>
    <row r="1843">
      <c r="A1843" s="16" t="n">
        <v>46452</v>
      </c>
      <c r="B1843" t="inlineStr">
        <is>
          <t>NOR</t>
        </is>
      </c>
    </row>
    <row r="1844">
      <c r="A1844" s="16" t="n">
        <v>46452</v>
      </c>
      <c r="B1844" t="inlineStr">
        <is>
          <t>OKC</t>
        </is>
      </c>
    </row>
    <row r="1845">
      <c r="A1845" s="16" t="n">
        <v>46452</v>
      </c>
      <c r="B1845" t="inlineStr">
        <is>
          <t>SAC</t>
        </is>
      </c>
    </row>
    <row r="1846">
      <c r="A1846" s="16" t="n">
        <v>46452</v>
      </c>
      <c r="B1846" t="inlineStr">
        <is>
          <t>UTH</t>
        </is>
      </c>
    </row>
    <row r="1847">
      <c r="A1847" s="16" t="n">
        <v>46452</v>
      </c>
      <c r="B1847" t="inlineStr">
        <is>
          <t>WAS</t>
        </is>
      </c>
    </row>
    <row r="1848">
      <c r="A1848" s="16" t="n">
        <v>46453</v>
      </c>
      <c r="B1848" t="inlineStr">
        <is>
          <t>BKN</t>
        </is>
      </c>
    </row>
    <row r="1849">
      <c r="A1849" s="16" t="n">
        <v>46453</v>
      </c>
      <c r="B1849" t="inlineStr">
        <is>
          <t>BOS</t>
        </is>
      </c>
    </row>
    <row r="1850">
      <c r="A1850" s="16" t="n">
        <v>46453</v>
      </c>
      <c r="B1850" t="inlineStr">
        <is>
          <t>CHI</t>
        </is>
      </c>
    </row>
    <row r="1851">
      <c r="A1851" s="16" t="n">
        <v>46453</v>
      </c>
      <c r="B1851" t="inlineStr">
        <is>
          <t>DEN</t>
        </is>
      </c>
    </row>
    <row r="1852">
      <c r="A1852" s="16" t="n">
        <v>46453</v>
      </c>
      <c r="B1852" t="inlineStr">
        <is>
          <t>GSW</t>
        </is>
      </c>
    </row>
    <row r="1853">
      <c r="A1853" s="16" t="n">
        <v>46453</v>
      </c>
      <c r="B1853" t="inlineStr">
        <is>
          <t>HOU</t>
        </is>
      </c>
    </row>
    <row r="1854">
      <c r="A1854" s="16" t="n">
        <v>46453</v>
      </c>
      <c r="B1854" t="inlineStr">
        <is>
          <t>LAL</t>
        </is>
      </c>
    </row>
    <row r="1855">
      <c r="A1855" s="16" t="n">
        <v>46453</v>
      </c>
      <c r="B1855" t="inlineStr">
        <is>
          <t>MIN</t>
        </is>
      </c>
    </row>
    <row r="1856">
      <c r="A1856" s="16" t="n">
        <v>46453</v>
      </c>
      <c r="B1856" t="inlineStr">
        <is>
          <t>NYK</t>
        </is>
      </c>
    </row>
    <row r="1857">
      <c r="A1857" s="16" t="n">
        <v>46453</v>
      </c>
      <c r="B1857" t="inlineStr">
        <is>
          <t>PHI</t>
        </is>
      </c>
    </row>
    <row r="1858">
      <c r="A1858" s="16" t="n">
        <v>46453</v>
      </c>
      <c r="B1858" t="inlineStr">
        <is>
          <t>POR</t>
        </is>
      </c>
    </row>
    <row r="1859">
      <c r="A1859" s="16" t="n">
        <v>46453</v>
      </c>
      <c r="B1859" t="inlineStr">
        <is>
          <t>SAS</t>
        </is>
      </c>
    </row>
    <row r="1860">
      <c r="A1860" s="16" t="n">
        <v>46454</v>
      </c>
      <c r="B1860" t="inlineStr">
        <is>
          <t>ATL</t>
        </is>
      </c>
    </row>
    <row r="1861">
      <c r="A1861" s="16" t="n">
        <v>46454</v>
      </c>
      <c r="B1861" t="inlineStr">
        <is>
          <t>CHA</t>
        </is>
      </c>
    </row>
    <row r="1862">
      <c r="A1862" s="16" t="n">
        <v>46454</v>
      </c>
      <c r="B1862" t="inlineStr">
        <is>
          <t>DAL</t>
        </is>
      </c>
    </row>
    <row r="1863">
      <c r="A1863" s="16" t="n">
        <v>46454</v>
      </c>
      <c r="B1863" t="inlineStr">
        <is>
          <t>DEN</t>
        </is>
      </c>
    </row>
    <row r="1864">
      <c r="A1864" s="16" t="n">
        <v>46454</v>
      </c>
      <c r="B1864" t="inlineStr">
        <is>
          <t>HOU</t>
        </is>
      </c>
    </row>
    <row r="1865">
      <c r="A1865" s="16" t="n">
        <v>46454</v>
      </c>
      <c r="B1865" t="inlineStr">
        <is>
          <t>IND</t>
        </is>
      </c>
    </row>
    <row r="1866">
      <c r="A1866" s="16" t="n">
        <v>46454</v>
      </c>
      <c r="B1866" t="inlineStr">
        <is>
          <t>LAC</t>
        </is>
      </c>
    </row>
    <row r="1867">
      <c r="A1867" s="16" t="n">
        <v>46454</v>
      </c>
      <c r="B1867" t="inlineStr">
        <is>
          <t>MEM</t>
        </is>
      </c>
    </row>
    <row r="1868">
      <c r="A1868" s="16" t="n">
        <v>46454</v>
      </c>
      <c r="B1868" t="inlineStr">
        <is>
          <t>MIA</t>
        </is>
      </c>
    </row>
    <row r="1869">
      <c r="A1869" s="16" t="n">
        <v>46454</v>
      </c>
      <c r="B1869" t="inlineStr">
        <is>
          <t>MIN</t>
        </is>
      </c>
    </row>
    <row r="1870">
      <c r="A1870" s="16" t="n">
        <v>46454</v>
      </c>
      <c r="B1870" t="inlineStr">
        <is>
          <t>NOR</t>
        </is>
      </c>
    </row>
    <row r="1871">
      <c r="A1871" s="16" t="n">
        <v>46454</v>
      </c>
      <c r="B1871" t="inlineStr">
        <is>
          <t>OKC</t>
        </is>
      </c>
    </row>
    <row r="1872">
      <c r="A1872" s="16" t="n">
        <v>46454</v>
      </c>
      <c r="B1872" t="inlineStr">
        <is>
          <t>PHI</t>
        </is>
      </c>
    </row>
    <row r="1873">
      <c r="A1873" s="16" t="n">
        <v>46454</v>
      </c>
      <c r="B1873" t="inlineStr">
        <is>
          <t>PHO</t>
        </is>
      </c>
    </row>
    <row r="1874">
      <c r="A1874" s="16" t="n">
        <v>46454</v>
      </c>
      <c r="B1874" t="inlineStr">
        <is>
          <t>SAC</t>
        </is>
      </c>
    </row>
    <row r="1875">
      <c r="A1875" s="16" t="n">
        <v>46454</v>
      </c>
      <c r="B1875" t="inlineStr">
        <is>
          <t>UTH</t>
        </is>
      </c>
    </row>
    <row r="1876">
      <c r="A1876" s="16" t="n">
        <v>46455</v>
      </c>
      <c r="B1876" t="inlineStr">
        <is>
          <t>BKN</t>
        </is>
      </c>
    </row>
    <row r="1877">
      <c r="A1877" s="16" t="n">
        <v>46455</v>
      </c>
      <c r="B1877" t="inlineStr">
        <is>
          <t>BOS</t>
        </is>
      </c>
    </row>
    <row r="1878">
      <c r="A1878" s="16" t="n">
        <v>46455</v>
      </c>
      <c r="B1878" t="inlineStr">
        <is>
          <t>CHI</t>
        </is>
      </c>
    </row>
    <row r="1879">
      <c r="A1879" s="16" t="n">
        <v>46455</v>
      </c>
      <c r="B1879" t="inlineStr">
        <is>
          <t>CLE</t>
        </is>
      </c>
    </row>
    <row r="1880">
      <c r="A1880" s="16" t="n">
        <v>46455</v>
      </c>
      <c r="B1880" t="inlineStr">
        <is>
          <t>DAL</t>
        </is>
      </c>
    </row>
    <row r="1881">
      <c r="A1881" s="16" t="n">
        <v>46455</v>
      </c>
      <c r="B1881" t="inlineStr">
        <is>
          <t>DET</t>
        </is>
      </c>
    </row>
    <row r="1882">
      <c r="A1882" s="16" t="n">
        <v>46455</v>
      </c>
      <c r="B1882" t="inlineStr">
        <is>
          <t>GSW</t>
        </is>
      </c>
    </row>
    <row r="1883">
      <c r="A1883" s="16" t="n">
        <v>46455</v>
      </c>
      <c r="B1883" t="inlineStr">
        <is>
          <t>MEM</t>
        </is>
      </c>
    </row>
    <row r="1884">
      <c r="A1884" s="16" t="n">
        <v>46455</v>
      </c>
      <c r="B1884" t="inlineStr">
        <is>
          <t>MIL</t>
        </is>
      </c>
    </row>
    <row r="1885">
      <c r="A1885" s="16" t="n">
        <v>46455</v>
      </c>
      <c r="B1885" t="inlineStr">
        <is>
          <t>ORL</t>
        </is>
      </c>
    </row>
    <row r="1886">
      <c r="A1886" s="16" t="n">
        <v>46455</v>
      </c>
      <c r="B1886" t="inlineStr">
        <is>
          <t>PHO</t>
        </is>
      </c>
    </row>
    <row r="1887">
      <c r="A1887" s="16" t="n">
        <v>46455</v>
      </c>
      <c r="B1887" t="inlineStr">
        <is>
          <t>POR</t>
        </is>
      </c>
    </row>
    <row r="1888">
      <c r="A1888" s="16" t="n">
        <v>46455</v>
      </c>
      <c r="B1888" t="inlineStr">
        <is>
          <t>SAS</t>
        </is>
      </c>
    </row>
    <row r="1889">
      <c r="A1889" s="16" t="n">
        <v>46455</v>
      </c>
      <c r="B1889" t="inlineStr">
        <is>
          <t>WAS</t>
        </is>
      </c>
    </row>
    <row r="1890">
      <c r="A1890" s="16" t="n">
        <v>46456</v>
      </c>
      <c r="B1890" t="inlineStr">
        <is>
          <t>ATL</t>
        </is>
      </c>
    </row>
    <row r="1891">
      <c r="A1891" s="16" t="n">
        <v>46456</v>
      </c>
      <c r="B1891" t="inlineStr">
        <is>
          <t>CHA</t>
        </is>
      </c>
    </row>
    <row r="1892">
      <c r="A1892" s="16" t="n">
        <v>46456</v>
      </c>
      <c r="B1892" t="inlineStr">
        <is>
          <t>DEN</t>
        </is>
      </c>
    </row>
    <row r="1893">
      <c r="A1893" s="16" t="n">
        <v>46456</v>
      </c>
      <c r="B1893" t="inlineStr">
        <is>
          <t>GSW</t>
        </is>
      </c>
    </row>
    <row r="1894">
      <c r="A1894" s="16" t="n">
        <v>46456</v>
      </c>
      <c r="B1894" t="inlineStr">
        <is>
          <t>HOU</t>
        </is>
      </c>
    </row>
    <row r="1895">
      <c r="A1895" s="16" t="n">
        <v>46456</v>
      </c>
      <c r="B1895" t="inlineStr">
        <is>
          <t>LAC</t>
        </is>
      </c>
    </row>
    <row r="1896">
      <c r="A1896" s="16" t="n">
        <v>46456</v>
      </c>
      <c r="B1896" t="inlineStr">
        <is>
          <t>MIA</t>
        </is>
      </c>
    </row>
    <row r="1897">
      <c r="A1897" s="16" t="n">
        <v>46456</v>
      </c>
      <c r="B1897" t="inlineStr">
        <is>
          <t>MIN</t>
        </is>
      </c>
    </row>
    <row r="1898">
      <c r="A1898" s="16" t="n">
        <v>46456</v>
      </c>
      <c r="B1898" t="inlineStr">
        <is>
          <t>NOR</t>
        </is>
      </c>
    </row>
    <row r="1899">
      <c r="A1899" s="16" t="n">
        <v>46456</v>
      </c>
      <c r="B1899" t="inlineStr">
        <is>
          <t>NYK</t>
        </is>
      </c>
    </row>
    <row r="1900">
      <c r="A1900" s="16" t="n">
        <v>46456</v>
      </c>
      <c r="B1900" t="inlineStr">
        <is>
          <t>OKC</t>
        </is>
      </c>
    </row>
    <row r="1901">
      <c r="A1901" s="16" t="n">
        <v>46456</v>
      </c>
      <c r="B1901" t="inlineStr">
        <is>
          <t>ORL</t>
        </is>
      </c>
    </row>
    <row r="1902">
      <c r="A1902" s="16" t="n">
        <v>46456</v>
      </c>
      <c r="B1902" t="inlineStr">
        <is>
          <t>POR</t>
        </is>
      </c>
    </row>
    <row r="1903">
      <c r="A1903" s="16" t="n">
        <v>46456</v>
      </c>
      <c r="B1903" t="inlineStr">
        <is>
          <t>SAC</t>
        </is>
      </c>
    </row>
    <row r="1904">
      <c r="A1904" s="16" t="n">
        <v>46456</v>
      </c>
      <c r="B1904" t="inlineStr">
        <is>
          <t>TOR</t>
        </is>
      </c>
    </row>
    <row r="1905">
      <c r="A1905" s="16" t="n">
        <v>46456</v>
      </c>
      <c r="B1905" t="inlineStr">
        <is>
          <t>UTH</t>
        </is>
      </c>
    </row>
    <row r="1906">
      <c r="A1906" s="16" t="n">
        <v>46457</v>
      </c>
      <c r="B1906" t="inlineStr">
        <is>
          <t>ATL</t>
        </is>
      </c>
    </row>
    <row r="1907">
      <c r="A1907" s="16" t="n">
        <v>46457</v>
      </c>
      <c r="B1907" t="inlineStr">
        <is>
          <t>BKN</t>
        </is>
      </c>
    </row>
    <row r="1908">
      <c r="A1908" s="16" t="n">
        <v>46457</v>
      </c>
      <c r="B1908" t="inlineStr">
        <is>
          <t>BOS</t>
        </is>
      </c>
    </row>
    <row r="1909">
      <c r="A1909" s="16" t="n">
        <v>46457</v>
      </c>
      <c r="B1909" t="inlineStr">
        <is>
          <t>CHA</t>
        </is>
      </c>
    </row>
    <row r="1910">
      <c r="A1910" s="16" t="n">
        <v>46457</v>
      </c>
      <c r="B1910" t="inlineStr">
        <is>
          <t>CHI</t>
        </is>
      </c>
    </row>
    <row r="1911">
      <c r="A1911" s="16" t="n">
        <v>46457</v>
      </c>
      <c r="B1911" t="inlineStr">
        <is>
          <t>CLE</t>
        </is>
      </c>
    </row>
    <row r="1912">
      <c r="A1912" s="16" t="n">
        <v>46457</v>
      </c>
      <c r="B1912" t="inlineStr">
        <is>
          <t>DAL</t>
        </is>
      </c>
    </row>
    <row r="1913">
      <c r="A1913" s="16" t="n">
        <v>46457</v>
      </c>
      <c r="B1913" t="inlineStr">
        <is>
          <t>DET</t>
        </is>
      </c>
    </row>
    <row r="1914">
      <c r="A1914" s="16" t="n">
        <v>46457</v>
      </c>
      <c r="B1914" t="inlineStr">
        <is>
          <t>IND</t>
        </is>
      </c>
    </row>
    <row r="1915">
      <c r="A1915" s="16" t="n">
        <v>46457</v>
      </c>
      <c r="B1915" t="inlineStr">
        <is>
          <t>LAC</t>
        </is>
      </c>
    </row>
    <row r="1916">
      <c r="A1916" s="16" t="n">
        <v>46457</v>
      </c>
      <c r="B1916" t="inlineStr">
        <is>
          <t>LAL</t>
        </is>
      </c>
    </row>
    <row r="1917">
      <c r="A1917" s="16" t="n">
        <v>46457</v>
      </c>
      <c r="B1917" t="inlineStr">
        <is>
          <t>MEM</t>
        </is>
      </c>
    </row>
    <row r="1918">
      <c r="A1918" s="16" t="n">
        <v>46457</v>
      </c>
      <c r="B1918" t="inlineStr">
        <is>
          <t>MIL</t>
        </is>
      </c>
    </row>
    <row r="1919">
      <c r="A1919" s="16" t="n">
        <v>46457</v>
      </c>
      <c r="B1919" t="inlineStr">
        <is>
          <t>NYK</t>
        </is>
      </c>
    </row>
    <row r="1920">
      <c r="A1920" s="16" t="n">
        <v>46457</v>
      </c>
      <c r="B1920" t="inlineStr">
        <is>
          <t>PHI</t>
        </is>
      </c>
    </row>
    <row r="1921">
      <c r="A1921" s="16" t="n">
        <v>46457</v>
      </c>
      <c r="B1921" t="inlineStr">
        <is>
          <t>PHO</t>
        </is>
      </c>
    </row>
    <row r="1922">
      <c r="A1922" s="16" t="n">
        <v>46457</v>
      </c>
      <c r="B1922" t="inlineStr">
        <is>
          <t>SAS</t>
        </is>
      </c>
    </row>
    <row r="1923">
      <c r="A1923" s="16" t="n">
        <v>46457</v>
      </c>
      <c r="B1923" t="inlineStr">
        <is>
          <t>WAS</t>
        </is>
      </c>
    </row>
    <row r="1924">
      <c r="A1924" s="16" t="n">
        <v>46458</v>
      </c>
      <c r="B1924" t="inlineStr">
        <is>
          <t>BOS</t>
        </is>
      </c>
    </row>
    <row r="1925">
      <c r="A1925" s="16" t="n">
        <v>46458</v>
      </c>
      <c r="B1925" t="inlineStr">
        <is>
          <t>CLE</t>
        </is>
      </c>
    </row>
    <row r="1926">
      <c r="A1926" s="16" t="n">
        <v>46458</v>
      </c>
      <c r="B1926" t="inlineStr">
        <is>
          <t>DEN</t>
        </is>
      </c>
    </row>
    <row r="1927">
      <c r="A1927" s="16" t="n">
        <v>46458</v>
      </c>
      <c r="B1927" t="inlineStr">
        <is>
          <t>GSW</t>
        </is>
      </c>
    </row>
    <row r="1928">
      <c r="A1928" s="16" t="n">
        <v>46458</v>
      </c>
      <c r="B1928" t="inlineStr">
        <is>
          <t>LAL</t>
        </is>
      </c>
    </row>
    <row r="1929">
      <c r="A1929" s="16" t="n">
        <v>46458</v>
      </c>
      <c r="B1929" t="inlineStr">
        <is>
          <t>MIA</t>
        </is>
      </c>
    </row>
    <row r="1930">
      <c r="A1930" s="16" t="n">
        <v>46458</v>
      </c>
      <c r="B1930" t="inlineStr">
        <is>
          <t>MIL</t>
        </is>
      </c>
    </row>
    <row r="1931">
      <c r="A1931" s="16" t="n">
        <v>46458</v>
      </c>
      <c r="B1931" t="inlineStr">
        <is>
          <t>NOR</t>
        </is>
      </c>
    </row>
    <row r="1932">
      <c r="A1932" s="16" t="n">
        <v>46458</v>
      </c>
      <c r="B1932" t="inlineStr">
        <is>
          <t>OKC</t>
        </is>
      </c>
    </row>
    <row r="1933">
      <c r="A1933" s="16" t="n">
        <v>46458</v>
      </c>
      <c r="B1933" t="inlineStr">
        <is>
          <t>SAC</t>
        </is>
      </c>
    </row>
    <row r="1934">
      <c r="A1934" s="16" t="n">
        <v>46458</v>
      </c>
      <c r="B1934" t="inlineStr">
        <is>
          <t>TOR</t>
        </is>
      </c>
    </row>
    <row r="1935">
      <c r="A1935" s="16" t="n">
        <v>46458</v>
      </c>
      <c r="B1935" t="inlineStr">
        <is>
          <t>UTH</t>
        </is>
      </c>
    </row>
    <row r="1936">
      <c r="A1936" s="16" t="n">
        <v>46459</v>
      </c>
      <c r="B1936" t="inlineStr">
        <is>
          <t>ATL</t>
        </is>
      </c>
    </row>
    <row r="1937">
      <c r="A1937" s="16" t="n">
        <v>46459</v>
      </c>
      <c r="B1937" t="inlineStr">
        <is>
          <t>BKN</t>
        </is>
      </c>
    </row>
    <row r="1938">
      <c r="A1938" s="16" t="n">
        <v>46459</v>
      </c>
      <c r="B1938" t="inlineStr">
        <is>
          <t>CHA</t>
        </is>
      </c>
    </row>
    <row r="1939">
      <c r="A1939" s="16" t="n">
        <v>46459</v>
      </c>
      <c r="B1939" t="inlineStr">
        <is>
          <t>CHI</t>
        </is>
      </c>
    </row>
    <row r="1940">
      <c r="A1940" s="16" t="n">
        <v>46459</v>
      </c>
      <c r="B1940" t="inlineStr">
        <is>
          <t>DAL</t>
        </is>
      </c>
    </row>
    <row r="1941">
      <c r="A1941" s="16" t="n">
        <v>46459</v>
      </c>
      <c r="B1941" t="inlineStr">
        <is>
          <t>DET</t>
        </is>
      </c>
    </row>
    <row r="1942">
      <c r="A1942" s="16" t="n">
        <v>46459</v>
      </c>
      <c r="B1942" t="inlineStr">
        <is>
          <t>HOU</t>
        </is>
      </c>
    </row>
    <row r="1943">
      <c r="A1943" s="16" t="n">
        <v>46459</v>
      </c>
      <c r="B1943" t="inlineStr">
        <is>
          <t>IND</t>
        </is>
      </c>
    </row>
    <row r="1944">
      <c r="A1944" s="16" t="n">
        <v>46459</v>
      </c>
      <c r="B1944" t="inlineStr">
        <is>
          <t>LAC</t>
        </is>
      </c>
    </row>
    <row r="1945">
      <c r="A1945" s="16" t="n">
        <v>46459</v>
      </c>
      <c r="B1945" t="inlineStr">
        <is>
          <t>MEM</t>
        </is>
      </c>
    </row>
    <row r="1946">
      <c r="A1946" s="16" t="n">
        <v>46459</v>
      </c>
      <c r="B1946" t="inlineStr">
        <is>
          <t>MIN</t>
        </is>
      </c>
    </row>
    <row r="1947">
      <c r="A1947" s="16" t="n">
        <v>46459</v>
      </c>
      <c r="B1947" t="inlineStr">
        <is>
          <t>NOR</t>
        </is>
      </c>
    </row>
    <row r="1948">
      <c r="A1948" s="16" t="n">
        <v>46459</v>
      </c>
      <c r="B1948" t="inlineStr">
        <is>
          <t>ORL</t>
        </is>
      </c>
    </row>
    <row r="1949">
      <c r="A1949" s="16" t="n">
        <v>46459</v>
      </c>
      <c r="B1949" t="inlineStr">
        <is>
          <t>PHI</t>
        </is>
      </c>
    </row>
    <row r="1950">
      <c r="A1950" s="16" t="n">
        <v>46459</v>
      </c>
      <c r="B1950" t="inlineStr">
        <is>
          <t>PHO</t>
        </is>
      </c>
    </row>
    <row r="1951">
      <c r="A1951" s="16" t="n">
        <v>46459</v>
      </c>
      <c r="B1951" t="inlineStr">
        <is>
          <t>POR</t>
        </is>
      </c>
    </row>
    <row r="1952">
      <c r="A1952" s="16" t="n">
        <v>46460</v>
      </c>
      <c r="B1952" t="inlineStr">
        <is>
          <t>BOS</t>
        </is>
      </c>
    </row>
    <row r="1953">
      <c r="A1953" s="16" t="n">
        <v>46460</v>
      </c>
      <c r="B1953" t="inlineStr">
        <is>
          <t>CLE</t>
        </is>
      </c>
    </row>
    <row r="1954">
      <c r="A1954" s="16" t="n">
        <v>46460</v>
      </c>
      <c r="B1954" t="inlineStr">
        <is>
          <t>DEN</t>
        </is>
      </c>
    </row>
    <row r="1955">
      <c r="A1955" s="16" t="n">
        <v>46460</v>
      </c>
      <c r="B1955" t="inlineStr">
        <is>
          <t>DET</t>
        </is>
      </c>
    </row>
    <row r="1956">
      <c r="A1956" s="16" t="n">
        <v>46460</v>
      </c>
      <c r="B1956" t="inlineStr">
        <is>
          <t>GSW</t>
        </is>
      </c>
    </row>
    <row r="1957">
      <c r="A1957" s="16" t="n">
        <v>46460</v>
      </c>
      <c r="B1957" t="inlineStr">
        <is>
          <t>LAL</t>
        </is>
      </c>
    </row>
    <row r="1958">
      <c r="A1958" s="16" t="n">
        <v>46460</v>
      </c>
      <c r="B1958" t="inlineStr">
        <is>
          <t>MIA</t>
        </is>
      </c>
    </row>
    <row r="1959">
      <c r="A1959" s="16" t="n">
        <v>46460</v>
      </c>
      <c r="B1959" t="inlineStr">
        <is>
          <t>MIN</t>
        </is>
      </c>
    </row>
    <row r="1960">
      <c r="A1960" s="16" t="n">
        <v>46460</v>
      </c>
      <c r="B1960" t="inlineStr">
        <is>
          <t>NYK</t>
        </is>
      </c>
    </row>
    <row r="1961">
      <c r="A1961" s="16" t="n">
        <v>46460</v>
      </c>
      <c r="B1961" t="inlineStr">
        <is>
          <t>OKC</t>
        </is>
      </c>
    </row>
    <row r="1962">
      <c r="A1962" s="16" t="n">
        <v>46460</v>
      </c>
      <c r="B1962" t="inlineStr">
        <is>
          <t>SAC</t>
        </is>
      </c>
    </row>
    <row r="1963">
      <c r="A1963" s="16" t="n">
        <v>46460</v>
      </c>
      <c r="B1963" t="inlineStr">
        <is>
          <t>SAS</t>
        </is>
      </c>
    </row>
    <row r="1964">
      <c r="A1964" s="16" t="n">
        <v>46460</v>
      </c>
      <c r="B1964" t="inlineStr">
        <is>
          <t>TOR</t>
        </is>
      </c>
    </row>
    <row r="1965">
      <c r="A1965" s="16" t="n">
        <v>46460</v>
      </c>
      <c r="B1965" t="inlineStr">
        <is>
          <t>WAS</t>
        </is>
      </c>
    </row>
    <row r="1966">
      <c r="A1966" s="16" t="n">
        <v>46461</v>
      </c>
      <c r="B1966" t="inlineStr">
        <is>
          <t>ATL</t>
        </is>
      </c>
    </row>
    <row r="1967">
      <c r="A1967" s="16" t="n">
        <v>46461</v>
      </c>
      <c r="B1967" t="inlineStr">
        <is>
          <t>BKN</t>
        </is>
      </c>
    </row>
    <row r="1968">
      <c r="A1968" s="16" t="n">
        <v>46461</v>
      </c>
      <c r="B1968" t="inlineStr">
        <is>
          <t>CHI</t>
        </is>
      </c>
    </row>
    <row r="1969">
      <c r="A1969" s="16" t="n">
        <v>46461</v>
      </c>
      <c r="B1969" t="inlineStr">
        <is>
          <t>DAL</t>
        </is>
      </c>
    </row>
    <row r="1970">
      <c r="A1970" s="16" t="n">
        <v>46461</v>
      </c>
      <c r="B1970" t="inlineStr">
        <is>
          <t>IND</t>
        </is>
      </c>
    </row>
    <row r="1971">
      <c r="A1971" s="16" t="n">
        <v>46461</v>
      </c>
      <c r="B1971" t="inlineStr">
        <is>
          <t>MEM</t>
        </is>
      </c>
    </row>
    <row r="1972">
      <c r="A1972" s="16" t="n">
        <v>46461</v>
      </c>
      <c r="B1972" t="inlineStr">
        <is>
          <t>ORL</t>
        </is>
      </c>
    </row>
    <row r="1973">
      <c r="A1973" s="16" t="n">
        <v>46461</v>
      </c>
      <c r="B1973" t="inlineStr">
        <is>
          <t>PHI</t>
        </is>
      </c>
    </row>
    <row r="1974">
      <c r="A1974" s="16" t="n">
        <v>46461</v>
      </c>
      <c r="B1974" t="inlineStr">
        <is>
          <t>PHO</t>
        </is>
      </c>
    </row>
    <row r="1975">
      <c r="A1975" s="16" t="n">
        <v>46461</v>
      </c>
      <c r="B1975" t="inlineStr">
        <is>
          <t>TOR</t>
        </is>
      </c>
    </row>
    <row r="1976">
      <c r="A1976" s="16" t="n">
        <v>46462</v>
      </c>
      <c r="B1976" t="inlineStr">
        <is>
          <t>BOS</t>
        </is>
      </c>
    </row>
    <row r="1977">
      <c r="A1977" s="16" t="n">
        <v>46462</v>
      </c>
      <c r="B1977" t="inlineStr">
        <is>
          <t>CHA</t>
        </is>
      </c>
    </row>
    <row r="1978">
      <c r="A1978" s="16" t="n">
        <v>46462</v>
      </c>
      <c r="B1978" t="inlineStr">
        <is>
          <t>CLE</t>
        </is>
      </c>
    </row>
    <row r="1979">
      <c r="A1979" s="16" t="n">
        <v>46462</v>
      </c>
      <c r="B1979" t="inlineStr">
        <is>
          <t>DEN</t>
        </is>
      </c>
    </row>
    <row r="1980">
      <c r="A1980" s="16" t="n">
        <v>46462</v>
      </c>
      <c r="B1980" t="inlineStr">
        <is>
          <t>DET</t>
        </is>
      </c>
    </row>
    <row r="1981">
      <c r="A1981" s="16" t="n">
        <v>46462</v>
      </c>
      <c r="B1981" t="inlineStr">
        <is>
          <t>GSW</t>
        </is>
      </c>
    </row>
    <row r="1982">
      <c r="A1982" s="16" t="n">
        <v>46462</v>
      </c>
      <c r="B1982" t="inlineStr">
        <is>
          <t>HOU</t>
        </is>
      </c>
    </row>
    <row r="1983">
      <c r="A1983" s="16" t="n">
        <v>46462</v>
      </c>
      <c r="B1983" t="inlineStr">
        <is>
          <t>IND</t>
        </is>
      </c>
    </row>
    <row r="1984">
      <c r="A1984" s="16" t="n">
        <v>46462</v>
      </c>
      <c r="B1984" t="inlineStr">
        <is>
          <t>LAC</t>
        </is>
      </c>
    </row>
    <row r="1985">
      <c r="A1985" s="16" t="n">
        <v>46462</v>
      </c>
      <c r="B1985" t="inlineStr">
        <is>
          <t>LAL</t>
        </is>
      </c>
    </row>
    <row r="1986">
      <c r="A1986" s="16" t="n">
        <v>46462</v>
      </c>
      <c r="B1986" t="inlineStr">
        <is>
          <t>MIL</t>
        </is>
      </c>
    </row>
    <row r="1987">
      <c r="A1987" s="16" t="n">
        <v>46462</v>
      </c>
      <c r="B1987" t="inlineStr">
        <is>
          <t>MIN</t>
        </is>
      </c>
    </row>
    <row r="1988">
      <c r="A1988" s="16" t="n">
        <v>46462</v>
      </c>
      <c r="B1988" t="inlineStr">
        <is>
          <t>NOR</t>
        </is>
      </c>
    </row>
    <row r="1989">
      <c r="A1989" s="16" t="n">
        <v>46462</v>
      </c>
      <c r="B1989" t="inlineStr">
        <is>
          <t>NYK</t>
        </is>
      </c>
    </row>
    <row r="1990">
      <c r="A1990" s="16" t="n">
        <v>46462</v>
      </c>
      <c r="B1990" t="inlineStr">
        <is>
          <t>OKC</t>
        </is>
      </c>
    </row>
    <row r="1991">
      <c r="A1991" s="16" t="n">
        <v>46462</v>
      </c>
      <c r="B1991" t="inlineStr">
        <is>
          <t>ORL</t>
        </is>
      </c>
    </row>
    <row r="1992">
      <c r="A1992" s="16" t="n">
        <v>46462</v>
      </c>
      <c r="B1992" t="inlineStr">
        <is>
          <t>POR</t>
        </is>
      </c>
    </row>
    <row r="1993">
      <c r="A1993" s="16" t="n">
        <v>46462</v>
      </c>
      <c r="B1993" t="inlineStr">
        <is>
          <t>SAC</t>
        </is>
      </c>
    </row>
    <row r="1994">
      <c r="A1994" s="16" t="n">
        <v>46462</v>
      </c>
      <c r="B1994" t="inlineStr">
        <is>
          <t>SAS</t>
        </is>
      </c>
    </row>
    <row r="1995">
      <c r="A1995" s="16" t="n">
        <v>46462</v>
      </c>
      <c r="B1995" t="inlineStr">
        <is>
          <t>WAS</t>
        </is>
      </c>
    </row>
    <row r="1996">
      <c r="A1996" s="16" t="n">
        <v>46463</v>
      </c>
      <c r="B1996" t="inlineStr">
        <is>
          <t>ATL</t>
        </is>
      </c>
    </row>
    <row r="1997">
      <c r="A1997" s="16" t="n">
        <v>46463</v>
      </c>
      <c r="B1997" t="inlineStr">
        <is>
          <t>BKN</t>
        </is>
      </c>
    </row>
    <row r="1998">
      <c r="A1998" s="16" t="n">
        <v>46463</v>
      </c>
      <c r="B1998" t="inlineStr">
        <is>
          <t>CHI</t>
        </is>
      </c>
    </row>
    <row r="1999">
      <c r="A1999" s="16" t="n">
        <v>46463</v>
      </c>
      <c r="B1999" t="inlineStr">
        <is>
          <t>DAL</t>
        </is>
      </c>
    </row>
    <row r="2000">
      <c r="A2000" s="16" t="n">
        <v>46463</v>
      </c>
      <c r="B2000" t="inlineStr">
        <is>
          <t>GSW</t>
        </is>
      </c>
    </row>
    <row r="2001">
      <c r="A2001" s="16" t="n">
        <v>46463</v>
      </c>
      <c r="B2001" t="inlineStr">
        <is>
          <t>HOU</t>
        </is>
      </c>
    </row>
    <row r="2002">
      <c r="A2002" s="16" t="n">
        <v>46463</v>
      </c>
      <c r="B2002" t="inlineStr">
        <is>
          <t>LAL</t>
        </is>
      </c>
    </row>
    <row r="2003">
      <c r="A2003" s="16" t="n">
        <v>46463</v>
      </c>
      <c r="B2003" t="inlineStr">
        <is>
          <t>MEM</t>
        </is>
      </c>
    </row>
    <row r="2004">
      <c r="A2004" s="16" t="n">
        <v>46463</v>
      </c>
      <c r="B2004" t="inlineStr">
        <is>
          <t>MIA</t>
        </is>
      </c>
    </row>
    <row r="2005">
      <c r="A2005" s="16" t="n">
        <v>46463</v>
      </c>
      <c r="B2005" t="inlineStr">
        <is>
          <t>NYK</t>
        </is>
      </c>
    </row>
    <row r="2006">
      <c r="A2006" s="16" t="n">
        <v>46463</v>
      </c>
      <c r="B2006" t="inlineStr">
        <is>
          <t>OKC</t>
        </is>
      </c>
    </row>
    <row r="2007">
      <c r="A2007" s="16" t="n">
        <v>46463</v>
      </c>
      <c r="B2007" t="inlineStr">
        <is>
          <t>PHI</t>
        </is>
      </c>
    </row>
    <row r="2008">
      <c r="A2008" s="16" t="n">
        <v>46463</v>
      </c>
      <c r="B2008" t="inlineStr">
        <is>
          <t>PHO</t>
        </is>
      </c>
    </row>
    <row r="2009">
      <c r="A2009" s="16" t="n">
        <v>46463</v>
      </c>
      <c r="B2009" t="inlineStr">
        <is>
          <t>POR</t>
        </is>
      </c>
    </row>
    <row r="2010">
      <c r="A2010" s="16" t="n">
        <v>46463</v>
      </c>
      <c r="B2010" t="inlineStr">
        <is>
          <t>SAC</t>
        </is>
      </c>
    </row>
    <row r="2011">
      <c r="A2011" s="16" t="n">
        <v>46463</v>
      </c>
      <c r="B2011" t="inlineStr">
        <is>
          <t>UTH</t>
        </is>
      </c>
    </row>
    <row r="2012">
      <c r="A2012" s="16" t="n">
        <v>46464</v>
      </c>
      <c r="B2012" t="inlineStr">
        <is>
          <t>BKN</t>
        </is>
      </c>
    </row>
    <row r="2013">
      <c r="A2013" s="16" t="n">
        <v>46464</v>
      </c>
      <c r="B2013" t="inlineStr">
        <is>
          <t>BOS</t>
        </is>
      </c>
    </row>
    <row r="2014">
      <c r="A2014" s="16" t="n">
        <v>46464</v>
      </c>
      <c r="B2014" t="inlineStr">
        <is>
          <t>CHA</t>
        </is>
      </c>
    </row>
    <row r="2015">
      <c r="A2015" s="16" t="n">
        <v>46464</v>
      </c>
      <c r="B2015" t="inlineStr">
        <is>
          <t>CLE</t>
        </is>
      </c>
    </row>
    <row r="2016">
      <c r="A2016" s="16" t="n">
        <v>46464</v>
      </c>
      <c r="B2016" t="inlineStr">
        <is>
          <t>DEN</t>
        </is>
      </c>
    </row>
    <row r="2017">
      <c r="A2017" s="16" t="n">
        <v>46464</v>
      </c>
      <c r="B2017" t="inlineStr">
        <is>
          <t>DET</t>
        </is>
      </c>
    </row>
    <row r="2018">
      <c r="A2018" s="16" t="n">
        <v>46464</v>
      </c>
      <c r="B2018" t="inlineStr">
        <is>
          <t>IND</t>
        </is>
      </c>
    </row>
    <row r="2019">
      <c r="A2019" s="16" t="n">
        <v>46464</v>
      </c>
      <c r="B2019" t="inlineStr">
        <is>
          <t>LAC</t>
        </is>
      </c>
    </row>
    <row r="2020">
      <c r="A2020" s="16" t="n">
        <v>46464</v>
      </c>
      <c r="B2020" t="inlineStr">
        <is>
          <t>MEM</t>
        </is>
      </c>
    </row>
    <row r="2021">
      <c r="A2021" s="16" t="n">
        <v>46464</v>
      </c>
      <c r="B2021" t="inlineStr">
        <is>
          <t>MIL</t>
        </is>
      </c>
    </row>
    <row r="2022">
      <c r="A2022" s="16" t="n">
        <v>46464</v>
      </c>
      <c r="B2022" t="inlineStr">
        <is>
          <t>MIN</t>
        </is>
      </c>
    </row>
    <row r="2023">
      <c r="A2023" s="16" t="n">
        <v>46464</v>
      </c>
      <c r="B2023" t="inlineStr">
        <is>
          <t>NOR</t>
        </is>
      </c>
    </row>
    <row r="2024">
      <c r="A2024" s="16" t="n">
        <v>46464</v>
      </c>
      <c r="B2024" t="inlineStr">
        <is>
          <t>ORL</t>
        </is>
      </c>
    </row>
    <row r="2025">
      <c r="A2025" s="16" t="n">
        <v>46464</v>
      </c>
      <c r="B2025" t="inlineStr">
        <is>
          <t>PHI</t>
        </is>
      </c>
    </row>
    <row r="2026">
      <c r="A2026" s="16" t="n">
        <v>46464</v>
      </c>
      <c r="B2026" t="inlineStr">
        <is>
          <t>SAS</t>
        </is>
      </c>
    </row>
    <row r="2027">
      <c r="A2027" s="16" t="n">
        <v>46464</v>
      </c>
      <c r="B2027" t="inlineStr">
        <is>
          <t>TOR</t>
        </is>
      </c>
    </row>
    <row r="2028">
      <c r="A2028" s="16" t="n">
        <v>46464</v>
      </c>
      <c r="B2028" t="inlineStr">
        <is>
          <t>UTH</t>
        </is>
      </c>
    </row>
    <row r="2029">
      <c r="A2029" s="16" t="n">
        <v>46464</v>
      </c>
      <c r="B2029" t="inlineStr">
        <is>
          <t>WAS</t>
        </is>
      </c>
    </row>
    <row r="2030">
      <c r="A2030" s="16" t="n">
        <v>46465</v>
      </c>
      <c r="B2030" t="inlineStr">
        <is>
          <t>ATL</t>
        </is>
      </c>
    </row>
    <row r="2031">
      <c r="A2031" s="16" t="n">
        <v>46465</v>
      </c>
      <c r="B2031" t="inlineStr">
        <is>
          <t>DAL</t>
        </is>
      </c>
    </row>
    <row r="2032">
      <c r="A2032" s="16" t="n">
        <v>46465</v>
      </c>
      <c r="B2032" t="inlineStr">
        <is>
          <t>GSW</t>
        </is>
      </c>
    </row>
    <row r="2033">
      <c r="A2033" s="16" t="n">
        <v>46465</v>
      </c>
      <c r="B2033" t="inlineStr">
        <is>
          <t>HOU</t>
        </is>
      </c>
    </row>
    <row r="2034">
      <c r="A2034" s="16" t="n">
        <v>46465</v>
      </c>
      <c r="B2034" t="inlineStr">
        <is>
          <t>LAL</t>
        </is>
      </c>
    </row>
    <row r="2035">
      <c r="A2035" s="16" t="n">
        <v>46465</v>
      </c>
      <c r="B2035" t="inlineStr">
        <is>
          <t>MIA</t>
        </is>
      </c>
    </row>
    <row r="2036">
      <c r="A2036" s="16" t="n">
        <v>46465</v>
      </c>
      <c r="B2036" t="inlineStr">
        <is>
          <t>NOR</t>
        </is>
      </c>
    </row>
    <row r="2037">
      <c r="A2037" s="16" t="n">
        <v>46465</v>
      </c>
      <c r="B2037" t="inlineStr">
        <is>
          <t>PHO</t>
        </is>
      </c>
    </row>
    <row r="2038">
      <c r="A2038" s="16" t="n">
        <v>46465</v>
      </c>
      <c r="B2038" t="inlineStr">
        <is>
          <t>POR</t>
        </is>
      </c>
    </row>
    <row r="2039">
      <c r="A2039" s="16" t="n">
        <v>46465</v>
      </c>
      <c r="B2039" t="inlineStr">
        <is>
          <t>SAC</t>
        </is>
      </c>
    </row>
    <row r="2040">
      <c r="A2040" s="16" t="n">
        <v>46465</v>
      </c>
      <c r="B2040" t="inlineStr">
        <is>
          <t>SAS</t>
        </is>
      </c>
    </row>
    <row r="2041">
      <c r="A2041" s="16" t="n">
        <v>46465</v>
      </c>
      <c r="B2041" t="inlineStr">
        <is>
          <t>TOR</t>
        </is>
      </c>
    </row>
    <row r="2042">
      <c r="A2042" s="16" t="n">
        <v>46466</v>
      </c>
      <c r="B2042" t="inlineStr">
        <is>
          <t>ATL</t>
        </is>
      </c>
    </row>
    <row r="2043">
      <c r="A2043" s="16" t="n">
        <v>46466</v>
      </c>
      <c r="B2043" t="inlineStr">
        <is>
          <t>CHA</t>
        </is>
      </c>
    </row>
    <row r="2044">
      <c r="A2044" s="16" t="n">
        <v>46466</v>
      </c>
      <c r="B2044" t="inlineStr">
        <is>
          <t>CHI</t>
        </is>
      </c>
    </row>
    <row r="2045">
      <c r="A2045" s="16" t="n">
        <v>46466</v>
      </c>
      <c r="B2045" t="inlineStr">
        <is>
          <t>CLE</t>
        </is>
      </c>
    </row>
    <row r="2046">
      <c r="A2046" s="16" t="n">
        <v>46466</v>
      </c>
      <c r="B2046" t="inlineStr">
        <is>
          <t>DEN</t>
        </is>
      </c>
    </row>
    <row r="2047">
      <c r="A2047" s="16" t="n">
        <v>46466</v>
      </c>
      <c r="B2047" t="inlineStr">
        <is>
          <t>DET</t>
        </is>
      </c>
    </row>
    <row r="2048">
      <c r="A2048" s="16" t="n">
        <v>46466</v>
      </c>
      <c r="B2048" t="inlineStr">
        <is>
          <t>IND</t>
        </is>
      </c>
    </row>
    <row r="2049">
      <c r="A2049" s="16" t="n">
        <v>46466</v>
      </c>
      <c r="B2049" t="inlineStr">
        <is>
          <t>LAC</t>
        </is>
      </c>
    </row>
    <row r="2050">
      <c r="A2050" s="16" t="n">
        <v>46466</v>
      </c>
      <c r="B2050" t="inlineStr">
        <is>
          <t>MEM</t>
        </is>
      </c>
    </row>
    <row r="2051">
      <c r="A2051" s="16" t="n">
        <v>46466</v>
      </c>
      <c r="B2051" t="inlineStr">
        <is>
          <t>MIL</t>
        </is>
      </c>
    </row>
    <row r="2052">
      <c r="A2052" s="16" t="n">
        <v>46466</v>
      </c>
      <c r="B2052" t="inlineStr">
        <is>
          <t>NYK</t>
        </is>
      </c>
    </row>
    <row r="2053">
      <c r="A2053" s="16" t="n">
        <v>46466</v>
      </c>
      <c r="B2053" t="inlineStr">
        <is>
          <t>OKC</t>
        </is>
      </c>
    </row>
    <row r="2054">
      <c r="A2054" s="16" t="n">
        <v>46466</v>
      </c>
      <c r="B2054" t="inlineStr">
        <is>
          <t>ORL</t>
        </is>
      </c>
    </row>
    <row r="2055">
      <c r="A2055" s="16" t="n">
        <v>46466</v>
      </c>
      <c r="B2055" t="inlineStr">
        <is>
          <t>WAS</t>
        </is>
      </c>
    </row>
    <row r="2056">
      <c r="A2056" s="16" t="n">
        <v>46467</v>
      </c>
      <c r="B2056" t="inlineStr">
        <is>
          <t>BKN</t>
        </is>
      </c>
    </row>
    <row r="2057">
      <c r="A2057" s="16" t="n">
        <v>46467</v>
      </c>
      <c r="B2057" t="inlineStr">
        <is>
          <t>BOS</t>
        </is>
      </c>
    </row>
    <row r="2058">
      <c r="A2058" s="16" t="n">
        <v>46467</v>
      </c>
      <c r="B2058" t="inlineStr">
        <is>
          <t>DAL</t>
        </is>
      </c>
    </row>
    <row r="2059">
      <c r="A2059" s="16" t="n">
        <v>46467</v>
      </c>
      <c r="B2059" t="inlineStr">
        <is>
          <t>DEN</t>
        </is>
      </c>
    </row>
    <row r="2060">
      <c r="A2060" s="16" t="n">
        <v>46467</v>
      </c>
      <c r="B2060" t="inlineStr">
        <is>
          <t>LAL</t>
        </is>
      </c>
    </row>
    <row r="2061">
      <c r="A2061" s="16" t="n">
        <v>46467</v>
      </c>
      <c r="B2061" t="inlineStr">
        <is>
          <t>MIA</t>
        </is>
      </c>
    </row>
    <row r="2062">
      <c r="A2062" s="16" t="n">
        <v>46467</v>
      </c>
      <c r="B2062" t="inlineStr">
        <is>
          <t>NOR</t>
        </is>
      </c>
    </row>
    <row r="2063">
      <c r="A2063" s="16" t="n">
        <v>46467</v>
      </c>
      <c r="B2063" t="inlineStr">
        <is>
          <t>PHI</t>
        </is>
      </c>
    </row>
    <row r="2064">
      <c r="A2064" s="16" t="n">
        <v>46467</v>
      </c>
      <c r="B2064" t="inlineStr">
        <is>
          <t>PHO</t>
        </is>
      </c>
    </row>
    <row r="2065">
      <c r="A2065" s="16" t="n">
        <v>46467</v>
      </c>
      <c r="B2065" t="inlineStr">
        <is>
          <t>POR</t>
        </is>
      </c>
    </row>
    <row r="2066">
      <c r="A2066" s="16" t="n">
        <v>46467</v>
      </c>
      <c r="B2066" t="inlineStr">
        <is>
          <t>SAC</t>
        </is>
      </c>
    </row>
    <row r="2067">
      <c r="A2067" s="16" t="n">
        <v>46467</v>
      </c>
      <c r="B2067" t="inlineStr">
        <is>
          <t>SAS</t>
        </is>
      </c>
    </row>
    <row r="2068">
      <c r="A2068" s="16" t="n">
        <v>46467</v>
      </c>
      <c r="B2068" t="inlineStr">
        <is>
          <t>TOR</t>
        </is>
      </c>
    </row>
    <row r="2069">
      <c r="A2069" s="16" t="n">
        <v>46467</v>
      </c>
      <c r="B2069" t="inlineStr">
        <is>
          <t>UTH</t>
        </is>
      </c>
    </row>
    <row r="2070">
      <c r="A2070" s="16" t="n">
        <v>46468</v>
      </c>
      <c r="B2070" t="inlineStr">
        <is>
          <t>ATL</t>
        </is>
      </c>
    </row>
    <row r="2071">
      <c r="A2071" s="16" t="n">
        <v>46468</v>
      </c>
      <c r="B2071" t="inlineStr">
        <is>
          <t>CHA</t>
        </is>
      </c>
    </row>
    <row r="2072">
      <c r="A2072" s="16" t="n">
        <v>46468</v>
      </c>
      <c r="B2072" t="inlineStr">
        <is>
          <t>CHI</t>
        </is>
      </c>
    </row>
    <row r="2073">
      <c r="A2073" s="16" t="n">
        <v>46468</v>
      </c>
      <c r="B2073" t="inlineStr">
        <is>
          <t>CLE</t>
        </is>
      </c>
    </row>
    <row r="2074">
      <c r="A2074" s="16" t="n">
        <v>46468</v>
      </c>
      <c r="B2074" t="inlineStr">
        <is>
          <t>DAL</t>
        </is>
      </c>
    </row>
    <row r="2075">
      <c r="A2075" s="16" t="n">
        <v>46468</v>
      </c>
      <c r="B2075" t="inlineStr">
        <is>
          <t>DET</t>
        </is>
      </c>
    </row>
    <row r="2076">
      <c r="A2076" s="16" t="n">
        <v>46468</v>
      </c>
      <c r="B2076" t="inlineStr">
        <is>
          <t>GSW</t>
        </is>
      </c>
    </row>
    <row r="2077">
      <c r="A2077" s="16" t="n">
        <v>46468</v>
      </c>
      <c r="B2077" t="inlineStr">
        <is>
          <t>HOU</t>
        </is>
      </c>
    </row>
    <row r="2078">
      <c r="A2078" s="16" t="n">
        <v>46468</v>
      </c>
      <c r="B2078" t="inlineStr">
        <is>
          <t>IND</t>
        </is>
      </c>
    </row>
    <row r="2079">
      <c r="A2079" s="16" t="n">
        <v>46468</v>
      </c>
      <c r="B2079" t="inlineStr">
        <is>
          <t>LAC</t>
        </is>
      </c>
    </row>
    <row r="2080">
      <c r="A2080" s="16" t="n">
        <v>46468</v>
      </c>
      <c r="B2080" t="inlineStr">
        <is>
          <t>MEM</t>
        </is>
      </c>
    </row>
    <row r="2081">
      <c r="A2081" s="16" t="n">
        <v>46468</v>
      </c>
      <c r="B2081" t="inlineStr">
        <is>
          <t>MIL</t>
        </is>
      </c>
    </row>
    <row r="2082">
      <c r="A2082" s="16" t="n">
        <v>46468</v>
      </c>
      <c r="B2082" t="inlineStr">
        <is>
          <t>MIN</t>
        </is>
      </c>
    </row>
    <row r="2083">
      <c r="A2083" s="16" t="n">
        <v>46468</v>
      </c>
      <c r="B2083" t="inlineStr">
        <is>
          <t>ORL</t>
        </is>
      </c>
    </row>
    <row r="2084">
      <c r="A2084" s="16" t="n">
        <v>46468</v>
      </c>
      <c r="B2084" t="inlineStr">
        <is>
          <t>SAC</t>
        </is>
      </c>
    </row>
    <row r="2085">
      <c r="A2085" s="16" t="n">
        <v>46468</v>
      </c>
      <c r="B2085" t="inlineStr">
        <is>
          <t>WAS</t>
        </is>
      </c>
    </row>
    <row r="2086">
      <c r="A2086" s="16" t="n">
        <v>46469</v>
      </c>
      <c r="B2086" t="inlineStr">
        <is>
          <t>BKN</t>
        </is>
      </c>
    </row>
    <row r="2087">
      <c r="A2087" s="16" t="n">
        <v>46469</v>
      </c>
      <c r="B2087" t="inlineStr">
        <is>
          <t>BOS</t>
        </is>
      </c>
    </row>
    <row r="2088">
      <c r="A2088" s="16" t="n">
        <v>46469</v>
      </c>
      <c r="B2088" t="inlineStr">
        <is>
          <t>LAL</t>
        </is>
      </c>
    </row>
    <row r="2089">
      <c r="A2089" s="16" t="n">
        <v>46469</v>
      </c>
      <c r="B2089" t="inlineStr">
        <is>
          <t>MIA</t>
        </is>
      </c>
    </row>
    <row r="2090">
      <c r="A2090" s="16" t="n">
        <v>46469</v>
      </c>
      <c r="B2090" t="inlineStr">
        <is>
          <t>NOR</t>
        </is>
      </c>
    </row>
    <row r="2091">
      <c r="A2091" s="16" t="n">
        <v>46469</v>
      </c>
      <c r="B2091" t="inlineStr">
        <is>
          <t>NYK</t>
        </is>
      </c>
    </row>
    <row r="2092">
      <c r="A2092" s="16" t="n">
        <v>46469</v>
      </c>
      <c r="B2092" t="inlineStr">
        <is>
          <t>OKC</t>
        </is>
      </c>
    </row>
    <row r="2093">
      <c r="A2093" s="16" t="n">
        <v>46469</v>
      </c>
      <c r="B2093" t="inlineStr">
        <is>
          <t>PHI</t>
        </is>
      </c>
    </row>
    <row r="2094">
      <c r="A2094" s="16" t="n">
        <v>46469</v>
      </c>
      <c r="B2094" t="inlineStr">
        <is>
          <t>PHO</t>
        </is>
      </c>
    </row>
    <row r="2095">
      <c r="A2095" s="16" t="n">
        <v>46469</v>
      </c>
      <c r="B2095" t="inlineStr">
        <is>
          <t>POR</t>
        </is>
      </c>
    </row>
    <row r="2096">
      <c r="A2096" s="16" t="n">
        <v>46469</v>
      </c>
      <c r="B2096" t="inlineStr">
        <is>
          <t>TOR</t>
        </is>
      </c>
    </row>
    <row r="2097">
      <c r="A2097" s="16" t="n">
        <v>46469</v>
      </c>
      <c r="B2097" t="inlineStr">
        <is>
          <t>UTH</t>
        </is>
      </c>
    </row>
    <row r="2098">
      <c r="A2098" s="16" t="n">
        <v>46470</v>
      </c>
      <c r="B2098" t="inlineStr">
        <is>
          <t>ATL</t>
        </is>
      </c>
    </row>
    <row r="2099">
      <c r="A2099" s="16" t="n">
        <v>46470</v>
      </c>
      <c r="B2099" t="inlineStr">
        <is>
          <t>BOS</t>
        </is>
      </c>
    </row>
    <row r="2100">
      <c r="A2100" s="16" t="n">
        <v>46470</v>
      </c>
      <c r="B2100" t="inlineStr">
        <is>
          <t>CHA</t>
        </is>
      </c>
    </row>
    <row r="2101">
      <c r="A2101" s="16" t="n">
        <v>46470</v>
      </c>
      <c r="B2101" t="inlineStr">
        <is>
          <t>CHI</t>
        </is>
      </c>
    </row>
    <row r="2102">
      <c r="A2102" s="16" t="n">
        <v>46470</v>
      </c>
      <c r="B2102" t="inlineStr">
        <is>
          <t>DAL</t>
        </is>
      </c>
    </row>
    <row r="2103">
      <c r="A2103" s="16" t="n">
        <v>46470</v>
      </c>
      <c r="B2103" t="inlineStr">
        <is>
          <t>DEN</t>
        </is>
      </c>
    </row>
    <row r="2104">
      <c r="A2104" s="16" t="n">
        <v>46470</v>
      </c>
      <c r="B2104" t="inlineStr">
        <is>
          <t>DET</t>
        </is>
      </c>
    </row>
    <row r="2105">
      <c r="A2105" s="16" t="n">
        <v>46470</v>
      </c>
      <c r="B2105" t="inlineStr">
        <is>
          <t>GSW</t>
        </is>
      </c>
    </row>
    <row r="2106">
      <c r="A2106" s="16" t="n">
        <v>46470</v>
      </c>
      <c r="B2106" t="inlineStr">
        <is>
          <t>HOU</t>
        </is>
      </c>
    </row>
    <row r="2107">
      <c r="A2107" s="16" t="n">
        <v>46470</v>
      </c>
      <c r="B2107" t="inlineStr">
        <is>
          <t>IND</t>
        </is>
      </c>
    </row>
    <row r="2108">
      <c r="A2108" s="16" t="n">
        <v>46470</v>
      </c>
      <c r="B2108" t="inlineStr">
        <is>
          <t>LAC</t>
        </is>
      </c>
    </row>
    <row r="2109">
      <c r="A2109" s="16" t="n">
        <v>46470</v>
      </c>
      <c r="B2109" t="inlineStr">
        <is>
          <t>MEM</t>
        </is>
      </c>
    </row>
    <row r="2110">
      <c r="A2110" s="16" t="n">
        <v>46470</v>
      </c>
      <c r="B2110" t="inlineStr">
        <is>
          <t>MIL</t>
        </is>
      </c>
    </row>
    <row r="2111">
      <c r="A2111" s="16" t="n">
        <v>46470</v>
      </c>
      <c r="B2111" t="inlineStr">
        <is>
          <t>MIN</t>
        </is>
      </c>
    </row>
    <row r="2112">
      <c r="A2112" s="16" t="n">
        <v>46470</v>
      </c>
      <c r="B2112" t="inlineStr">
        <is>
          <t>NYK</t>
        </is>
      </c>
    </row>
    <row r="2113">
      <c r="A2113" s="16" t="n">
        <v>46470</v>
      </c>
      <c r="B2113" t="inlineStr">
        <is>
          <t>OKC</t>
        </is>
      </c>
    </row>
    <row r="2114">
      <c r="A2114" s="16" t="n">
        <v>46470</v>
      </c>
      <c r="B2114" t="inlineStr">
        <is>
          <t>ORL</t>
        </is>
      </c>
    </row>
    <row r="2115">
      <c r="A2115" s="16" t="n">
        <v>46470</v>
      </c>
      <c r="B2115" t="inlineStr">
        <is>
          <t>PHI</t>
        </is>
      </c>
    </row>
    <row r="2116">
      <c r="A2116" s="16" t="n">
        <v>46470</v>
      </c>
      <c r="B2116" t="inlineStr">
        <is>
          <t>PHO</t>
        </is>
      </c>
    </row>
    <row r="2117">
      <c r="A2117" s="16" t="n">
        <v>46470</v>
      </c>
      <c r="B2117" t="inlineStr">
        <is>
          <t>SAC</t>
        </is>
      </c>
    </row>
    <row r="2118">
      <c r="A2118" s="16" t="n">
        <v>46470</v>
      </c>
      <c r="B2118" t="inlineStr">
        <is>
          <t>SAS</t>
        </is>
      </c>
    </row>
    <row r="2119">
      <c r="A2119" s="16" t="n">
        <v>46470</v>
      </c>
      <c r="B2119" t="inlineStr">
        <is>
          <t>WAS</t>
        </is>
      </c>
    </row>
    <row r="2120">
      <c r="A2120" s="16" t="n">
        <v>46471</v>
      </c>
      <c r="B2120" t="inlineStr">
        <is>
          <t>BKN</t>
        </is>
      </c>
    </row>
    <row r="2121">
      <c r="A2121" s="16" t="n">
        <v>46471</v>
      </c>
      <c r="B2121" t="inlineStr">
        <is>
          <t>CHI</t>
        </is>
      </c>
    </row>
    <row r="2122">
      <c r="A2122" s="16" t="n">
        <v>46471</v>
      </c>
      <c r="B2122" t="inlineStr">
        <is>
          <t>CLE</t>
        </is>
      </c>
    </row>
    <row r="2123">
      <c r="A2123" s="16" t="n">
        <v>46471</v>
      </c>
      <c r="B2123" t="inlineStr">
        <is>
          <t>DEN</t>
        </is>
      </c>
    </row>
    <row r="2124">
      <c r="A2124" s="16" t="n">
        <v>46471</v>
      </c>
      <c r="B2124" t="inlineStr">
        <is>
          <t>DET</t>
        </is>
      </c>
    </row>
    <row r="2125">
      <c r="A2125" s="16" t="n">
        <v>46471</v>
      </c>
      <c r="B2125" t="inlineStr">
        <is>
          <t>GSW</t>
        </is>
      </c>
    </row>
    <row r="2126">
      <c r="A2126" s="16" t="n">
        <v>46471</v>
      </c>
      <c r="B2126" t="inlineStr">
        <is>
          <t>HOU</t>
        </is>
      </c>
    </row>
    <row r="2127">
      <c r="A2127" s="16" t="n">
        <v>46471</v>
      </c>
      <c r="B2127" t="inlineStr">
        <is>
          <t>IND</t>
        </is>
      </c>
    </row>
    <row r="2128">
      <c r="A2128" s="16" t="n">
        <v>46471</v>
      </c>
      <c r="B2128" t="inlineStr">
        <is>
          <t>LAL</t>
        </is>
      </c>
    </row>
    <row r="2129">
      <c r="A2129" s="16" t="n">
        <v>46471</v>
      </c>
      <c r="B2129" t="inlineStr">
        <is>
          <t>MEM</t>
        </is>
      </c>
    </row>
    <row r="2130">
      <c r="A2130" s="16" t="n">
        <v>46471</v>
      </c>
      <c r="B2130" t="inlineStr">
        <is>
          <t>MIA</t>
        </is>
      </c>
    </row>
    <row r="2131">
      <c r="A2131" s="16" t="n">
        <v>46471</v>
      </c>
      <c r="B2131" t="inlineStr">
        <is>
          <t>SAS</t>
        </is>
      </c>
    </row>
    <row r="2132">
      <c r="A2132" s="16" t="n">
        <v>46471</v>
      </c>
      <c r="B2132" t="inlineStr">
        <is>
          <t>TOR</t>
        </is>
      </c>
    </row>
    <row r="2133">
      <c r="A2133" s="16" t="n">
        <v>46471</v>
      </c>
      <c r="B2133" t="inlineStr">
        <is>
          <t>UTH</t>
        </is>
      </c>
    </row>
    <row r="2134">
      <c r="A2134" s="16" t="n">
        <v>46472</v>
      </c>
      <c r="B2134" t="inlineStr">
        <is>
          <t>CHA</t>
        </is>
      </c>
    </row>
    <row r="2135">
      <c r="A2135" s="16" t="n">
        <v>46472</v>
      </c>
      <c r="B2135" t="inlineStr">
        <is>
          <t>DAL</t>
        </is>
      </c>
    </row>
    <row r="2136">
      <c r="A2136" s="16" t="n">
        <v>46472</v>
      </c>
      <c r="B2136" t="inlineStr">
        <is>
          <t>LAC</t>
        </is>
      </c>
    </row>
    <row r="2137">
      <c r="A2137" s="16" t="n">
        <v>46472</v>
      </c>
      <c r="B2137" t="inlineStr">
        <is>
          <t>MIL</t>
        </is>
      </c>
    </row>
    <row r="2138">
      <c r="A2138" s="16" t="n">
        <v>46472</v>
      </c>
      <c r="B2138" t="inlineStr">
        <is>
          <t>MIN</t>
        </is>
      </c>
    </row>
    <row r="2139">
      <c r="A2139" s="16" t="n">
        <v>46472</v>
      </c>
      <c r="B2139" t="inlineStr">
        <is>
          <t>NOR</t>
        </is>
      </c>
    </row>
    <row r="2140">
      <c r="A2140" s="16" t="n">
        <v>46472</v>
      </c>
      <c r="B2140" t="inlineStr">
        <is>
          <t>NYK</t>
        </is>
      </c>
    </row>
    <row r="2141">
      <c r="A2141" s="16" t="n">
        <v>46472</v>
      </c>
      <c r="B2141" t="inlineStr">
        <is>
          <t>OKC</t>
        </is>
      </c>
    </row>
    <row r="2142">
      <c r="A2142" s="16" t="n">
        <v>46472</v>
      </c>
      <c r="B2142" t="inlineStr">
        <is>
          <t>ORL</t>
        </is>
      </c>
    </row>
    <row r="2143">
      <c r="A2143" s="16" t="n">
        <v>46472</v>
      </c>
      <c r="B2143" t="inlineStr">
        <is>
          <t>PHI</t>
        </is>
      </c>
    </row>
    <row r="2144">
      <c r="A2144" s="16" t="n">
        <v>46472</v>
      </c>
      <c r="B2144" t="inlineStr">
        <is>
          <t>PHO</t>
        </is>
      </c>
    </row>
    <row r="2145">
      <c r="A2145" s="16" t="n">
        <v>46472</v>
      </c>
      <c r="B2145" t="inlineStr">
        <is>
          <t>POR</t>
        </is>
      </c>
    </row>
    <row r="2146">
      <c r="A2146" s="16" t="n">
        <v>46473</v>
      </c>
      <c r="B2146" t="inlineStr">
        <is>
          <t>ATL</t>
        </is>
      </c>
    </row>
    <row r="2147">
      <c r="A2147" s="16" t="n">
        <v>46473</v>
      </c>
      <c r="B2147" t="inlineStr">
        <is>
          <t>BOS</t>
        </is>
      </c>
    </row>
    <row r="2148">
      <c r="A2148" s="16" t="n">
        <v>46473</v>
      </c>
      <c r="B2148" t="inlineStr">
        <is>
          <t>CHI</t>
        </is>
      </c>
    </row>
    <row r="2149">
      <c r="A2149" s="16" t="n">
        <v>46473</v>
      </c>
      <c r="B2149" t="inlineStr">
        <is>
          <t>DET</t>
        </is>
      </c>
    </row>
    <row r="2150">
      <c r="A2150" s="16" t="n">
        <v>46473</v>
      </c>
      <c r="B2150" t="inlineStr">
        <is>
          <t>GSW</t>
        </is>
      </c>
    </row>
    <row r="2151">
      <c r="A2151" s="16" t="n">
        <v>46473</v>
      </c>
      <c r="B2151" t="inlineStr">
        <is>
          <t>LAC</t>
        </is>
      </c>
    </row>
    <row r="2152">
      <c r="A2152" s="16" t="n">
        <v>46473</v>
      </c>
      <c r="B2152" t="inlineStr">
        <is>
          <t>MIA</t>
        </is>
      </c>
    </row>
    <row r="2153">
      <c r="A2153" s="16" t="n">
        <v>46473</v>
      </c>
      <c r="B2153" t="inlineStr">
        <is>
          <t>MIL</t>
        </is>
      </c>
    </row>
    <row r="2154">
      <c r="A2154" s="16" t="n">
        <v>46473</v>
      </c>
      <c r="B2154" t="inlineStr">
        <is>
          <t>POR</t>
        </is>
      </c>
    </row>
    <row r="2155">
      <c r="A2155" s="16" t="n">
        <v>46473</v>
      </c>
      <c r="B2155" t="inlineStr">
        <is>
          <t>SAC</t>
        </is>
      </c>
    </row>
    <row r="2156">
      <c r="A2156" s="16" t="n">
        <v>46473</v>
      </c>
      <c r="B2156" t="inlineStr">
        <is>
          <t>SAS</t>
        </is>
      </c>
    </row>
    <row r="2157">
      <c r="A2157" s="16" t="n">
        <v>46473</v>
      </c>
      <c r="B2157" t="inlineStr">
        <is>
          <t>TOR</t>
        </is>
      </c>
    </row>
    <row r="2158">
      <c r="A2158" s="16" t="n">
        <v>46473</v>
      </c>
      <c r="B2158" t="inlineStr">
        <is>
          <t>UTH</t>
        </is>
      </c>
    </row>
    <row r="2159">
      <c r="A2159" s="16" t="n">
        <v>46473</v>
      </c>
      <c r="B2159" t="inlineStr">
        <is>
          <t>WAS</t>
        </is>
      </c>
    </row>
    <row r="2160">
      <c r="A2160" s="16" t="n">
        <v>46474</v>
      </c>
      <c r="B2160" t="inlineStr">
        <is>
          <t>BKN</t>
        </is>
      </c>
    </row>
    <row r="2161">
      <c r="A2161" s="16" t="n">
        <v>46474</v>
      </c>
      <c r="B2161" t="inlineStr">
        <is>
          <t>BOS</t>
        </is>
      </c>
    </row>
    <row r="2162">
      <c r="A2162" s="16" t="n">
        <v>46474</v>
      </c>
      <c r="B2162" t="inlineStr">
        <is>
          <t>CHA</t>
        </is>
      </c>
    </row>
    <row r="2163">
      <c r="A2163" s="16" t="n">
        <v>46474</v>
      </c>
      <c r="B2163" t="inlineStr">
        <is>
          <t>DAL</t>
        </is>
      </c>
    </row>
    <row r="2164">
      <c r="A2164" s="16" t="n">
        <v>46474</v>
      </c>
      <c r="B2164" t="inlineStr">
        <is>
          <t>DEN</t>
        </is>
      </c>
    </row>
    <row r="2165">
      <c r="A2165" s="16" t="n">
        <v>46474</v>
      </c>
      <c r="B2165" t="inlineStr">
        <is>
          <t>HOU</t>
        </is>
      </c>
    </row>
    <row r="2166">
      <c r="A2166" s="16" t="n">
        <v>46474</v>
      </c>
      <c r="B2166" t="inlineStr">
        <is>
          <t>LAL</t>
        </is>
      </c>
    </row>
    <row r="2167">
      <c r="A2167" s="16" t="n">
        <v>46474</v>
      </c>
      <c r="B2167" t="inlineStr">
        <is>
          <t>MEM</t>
        </is>
      </c>
    </row>
    <row r="2168">
      <c r="A2168" s="16" t="n">
        <v>46474</v>
      </c>
      <c r="B2168" t="inlineStr">
        <is>
          <t>MIN</t>
        </is>
      </c>
    </row>
    <row r="2169">
      <c r="A2169" s="16" t="n">
        <v>46474</v>
      </c>
      <c r="B2169" t="inlineStr">
        <is>
          <t>NOR</t>
        </is>
      </c>
    </row>
    <row r="2170">
      <c r="A2170" s="16" t="n">
        <v>46474</v>
      </c>
      <c r="B2170" t="inlineStr">
        <is>
          <t>NYK</t>
        </is>
      </c>
    </row>
    <row r="2171">
      <c r="A2171" s="16" t="n">
        <v>46474</v>
      </c>
      <c r="B2171" t="inlineStr">
        <is>
          <t>OKC</t>
        </is>
      </c>
    </row>
    <row r="2172">
      <c r="A2172" s="16" t="n">
        <v>46474</v>
      </c>
      <c r="B2172" t="inlineStr">
        <is>
          <t>ORL</t>
        </is>
      </c>
    </row>
    <row r="2173">
      <c r="A2173" s="16" t="n">
        <v>46474</v>
      </c>
      <c r="B2173" t="inlineStr">
        <is>
          <t>PHI</t>
        </is>
      </c>
    </row>
    <row r="2174">
      <c r="A2174" s="16" t="n">
        <v>46474</v>
      </c>
      <c r="B2174" t="inlineStr">
        <is>
          <t>PHO</t>
        </is>
      </c>
    </row>
    <row r="2175">
      <c r="A2175" s="16" t="n">
        <v>46474</v>
      </c>
      <c r="B2175" t="inlineStr">
        <is>
          <t>TOR</t>
        </is>
      </c>
    </row>
    <row r="2176">
      <c r="A2176" s="16" t="n">
        <v>46474</v>
      </c>
      <c r="B2176" t="inlineStr">
        <is>
          <t>UTH</t>
        </is>
      </c>
    </row>
    <row r="2177">
      <c r="A2177" s="16" t="n">
        <v>46474</v>
      </c>
      <c r="B2177" t="inlineStr">
        <is>
          <t>WAS</t>
        </is>
      </c>
    </row>
    <row r="2178">
      <c r="A2178" s="16" t="n">
        <v>46475</v>
      </c>
      <c r="B2178" t="inlineStr">
        <is>
          <t>ATL</t>
        </is>
      </c>
    </row>
    <row r="2179">
      <c r="A2179" s="16" t="n">
        <v>46475</v>
      </c>
      <c r="B2179" t="inlineStr">
        <is>
          <t>BKN</t>
        </is>
      </c>
    </row>
    <row r="2180">
      <c r="A2180" s="16" t="n">
        <v>46475</v>
      </c>
      <c r="B2180" t="inlineStr">
        <is>
          <t>CHI</t>
        </is>
      </c>
    </row>
    <row r="2181">
      <c r="A2181" s="16" t="n">
        <v>46475</v>
      </c>
      <c r="B2181" t="inlineStr">
        <is>
          <t>CLE</t>
        </is>
      </c>
    </row>
    <row r="2182">
      <c r="A2182" s="16" t="n">
        <v>46475</v>
      </c>
      <c r="B2182" t="inlineStr">
        <is>
          <t>DAL</t>
        </is>
      </c>
    </row>
    <row r="2183">
      <c r="A2183" s="16" t="n">
        <v>46475</v>
      </c>
      <c r="B2183" t="inlineStr">
        <is>
          <t>DEN</t>
        </is>
      </c>
    </row>
    <row r="2184">
      <c r="A2184" s="16" t="n">
        <v>46475</v>
      </c>
      <c r="B2184" t="inlineStr">
        <is>
          <t>DET</t>
        </is>
      </c>
    </row>
    <row r="2185">
      <c r="A2185" s="16" t="n">
        <v>46475</v>
      </c>
      <c r="B2185" t="inlineStr">
        <is>
          <t>GSW</t>
        </is>
      </c>
    </row>
    <row r="2186">
      <c r="A2186" s="16" t="n">
        <v>46475</v>
      </c>
      <c r="B2186" t="inlineStr">
        <is>
          <t>IND</t>
        </is>
      </c>
    </row>
    <row r="2187">
      <c r="A2187" s="16" t="n">
        <v>46475</v>
      </c>
      <c r="B2187" t="inlineStr">
        <is>
          <t>LAC</t>
        </is>
      </c>
    </row>
    <row r="2188">
      <c r="A2188" s="16" t="n">
        <v>46475</v>
      </c>
      <c r="B2188" t="inlineStr">
        <is>
          <t>MIA</t>
        </is>
      </c>
    </row>
    <row r="2189">
      <c r="A2189" s="16" t="n">
        <v>46475</v>
      </c>
      <c r="B2189" t="inlineStr">
        <is>
          <t>MIL</t>
        </is>
      </c>
    </row>
    <row r="2190">
      <c r="A2190" s="16" t="n">
        <v>46475</v>
      </c>
      <c r="B2190" t="inlineStr">
        <is>
          <t>MIN</t>
        </is>
      </c>
    </row>
    <row r="2191">
      <c r="A2191" s="16" t="n">
        <v>46475</v>
      </c>
      <c r="B2191" t="inlineStr">
        <is>
          <t>PHO</t>
        </is>
      </c>
    </row>
    <row r="2192">
      <c r="A2192" s="16" t="n">
        <v>46475</v>
      </c>
      <c r="B2192" t="inlineStr">
        <is>
          <t>SAC</t>
        </is>
      </c>
    </row>
    <row r="2193">
      <c r="A2193" s="16" t="n">
        <v>46475</v>
      </c>
      <c r="B2193" t="inlineStr">
        <is>
          <t>SAS</t>
        </is>
      </c>
    </row>
    <row r="2194">
      <c r="A2194" s="16" t="n">
        <v>46476</v>
      </c>
      <c r="B2194" t="inlineStr">
        <is>
          <t>BOS</t>
        </is>
      </c>
    </row>
    <row r="2195">
      <c r="A2195" s="16" t="n">
        <v>46476</v>
      </c>
      <c r="B2195" t="inlineStr">
        <is>
          <t>CHA</t>
        </is>
      </c>
    </row>
    <row r="2196">
      <c r="A2196" s="16" t="n">
        <v>46476</v>
      </c>
      <c r="B2196" t="inlineStr">
        <is>
          <t>HOU</t>
        </is>
      </c>
    </row>
    <row r="2197">
      <c r="A2197" s="16" t="n">
        <v>46476</v>
      </c>
      <c r="B2197" t="inlineStr">
        <is>
          <t>IND</t>
        </is>
      </c>
    </row>
    <row r="2198">
      <c r="A2198" s="16" t="n">
        <v>46476</v>
      </c>
      <c r="B2198" t="inlineStr">
        <is>
          <t>LAL</t>
        </is>
      </c>
    </row>
    <row r="2199">
      <c r="A2199" s="16" t="n">
        <v>46476</v>
      </c>
      <c r="B2199" t="inlineStr">
        <is>
          <t>MEM</t>
        </is>
      </c>
    </row>
    <row r="2200">
      <c r="A2200" s="16" t="n">
        <v>46476</v>
      </c>
      <c r="B2200" t="inlineStr">
        <is>
          <t>MIA</t>
        </is>
      </c>
    </row>
    <row r="2201">
      <c r="A2201" s="16" t="n">
        <v>46476</v>
      </c>
      <c r="B2201" t="inlineStr">
        <is>
          <t>NYK</t>
        </is>
      </c>
    </row>
    <row r="2202">
      <c r="A2202" s="16" t="n">
        <v>46476</v>
      </c>
      <c r="B2202" t="inlineStr">
        <is>
          <t>OKC</t>
        </is>
      </c>
    </row>
    <row r="2203">
      <c r="A2203" s="16" t="n">
        <v>46476</v>
      </c>
      <c r="B2203" t="inlineStr">
        <is>
          <t>ORL</t>
        </is>
      </c>
    </row>
    <row r="2204">
      <c r="A2204" s="16" t="n">
        <v>46476</v>
      </c>
      <c r="B2204" t="inlineStr">
        <is>
          <t>POR</t>
        </is>
      </c>
    </row>
    <row r="2205">
      <c r="A2205" s="16" t="n">
        <v>46476</v>
      </c>
      <c r="B2205" t="inlineStr">
        <is>
          <t>UTH</t>
        </is>
      </c>
    </row>
    <row r="2206">
      <c r="A2206" s="16" t="n">
        <v>46477</v>
      </c>
      <c r="B2206" t="inlineStr">
        <is>
          <t>ATL</t>
        </is>
      </c>
    </row>
    <row r="2207">
      <c r="A2207" s="16" t="n">
        <v>46477</v>
      </c>
      <c r="B2207" t="inlineStr">
        <is>
          <t>BKN</t>
        </is>
      </c>
    </row>
    <row r="2208">
      <c r="A2208" s="16" t="n">
        <v>46477</v>
      </c>
      <c r="B2208" t="inlineStr">
        <is>
          <t>CHI</t>
        </is>
      </c>
    </row>
    <row r="2209">
      <c r="A2209" s="16" t="n">
        <v>46477</v>
      </c>
      <c r="B2209" t="inlineStr">
        <is>
          <t>CLE</t>
        </is>
      </c>
    </row>
    <row r="2210">
      <c r="A2210" s="16" t="n">
        <v>46477</v>
      </c>
      <c r="B2210" t="inlineStr">
        <is>
          <t>DAL</t>
        </is>
      </c>
    </row>
    <row r="2211">
      <c r="A2211" s="16" t="n">
        <v>46477</v>
      </c>
      <c r="B2211" t="inlineStr">
        <is>
          <t>DEN</t>
        </is>
      </c>
    </row>
    <row r="2212">
      <c r="A2212" s="16" t="n">
        <v>46477</v>
      </c>
      <c r="B2212" t="inlineStr">
        <is>
          <t>DET</t>
        </is>
      </c>
    </row>
    <row r="2213">
      <c r="A2213" s="16" t="n">
        <v>46477</v>
      </c>
      <c r="B2213" t="inlineStr">
        <is>
          <t>GSW</t>
        </is>
      </c>
    </row>
    <row r="2214">
      <c r="A2214" s="16" t="n">
        <v>46477</v>
      </c>
      <c r="B2214" t="inlineStr">
        <is>
          <t>HOU</t>
        </is>
      </c>
    </row>
    <row r="2215">
      <c r="A2215" s="16" t="n">
        <v>46477</v>
      </c>
      <c r="B2215" t="inlineStr">
        <is>
          <t>LAC</t>
        </is>
      </c>
    </row>
    <row r="2216">
      <c r="A2216" s="16" t="n">
        <v>46477</v>
      </c>
      <c r="B2216" t="inlineStr">
        <is>
          <t>MIL</t>
        </is>
      </c>
    </row>
    <row r="2217">
      <c r="A2217" s="16" t="n">
        <v>46477</v>
      </c>
      <c r="B2217" t="inlineStr">
        <is>
          <t>MIN</t>
        </is>
      </c>
    </row>
    <row r="2218">
      <c r="A2218" s="16" t="n">
        <v>46477</v>
      </c>
      <c r="B2218" t="inlineStr">
        <is>
          <t>NOR</t>
        </is>
      </c>
    </row>
    <row r="2219">
      <c r="A2219" s="16" t="n">
        <v>46477</v>
      </c>
      <c r="B2219" t="inlineStr">
        <is>
          <t>PHI</t>
        </is>
      </c>
    </row>
    <row r="2220">
      <c r="A2220" s="16" t="n">
        <v>46477</v>
      </c>
      <c r="B2220" t="inlineStr">
        <is>
          <t>PHO</t>
        </is>
      </c>
    </row>
    <row r="2221">
      <c r="A2221" s="16" t="n">
        <v>46477</v>
      </c>
      <c r="B2221" t="inlineStr">
        <is>
          <t>POR</t>
        </is>
      </c>
    </row>
    <row r="2222">
      <c r="A2222" s="16" t="n">
        <v>46477</v>
      </c>
      <c r="B2222" t="inlineStr">
        <is>
          <t>SAC</t>
        </is>
      </c>
    </row>
    <row r="2223">
      <c r="A2223" s="16" t="n">
        <v>46477</v>
      </c>
      <c r="B2223" t="inlineStr">
        <is>
          <t>SAS</t>
        </is>
      </c>
    </row>
    <row r="2224">
      <c r="A2224" s="16" t="n">
        <v>46477</v>
      </c>
      <c r="B2224" t="inlineStr">
        <is>
          <t>TOR</t>
        </is>
      </c>
    </row>
    <row r="2225">
      <c r="A2225" s="16" t="n">
        <v>46477</v>
      </c>
      <c r="B2225" t="inlineStr">
        <is>
          <t>WAS</t>
        </is>
      </c>
    </row>
    <row r="2226">
      <c r="A2226" s="16" t="n">
        <v>46478</v>
      </c>
      <c r="B2226" t="inlineStr">
        <is>
          <t>BOS</t>
        </is>
      </c>
    </row>
    <row r="2227">
      <c r="A2227" s="16" t="n">
        <v>46478</v>
      </c>
      <c r="B2227" t="inlineStr">
        <is>
          <t>CHA</t>
        </is>
      </c>
    </row>
    <row r="2228">
      <c r="A2228" s="16" t="n">
        <v>46478</v>
      </c>
      <c r="B2228" t="inlineStr">
        <is>
          <t>CLE</t>
        </is>
      </c>
    </row>
    <row r="2229">
      <c r="A2229" s="16" t="n">
        <v>46478</v>
      </c>
      <c r="B2229" t="inlineStr">
        <is>
          <t>IND</t>
        </is>
      </c>
    </row>
    <row r="2230">
      <c r="A2230" s="16" t="n">
        <v>46478</v>
      </c>
      <c r="B2230" t="inlineStr">
        <is>
          <t>LAL</t>
        </is>
      </c>
    </row>
    <row r="2231">
      <c r="A2231" s="16" t="n">
        <v>46478</v>
      </c>
      <c r="B2231" t="inlineStr">
        <is>
          <t>NYK</t>
        </is>
      </c>
    </row>
    <row r="2232">
      <c r="A2232" s="16" t="n">
        <v>46478</v>
      </c>
      <c r="B2232" t="inlineStr">
        <is>
          <t>OKC</t>
        </is>
      </c>
    </row>
    <row r="2233">
      <c r="A2233" s="16" t="n">
        <v>46478</v>
      </c>
      <c r="B2233" t="inlineStr">
        <is>
          <t>ORL</t>
        </is>
      </c>
    </row>
    <row r="2234">
      <c r="A2234" s="16" t="n">
        <v>46479</v>
      </c>
      <c r="B2234" t="inlineStr">
        <is>
          <t>ATL</t>
        </is>
      </c>
    </row>
    <row r="2235">
      <c r="A2235" s="16" t="n">
        <v>46479</v>
      </c>
      <c r="B2235" t="inlineStr">
        <is>
          <t>BKN</t>
        </is>
      </c>
    </row>
    <row r="2236">
      <c r="A2236" s="16" t="n">
        <v>46479</v>
      </c>
      <c r="B2236" t="inlineStr">
        <is>
          <t>BOS</t>
        </is>
      </c>
    </row>
    <row r="2237">
      <c r="A2237" s="16" t="n">
        <v>46479</v>
      </c>
      <c r="B2237" t="inlineStr">
        <is>
          <t>CHA</t>
        </is>
      </c>
    </row>
    <row r="2238">
      <c r="A2238" s="16" t="n">
        <v>46479</v>
      </c>
      <c r="B2238" t="inlineStr">
        <is>
          <t>CHI</t>
        </is>
      </c>
    </row>
    <row r="2239">
      <c r="A2239" s="16" t="n">
        <v>46479</v>
      </c>
      <c r="B2239" t="inlineStr">
        <is>
          <t>DAL</t>
        </is>
      </c>
    </row>
    <row r="2240">
      <c r="A2240" s="16" t="n">
        <v>46479</v>
      </c>
      <c r="B2240" t="inlineStr">
        <is>
          <t>DEN</t>
        </is>
      </c>
    </row>
    <row r="2241">
      <c r="A2241" s="16" t="n">
        <v>46479</v>
      </c>
      <c r="B2241" t="inlineStr">
        <is>
          <t>DET</t>
        </is>
      </c>
    </row>
    <row r="2242">
      <c r="A2242" s="16" t="n">
        <v>46479</v>
      </c>
      <c r="B2242" t="inlineStr">
        <is>
          <t>GSW</t>
        </is>
      </c>
    </row>
    <row r="2243">
      <c r="A2243" s="16" t="n">
        <v>46479</v>
      </c>
      <c r="B2243" t="inlineStr">
        <is>
          <t>HOU</t>
        </is>
      </c>
    </row>
    <row r="2244">
      <c r="A2244" s="16" t="n">
        <v>46479</v>
      </c>
      <c r="B2244" t="inlineStr">
        <is>
          <t>LAC</t>
        </is>
      </c>
    </row>
    <row r="2245">
      <c r="A2245" s="16" t="n">
        <v>46479</v>
      </c>
      <c r="B2245" t="inlineStr">
        <is>
          <t>MEM</t>
        </is>
      </c>
    </row>
    <row r="2246">
      <c r="A2246" s="16" t="n">
        <v>46479</v>
      </c>
      <c r="B2246" t="inlineStr">
        <is>
          <t>MIA</t>
        </is>
      </c>
    </row>
    <row r="2247">
      <c r="A2247" s="16" t="n">
        <v>46479</v>
      </c>
      <c r="B2247" t="inlineStr">
        <is>
          <t>MIL</t>
        </is>
      </c>
    </row>
    <row r="2248">
      <c r="A2248" s="16" t="n">
        <v>46479</v>
      </c>
      <c r="B2248" t="inlineStr">
        <is>
          <t>MIN</t>
        </is>
      </c>
    </row>
    <row r="2249">
      <c r="A2249" s="16" t="n">
        <v>46479</v>
      </c>
      <c r="B2249" t="inlineStr">
        <is>
          <t>NYK</t>
        </is>
      </c>
    </row>
    <row r="2250">
      <c r="A2250" s="16" t="n">
        <v>46479</v>
      </c>
      <c r="B2250" t="inlineStr">
        <is>
          <t>PHI</t>
        </is>
      </c>
    </row>
    <row r="2251">
      <c r="A2251" s="16" t="n">
        <v>46479</v>
      </c>
      <c r="B2251" t="inlineStr">
        <is>
          <t>PHO</t>
        </is>
      </c>
    </row>
    <row r="2252">
      <c r="A2252" s="16" t="n">
        <v>46479</v>
      </c>
      <c r="B2252" t="inlineStr">
        <is>
          <t>POR</t>
        </is>
      </c>
    </row>
    <row r="2253">
      <c r="A2253" s="16" t="n">
        <v>46479</v>
      </c>
      <c r="B2253" t="inlineStr">
        <is>
          <t>SAC</t>
        </is>
      </c>
    </row>
    <row r="2254">
      <c r="A2254" s="16" t="n">
        <v>46479</v>
      </c>
      <c r="B2254" t="inlineStr">
        <is>
          <t>SAS</t>
        </is>
      </c>
    </row>
    <row r="2255">
      <c r="A2255" s="16" t="n">
        <v>46479</v>
      </c>
      <c r="B2255" t="inlineStr">
        <is>
          <t>TOR</t>
        </is>
      </c>
    </row>
    <row r="2256">
      <c r="A2256" s="16" t="n">
        <v>46479</v>
      </c>
      <c r="B2256" t="inlineStr">
        <is>
          <t>UTH</t>
        </is>
      </c>
    </row>
    <row r="2257">
      <c r="A2257" s="16" t="n">
        <v>46479</v>
      </c>
      <c r="B2257" t="inlineStr">
        <is>
          <t>WAS</t>
        </is>
      </c>
    </row>
    <row r="2258">
      <c r="A2258" s="16" t="n">
        <v>46480</v>
      </c>
      <c r="B2258" t="inlineStr">
        <is>
          <t>NOR</t>
        </is>
      </c>
    </row>
    <row r="2259">
      <c r="A2259" s="16" t="n">
        <v>46480</v>
      </c>
      <c r="B2259" t="inlineStr">
        <is>
          <t>OKC</t>
        </is>
      </c>
    </row>
    <row r="2260">
      <c r="A2260" s="16" t="n">
        <v>46480</v>
      </c>
      <c r="B2260" t="inlineStr">
        <is>
          <t>ORL</t>
        </is>
      </c>
    </row>
    <row r="2261">
      <c r="A2261" s="16" t="n">
        <v>46480</v>
      </c>
      <c r="B2261" t="inlineStr">
        <is>
          <t>WAS</t>
        </is>
      </c>
    </row>
    <row r="2262">
      <c r="A2262" s="16" t="n">
        <v>46481</v>
      </c>
      <c r="B2262" t="inlineStr">
        <is>
          <t>ATL</t>
        </is>
      </c>
    </row>
    <row r="2263">
      <c r="A2263" s="16" t="n">
        <v>46481</v>
      </c>
      <c r="B2263" t="inlineStr">
        <is>
          <t>BKN</t>
        </is>
      </c>
    </row>
    <row r="2264">
      <c r="A2264" s="16" t="n">
        <v>46481</v>
      </c>
      <c r="B2264" t="inlineStr">
        <is>
          <t>BOS</t>
        </is>
      </c>
    </row>
    <row r="2265">
      <c r="A2265" s="16" t="n">
        <v>46481</v>
      </c>
      <c r="B2265" t="inlineStr">
        <is>
          <t>CHA</t>
        </is>
      </c>
    </row>
    <row r="2266">
      <c r="A2266" s="16" t="n">
        <v>46481</v>
      </c>
      <c r="B2266" t="inlineStr">
        <is>
          <t>CHI</t>
        </is>
      </c>
    </row>
    <row r="2267">
      <c r="A2267" s="16" t="n">
        <v>46481</v>
      </c>
      <c r="B2267" t="inlineStr">
        <is>
          <t>CLE</t>
        </is>
      </c>
    </row>
    <row r="2268">
      <c r="A2268" s="16" t="n">
        <v>46481</v>
      </c>
      <c r="B2268" t="inlineStr">
        <is>
          <t>DAL</t>
        </is>
      </c>
    </row>
    <row r="2269">
      <c r="A2269" s="16" t="n">
        <v>46481</v>
      </c>
      <c r="B2269" t="inlineStr">
        <is>
          <t>DEN</t>
        </is>
      </c>
    </row>
    <row r="2270">
      <c r="A2270" s="16" t="n">
        <v>46481</v>
      </c>
      <c r="B2270" t="inlineStr">
        <is>
          <t>DET</t>
        </is>
      </c>
    </row>
    <row r="2271">
      <c r="A2271" s="16" t="n">
        <v>46481</v>
      </c>
      <c r="B2271" t="inlineStr">
        <is>
          <t>GSW</t>
        </is>
      </c>
    </row>
    <row r="2272">
      <c r="A2272" s="16" t="n">
        <v>46481</v>
      </c>
      <c r="B2272" t="inlineStr">
        <is>
          <t>HOU</t>
        </is>
      </c>
    </row>
    <row r="2273">
      <c r="A2273" s="16" t="n">
        <v>46481</v>
      </c>
      <c r="B2273" t="inlineStr">
        <is>
          <t>IND</t>
        </is>
      </c>
    </row>
    <row r="2274">
      <c r="A2274" s="16" t="n">
        <v>46481</v>
      </c>
      <c r="B2274" t="inlineStr">
        <is>
          <t>LAC</t>
        </is>
      </c>
    </row>
    <row r="2275">
      <c r="A2275" s="16" t="n">
        <v>46481</v>
      </c>
      <c r="B2275" t="inlineStr">
        <is>
          <t>LAL</t>
        </is>
      </c>
    </row>
    <row r="2276">
      <c r="A2276" s="16" t="n">
        <v>46481</v>
      </c>
      <c r="B2276" t="inlineStr">
        <is>
          <t>MEM</t>
        </is>
      </c>
    </row>
    <row r="2277">
      <c r="A2277" s="16" t="n">
        <v>46481</v>
      </c>
      <c r="B2277" t="inlineStr">
        <is>
          <t>MIA</t>
        </is>
      </c>
    </row>
    <row r="2278">
      <c r="A2278" s="16" t="n">
        <v>46481</v>
      </c>
      <c r="B2278" t="inlineStr">
        <is>
          <t>MIL</t>
        </is>
      </c>
    </row>
    <row r="2279">
      <c r="A2279" s="16" t="n">
        <v>46481</v>
      </c>
      <c r="B2279" t="inlineStr">
        <is>
          <t>MIN</t>
        </is>
      </c>
    </row>
    <row r="2280">
      <c r="A2280" s="16" t="n">
        <v>46481</v>
      </c>
      <c r="B2280" t="inlineStr">
        <is>
          <t>NYK</t>
        </is>
      </c>
    </row>
    <row r="2281">
      <c r="A2281" s="16" t="n">
        <v>46481</v>
      </c>
      <c r="B2281" t="inlineStr">
        <is>
          <t>PHI</t>
        </is>
      </c>
    </row>
    <row r="2282">
      <c r="A2282" s="16" t="n">
        <v>46481</v>
      </c>
      <c r="B2282" t="inlineStr">
        <is>
          <t>PHO</t>
        </is>
      </c>
    </row>
    <row r="2283">
      <c r="A2283" s="16" t="n">
        <v>46481</v>
      </c>
      <c r="B2283" t="inlineStr">
        <is>
          <t>POR</t>
        </is>
      </c>
    </row>
    <row r="2284">
      <c r="A2284" s="16" t="n">
        <v>46481</v>
      </c>
      <c r="B2284" t="inlineStr">
        <is>
          <t>SAC</t>
        </is>
      </c>
    </row>
    <row r="2285">
      <c r="A2285" s="16" t="n">
        <v>46481</v>
      </c>
      <c r="B2285" t="inlineStr">
        <is>
          <t>SAS</t>
        </is>
      </c>
    </row>
    <row r="2286">
      <c r="A2286" s="16" t="n">
        <v>46481</v>
      </c>
      <c r="B2286" t="inlineStr">
        <is>
          <t>TOR</t>
        </is>
      </c>
    </row>
    <row r="2287">
      <c r="A2287" s="16" t="n">
        <v>46481</v>
      </c>
      <c r="B2287" t="inlineStr">
        <is>
          <t>UTH</t>
        </is>
      </c>
    </row>
    <row r="2288">
      <c r="A2288" s="16" t="n">
        <v>46482</v>
      </c>
      <c r="B2288" t="inlineStr">
        <is>
          <t>BKN</t>
        </is>
      </c>
    </row>
    <row r="2289">
      <c r="A2289" s="16" t="n">
        <v>46482</v>
      </c>
      <c r="B2289" t="inlineStr">
        <is>
          <t>CLE</t>
        </is>
      </c>
    </row>
    <row r="2290">
      <c r="A2290" s="16" t="n">
        <v>46482</v>
      </c>
      <c r="B2290" t="inlineStr">
        <is>
          <t>MIA</t>
        </is>
      </c>
    </row>
    <row r="2291">
      <c r="A2291" s="16" t="n">
        <v>46482</v>
      </c>
      <c r="B2291" t="inlineStr">
        <is>
          <t>NOR</t>
        </is>
      </c>
    </row>
    <row r="2292">
      <c r="A2292" s="16" t="n">
        <v>46482</v>
      </c>
      <c r="B2292" t="inlineStr">
        <is>
          <t>ORL</t>
        </is>
      </c>
    </row>
    <row r="2293">
      <c r="A2293" s="16" t="n">
        <v>46482</v>
      </c>
      <c r="B2293" t="inlineStr">
        <is>
          <t>WAS</t>
        </is>
      </c>
    </row>
    <row r="2294">
      <c r="A2294" s="16" t="n">
        <v>46483</v>
      </c>
      <c r="B2294" t="inlineStr">
        <is>
          <t>ATL</t>
        </is>
      </c>
    </row>
    <row r="2295">
      <c r="A2295" s="16" t="n">
        <v>46483</v>
      </c>
      <c r="B2295" t="inlineStr">
        <is>
          <t>CHA</t>
        </is>
      </c>
    </row>
    <row r="2296">
      <c r="A2296" s="16" t="n">
        <v>46483</v>
      </c>
      <c r="B2296" t="inlineStr">
        <is>
          <t>CHI</t>
        </is>
      </c>
    </row>
    <row r="2297">
      <c r="A2297" s="16" t="n">
        <v>46483</v>
      </c>
      <c r="B2297" t="inlineStr">
        <is>
          <t>DAL</t>
        </is>
      </c>
    </row>
    <row r="2298">
      <c r="A2298" s="16" t="n">
        <v>46483</v>
      </c>
      <c r="B2298" t="inlineStr">
        <is>
          <t>DEN</t>
        </is>
      </c>
    </row>
    <row r="2299">
      <c r="A2299" s="16" t="n">
        <v>46483</v>
      </c>
      <c r="B2299" t="inlineStr">
        <is>
          <t>DET</t>
        </is>
      </c>
    </row>
    <row r="2300">
      <c r="A2300" s="16" t="n">
        <v>46483</v>
      </c>
      <c r="B2300" t="inlineStr">
        <is>
          <t>GSW</t>
        </is>
      </c>
    </row>
    <row r="2301">
      <c r="A2301" s="16" t="n">
        <v>46483</v>
      </c>
      <c r="B2301" t="inlineStr">
        <is>
          <t>IND</t>
        </is>
      </c>
    </row>
    <row r="2302">
      <c r="A2302" s="16" t="n">
        <v>46483</v>
      </c>
      <c r="B2302" t="inlineStr">
        <is>
          <t>LAC</t>
        </is>
      </c>
    </row>
    <row r="2303">
      <c r="A2303" s="16" t="n">
        <v>46483</v>
      </c>
      <c r="B2303" t="inlineStr">
        <is>
          <t>LAL</t>
        </is>
      </c>
    </row>
    <row r="2304">
      <c r="A2304" s="16" t="n">
        <v>46483</v>
      </c>
      <c r="B2304" t="inlineStr">
        <is>
          <t>MEM</t>
        </is>
      </c>
    </row>
    <row r="2305">
      <c r="A2305" s="16" t="n">
        <v>46483</v>
      </c>
      <c r="B2305" t="inlineStr">
        <is>
          <t>MIL</t>
        </is>
      </c>
    </row>
    <row r="2306">
      <c r="A2306" s="16" t="n">
        <v>46483</v>
      </c>
      <c r="B2306" t="inlineStr">
        <is>
          <t>MIN</t>
        </is>
      </c>
    </row>
    <row r="2307">
      <c r="A2307" s="16" t="n">
        <v>46483</v>
      </c>
      <c r="B2307" t="inlineStr">
        <is>
          <t>NOR</t>
        </is>
      </c>
    </row>
    <row r="2308">
      <c r="A2308" s="16" t="n">
        <v>46483</v>
      </c>
      <c r="B2308" t="inlineStr">
        <is>
          <t>NYK</t>
        </is>
      </c>
    </row>
    <row r="2309">
      <c r="A2309" s="16" t="n">
        <v>46483</v>
      </c>
      <c r="B2309" t="inlineStr">
        <is>
          <t>OKC</t>
        </is>
      </c>
    </row>
    <row r="2310">
      <c r="A2310" s="16" t="n">
        <v>46483</v>
      </c>
      <c r="B2310" t="inlineStr">
        <is>
          <t>PHI</t>
        </is>
      </c>
    </row>
    <row r="2311">
      <c r="A2311" s="16" t="n">
        <v>46483</v>
      </c>
      <c r="B2311" t="inlineStr">
        <is>
          <t>PHO</t>
        </is>
      </c>
    </row>
    <row r="2312">
      <c r="A2312" s="16" t="n">
        <v>46483</v>
      </c>
      <c r="B2312" t="inlineStr">
        <is>
          <t>SAC</t>
        </is>
      </c>
    </row>
    <row r="2313">
      <c r="A2313" s="16" t="n">
        <v>46483</v>
      </c>
      <c r="B2313" t="inlineStr">
        <is>
          <t>SAS</t>
        </is>
      </c>
    </row>
    <row r="2314">
      <c r="A2314" s="16" t="n">
        <v>46483</v>
      </c>
      <c r="B2314" t="inlineStr">
        <is>
          <t>TOR</t>
        </is>
      </c>
    </row>
    <row r="2315">
      <c r="A2315" s="16" t="n">
        <v>46483</v>
      </c>
      <c r="B2315" t="inlineStr">
        <is>
          <t>UTH</t>
        </is>
      </c>
    </row>
    <row r="2316">
      <c r="A2316" s="16" t="n">
        <v>46484</v>
      </c>
      <c r="B2316" t="inlineStr">
        <is>
          <t>BKN</t>
        </is>
      </c>
    </row>
    <row r="2317">
      <c r="A2317" s="16" t="n">
        <v>46484</v>
      </c>
      <c r="B2317" t="inlineStr">
        <is>
          <t>BOS</t>
        </is>
      </c>
    </row>
    <row r="2318">
      <c r="A2318" s="16" t="n">
        <v>46484</v>
      </c>
      <c r="B2318" t="inlineStr">
        <is>
          <t>CHA</t>
        </is>
      </c>
    </row>
    <row r="2319">
      <c r="A2319" s="16" t="n">
        <v>46484</v>
      </c>
      <c r="B2319" t="inlineStr">
        <is>
          <t>CHI</t>
        </is>
      </c>
    </row>
    <row r="2320">
      <c r="A2320" s="16" t="n">
        <v>46484</v>
      </c>
      <c r="B2320" t="inlineStr">
        <is>
          <t>CLE</t>
        </is>
      </c>
    </row>
    <row r="2321">
      <c r="A2321" s="16" t="n">
        <v>46484</v>
      </c>
      <c r="B2321" t="inlineStr">
        <is>
          <t>DAL</t>
        </is>
      </c>
    </row>
    <row r="2322">
      <c r="A2322" s="16" t="n">
        <v>46484</v>
      </c>
      <c r="B2322" t="inlineStr">
        <is>
          <t>DET</t>
        </is>
      </c>
    </row>
    <row r="2323">
      <c r="A2323" s="16" t="n">
        <v>46484</v>
      </c>
      <c r="B2323" t="inlineStr">
        <is>
          <t>HOU</t>
        </is>
      </c>
    </row>
    <row r="2324">
      <c r="A2324" s="16" t="n">
        <v>46484</v>
      </c>
      <c r="B2324" t="inlineStr">
        <is>
          <t>IND</t>
        </is>
      </c>
    </row>
    <row r="2325">
      <c r="A2325" s="16" t="n">
        <v>46484</v>
      </c>
      <c r="B2325" t="inlineStr">
        <is>
          <t>LAL</t>
        </is>
      </c>
    </row>
    <row r="2326">
      <c r="A2326" s="16" t="n">
        <v>46484</v>
      </c>
      <c r="B2326" t="inlineStr">
        <is>
          <t>MEM</t>
        </is>
      </c>
    </row>
    <row r="2327">
      <c r="A2327" s="16" t="n">
        <v>46484</v>
      </c>
      <c r="B2327" t="inlineStr">
        <is>
          <t>MIN</t>
        </is>
      </c>
    </row>
    <row r="2328">
      <c r="A2328" s="16" t="n">
        <v>46484</v>
      </c>
      <c r="B2328" t="inlineStr">
        <is>
          <t>ORL</t>
        </is>
      </c>
    </row>
    <row r="2329">
      <c r="A2329" s="16" t="n">
        <v>46484</v>
      </c>
      <c r="B2329" t="inlineStr">
        <is>
          <t>POR</t>
        </is>
      </c>
    </row>
    <row r="2330">
      <c r="A2330" s="16" t="n">
        <v>46484</v>
      </c>
      <c r="B2330" t="inlineStr">
        <is>
          <t>SAC</t>
        </is>
      </c>
    </row>
    <row r="2331">
      <c r="A2331" s="16" t="n">
        <v>46484</v>
      </c>
      <c r="B2331" t="inlineStr">
        <is>
          <t>SAS</t>
        </is>
      </c>
    </row>
    <row r="2332">
      <c r="A2332" s="16" t="n">
        <v>46484</v>
      </c>
      <c r="B2332" t="inlineStr">
        <is>
          <t>TOR</t>
        </is>
      </c>
    </row>
    <row r="2333">
      <c r="A2333" s="16" t="n">
        <v>46484</v>
      </c>
      <c r="B2333" t="inlineStr">
        <is>
          <t>WAS</t>
        </is>
      </c>
    </row>
    <row r="2334">
      <c r="A2334" s="16" t="n">
        <v>46485</v>
      </c>
      <c r="B2334" t="inlineStr">
        <is>
          <t>DEN</t>
        </is>
      </c>
    </row>
    <row r="2335">
      <c r="A2335" s="16" t="n">
        <v>46485</v>
      </c>
      <c r="B2335" t="inlineStr">
        <is>
          <t>GSW</t>
        </is>
      </c>
    </row>
    <row r="2336">
      <c r="A2336" s="16" t="n">
        <v>46485</v>
      </c>
      <c r="B2336" t="inlineStr">
        <is>
          <t>LAC</t>
        </is>
      </c>
    </row>
    <row r="2337">
      <c r="A2337" s="16" t="n">
        <v>46485</v>
      </c>
      <c r="B2337" t="inlineStr">
        <is>
          <t>MIA</t>
        </is>
      </c>
    </row>
    <row r="2338">
      <c r="A2338" s="16" t="n">
        <v>46485</v>
      </c>
      <c r="B2338" t="inlineStr">
        <is>
          <t>MIL</t>
        </is>
      </c>
    </row>
    <row r="2339">
      <c r="A2339" s="16" t="n">
        <v>46485</v>
      </c>
      <c r="B2339" t="inlineStr">
        <is>
          <t>NOR</t>
        </is>
      </c>
    </row>
    <row r="2340">
      <c r="A2340" s="16" t="n">
        <v>46485</v>
      </c>
      <c r="B2340" t="inlineStr">
        <is>
          <t>NYK</t>
        </is>
      </c>
    </row>
    <row r="2341">
      <c r="A2341" s="16" t="n">
        <v>46485</v>
      </c>
      <c r="B2341" t="inlineStr">
        <is>
          <t>OKC</t>
        </is>
      </c>
    </row>
    <row r="2342">
      <c r="A2342" s="16" t="n">
        <v>46485</v>
      </c>
      <c r="B2342" t="inlineStr">
        <is>
          <t>PHI</t>
        </is>
      </c>
    </row>
    <row r="2343">
      <c r="A2343" s="16" t="n">
        <v>46485</v>
      </c>
      <c r="B2343" t="inlineStr">
        <is>
          <t>UTH</t>
        </is>
      </c>
    </row>
    <row r="2344">
      <c r="A2344" s="16" t="n">
        <v>46486</v>
      </c>
      <c r="B2344" t="inlineStr">
        <is>
          <t>ATL</t>
        </is>
      </c>
    </row>
    <row r="2345">
      <c r="A2345" s="16" t="n">
        <v>46486</v>
      </c>
      <c r="B2345" t="inlineStr">
        <is>
          <t>BKN</t>
        </is>
      </c>
    </row>
    <row r="2346">
      <c r="A2346" s="16" t="n">
        <v>46486</v>
      </c>
      <c r="B2346" t="inlineStr">
        <is>
          <t>BOS</t>
        </is>
      </c>
    </row>
    <row r="2347">
      <c r="A2347" s="16" t="n">
        <v>46486</v>
      </c>
      <c r="B2347" t="inlineStr">
        <is>
          <t>CHA</t>
        </is>
      </c>
    </row>
    <row r="2348">
      <c r="A2348" s="16" t="n">
        <v>46486</v>
      </c>
      <c r="B2348" t="inlineStr">
        <is>
          <t>CHI</t>
        </is>
      </c>
    </row>
    <row r="2349">
      <c r="A2349" s="16" t="n">
        <v>46486</v>
      </c>
      <c r="B2349" t="inlineStr">
        <is>
          <t>CLE</t>
        </is>
      </c>
    </row>
    <row r="2350">
      <c r="A2350" s="16" t="n">
        <v>46486</v>
      </c>
      <c r="B2350" t="inlineStr">
        <is>
          <t>DAL</t>
        </is>
      </c>
    </row>
    <row r="2351">
      <c r="A2351" s="16" t="n">
        <v>46486</v>
      </c>
      <c r="B2351" t="inlineStr">
        <is>
          <t>DEN</t>
        </is>
      </c>
    </row>
    <row r="2352">
      <c r="A2352" s="16" t="n">
        <v>46486</v>
      </c>
      <c r="B2352" t="inlineStr">
        <is>
          <t>DET</t>
        </is>
      </c>
    </row>
    <row r="2353">
      <c r="A2353" s="16" t="n">
        <v>46486</v>
      </c>
      <c r="B2353" t="inlineStr">
        <is>
          <t>GSW</t>
        </is>
      </c>
    </row>
    <row r="2354">
      <c r="A2354" s="16" t="n">
        <v>46486</v>
      </c>
      <c r="B2354" t="inlineStr">
        <is>
          <t>HOU</t>
        </is>
      </c>
    </row>
    <row r="2355">
      <c r="A2355" s="16" t="n">
        <v>46486</v>
      </c>
      <c r="B2355" t="inlineStr">
        <is>
          <t>IND</t>
        </is>
      </c>
    </row>
    <row r="2356">
      <c r="A2356" s="16" t="n">
        <v>46486</v>
      </c>
      <c r="B2356" t="inlineStr">
        <is>
          <t>LAC</t>
        </is>
      </c>
    </row>
    <row r="2357">
      <c r="A2357" s="16" t="n">
        <v>46486</v>
      </c>
      <c r="B2357" t="inlineStr">
        <is>
          <t>LAL</t>
        </is>
      </c>
    </row>
    <row r="2358">
      <c r="A2358" s="16" t="n">
        <v>46486</v>
      </c>
      <c r="B2358" t="inlineStr">
        <is>
          <t>MEM</t>
        </is>
      </c>
    </row>
    <row r="2359">
      <c r="A2359" s="16" t="n">
        <v>46486</v>
      </c>
      <c r="B2359" t="inlineStr">
        <is>
          <t>MIA</t>
        </is>
      </c>
    </row>
    <row r="2360">
      <c r="A2360" s="16" t="n">
        <v>46486</v>
      </c>
      <c r="B2360" t="inlineStr">
        <is>
          <t>MIL</t>
        </is>
      </c>
    </row>
    <row r="2361">
      <c r="A2361" s="16" t="n">
        <v>46486</v>
      </c>
      <c r="B2361" t="inlineStr">
        <is>
          <t>MIN</t>
        </is>
      </c>
    </row>
    <row r="2362">
      <c r="A2362" s="16" t="n">
        <v>46486</v>
      </c>
      <c r="B2362" t="inlineStr">
        <is>
          <t>NYK</t>
        </is>
      </c>
    </row>
    <row r="2363">
      <c r="A2363" s="16" t="n">
        <v>46486</v>
      </c>
      <c r="B2363" t="inlineStr">
        <is>
          <t>OKC</t>
        </is>
      </c>
    </row>
    <row r="2364">
      <c r="A2364" s="16" t="n">
        <v>46486</v>
      </c>
      <c r="B2364" t="inlineStr">
        <is>
          <t>ORL</t>
        </is>
      </c>
    </row>
    <row r="2365">
      <c r="A2365" s="16" t="n">
        <v>46486</v>
      </c>
      <c r="B2365" t="inlineStr">
        <is>
          <t>PHO</t>
        </is>
      </c>
    </row>
    <row r="2366">
      <c r="A2366" s="16" t="n">
        <v>46486</v>
      </c>
      <c r="B2366" t="inlineStr">
        <is>
          <t>POR</t>
        </is>
      </c>
    </row>
    <row r="2367">
      <c r="A2367" s="16" t="n">
        <v>46486</v>
      </c>
      <c r="B2367" t="inlineStr">
        <is>
          <t>SAC</t>
        </is>
      </c>
    </row>
    <row r="2368">
      <c r="A2368" s="16" t="n">
        <v>46486</v>
      </c>
      <c r="B2368" t="inlineStr">
        <is>
          <t>SAS</t>
        </is>
      </c>
    </row>
    <row r="2369">
      <c r="A2369" s="16" t="n">
        <v>46486</v>
      </c>
      <c r="B2369" t="inlineStr">
        <is>
          <t>TOR</t>
        </is>
      </c>
    </row>
    <row r="2370">
      <c r="A2370" s="16" t="n">
        <v>46486</v>
      </c>
      <c r="B2370" t="inlineStr">
        <is>
          <t>UTH</t>
        </is>
      </c>
    </row>
    <row r="2371">
      <c r="A2371" s="16" t="n">
        <v>46486</v>
      </c>
      <c r="B2371" t="inlineStr">
        <is>
          <t>WAS</t>
        </is>
      </c>
    </row>
    <row r="2372">
      <c r="A2372" s="16" t="n">
        <v>46488</v>
      </c>
      <c r="B2372" t="inlineStr">
        <is>
          <t>ATL</t>
        </is>
      </c>
    </row>
    <row r="2373">
      <c r="A2373" s="16" t="n">
        <v>46488</v>
      </c>
      <c r="B2373" t="inlineStr">
        <is>
          <t>BKN</t>
        </is>
      </c>
    </row>
    <row r="2374">
      <c r="A2374" s="16" t="n">
        <v>46488</v>
      </c>
      <c r="B2374" t="inlineStr">
        <is>
          <t>BOS</t>
        </is>
      </c>
    </row>
    <row r="2375">
      <c r="A2375" s="16" t="n">
        <v>46488</v>
      </c>
      <c r="B2375" t="inlineStr">
        <is>
          <t>CHA</t>
        </is>
      </c>
    </row>
    <row r="2376">
      <c r="A2376" s="16" t="n">
        <v>46488</v>
      </c>
      <c r="B2376" t="inlineStr">
        <is>
          <t>CHI</t>
        </is>
      </c>
    </row>
    <row r="2377">
      <c r="A2377" s="16" t="n">
        <v>46488</v>
      </c>
      <c r="B2377" t="inlineStr">
        <is>
          <t>CLE</t>
        </is>
      </c>
    </row>
    <row r="2378">
      <c r="A2378" s="16" t="n">
        <v>46488</v>
      </c>
      <c r="B2378" t="inlineStr">
        <is>
          <t>DAL</t>
        </is>
      </c>
    </row>
    <row r="2379">
      <c r="A2379" s="16" t="n">
        <v>46488</v>
      </c>
      <c r="B2379" t="inlineStr">
        <is>
          <t>DEN</t>
        </is>
      </c>
    </row>
    <row r="2380">
      <c r="A2380" s="16" t="n">
        <v>46488</v>
      </c>
      <c r="B2380" t="inlineStr">
        <is>
          <t>DET</t>
        </is>
      </c>
    </row>
    <row r="2381">
      <c r="A2381" s="16" t="n">
        <v>46488</v>
      </c>
      <c r="B2381" t="inlineStr">
        <is>
          <t>GSW</t>
        </is>
      </c>
    </row>
    <row r="2382">
      <c r="A2382" s="16" t="n">
        <v>46488</v>
      </c>
      <c r="B2382" t="inlineStr">
        <is>
          <t>HOU</t>
        </is>
      </c>
    </row>
    <row r="2383">
      <c r="A2383" s="16" t="n">
        <v>46488</v>
      </c>
      <c r="B2383" t="inlineStr">
        <is>
          <t>IND</t>
        </is>
      </c>
    </row>
    <row r="2384">
      <c r="A2384" s="16" t="n">
        <v>46488</v>
      </c>
      <c r="B2384" t="inlineStr">
        <is>
          <t>LAC</t>
        </is>
      </c>
    </row>
    <row r="2385">
      <c r="A2385" s="16" t="n">
        <v>46488</v>
      </c>
      <c r="B2385" t="inlineStr">
        <is>
          <t>LAL</t>
        </is>
      </c>
    </row>
    <row r="2386">
      <c r="A2386" s="16" t="n">
        <v>46488</v>
      </c>
      <c r="B2386" t="inlineStr">
        <is>
          <t>MEM</t>
        </is>
      </c>
    </row>
    <row r="2387">
      <c r="A2387" s="16" t="n">
        <v>46488</v>
      </c>
      <c r="B2387" t="inlineStr">
        <is>
          <t>MIA</t>
        </is>
      </c>
    </row>
    <row r="2388">
      <c r="A2388" s="16" t="n">
        <v>46488</v>
      </c>
      <c r="B2388" t="inlineStr">
        <is>
          <t>MIL</t>
        </is>
      </c>
    </row>
    <row r="2389">
      <c r="A2389" s="16" t="n">
        <v>46488</v>
      </c>
      <c r="B2389" t="inlineStr">
        <is>
          <t>MIN</t>
        </is>
      </c>
    </row>
    <row r="2390">
      <c r="A2390" s="16" t="n">
        <v>46488</v>
      </c>
      <c r="B2390" t="inlineStr">
        <is>
          <t>NOR</t>
        </is>
      </c>
    </row>
    <row r="2391">
      <c r="A2391" s="16" t="n">
        <v>46488</v>
      </c>
      <c r="B2391" t="inlineStr">
        <is>
          <t>NYK</t>
        </is>
      </c>
    </row>
    <row r="2392">
      <c r="A2392" s="16" t="n">
        <v>46488</v>
      </c>
      <c r="B2392" t="inlineStr">
        <is>
          <t>OKC</t>
        </is>
      </c>
    </row>
    <row r="2393">
      <c r="A2393" s="16" t="n">
        <v>46488</v>
      </c>
      <c r="B2393" t="inlineStr">
        <is>
          <t>ORL</t>
        </is>
      </c>
    </row>
    <row r="2394">
      <c r="A2394" s="16" t="n">
        <v>46488</v>
      </c>
      <c r="B2394" t="inlineStr">
        <is>
          <t>PHI</t>
        </is>
      </c>
    </row>
    <row r="2395">
      <c r="A2395" s="16" t="n">
        <v>46488</v>
      </c>
      <c r="B2395" t="inlineStr">
        <is>
          <t>PHO</t>
        </is>
      </c>
    </row>
    <row r="2396">
      <c r="A2396" s="16" t="n">
        <v>46488</v>
      </c>
      <c r="B2396" t="inlineStr">
        <is>
          <t>POR</t>
        </is>
      </c>
    </row>
    <row r="2397">
      <c r="A2397" s="16" t="n">
        <v>46488</v>
      </c>
      <c r="B2397" t="inlineStr">
        <is>
          <t>SAC</t>
        </is>
      </c>
    </row>
    <row r="2398">
      <c r="A2398" s="16" t="n">
        <v>46488</v>
      </c>
      <c r="B2398" t="inlineStr">
        <is>
          <t>SAS</t>
        </is>
      </c>
    </row>
    <row r="2399">
      <c r="A2399" s="16" t="n">
        <v>46488</v>
      </c>
      <c r="B2399" t="inlineStr">
        <is>
          <t>TOR</t>
        </is>
      </c>
    </row>
    <row r="2400">
      <c r="A2400" s="16" t="n">
        <v>46488</v>
      </c>
      <c r="B2400" t="inlineStr">
        <is>
          <t>UTH</t>
        </is>
      </c>
    </row>
    <row r="2401">
      <c r="A2401" s="16" t="n">
        <v>46488</v>
      </c>
      <c r="B2401" t="inlineStr">
        <is>
          <t>WAS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2026-10-19T22:29:03Z</dcterms:created>
  <dcterms:modified xsi:type="dcterms:W3CDTF">2026-10-19T22:29:03Z</dcterms:modified>
</cp:coreProperties>
</file>