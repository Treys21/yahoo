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private/tmp/claude-501/-Users-anik-workspace-projects-yahoo/2c15f6c0-dc6a-4b80-9b6f-806eb766a628/scratchpad/"/>
    </mc:Choice>
  </mc:AlternateContent>
  <xr:revisionPtr revIDLastSave="0" documentId="13_ncr:1_{9CF6D9F7-266F-FE4C-8C58-356B890D8389}" xr6:coauthVersionLast="47" xr6:coauthVersionMax="47" xr10:uidLastSave="{00000000-0000-0000-0000-000000000000}"/>
  <bookViews>
    <workbookView xWindow="0" yWindow="660" windowWidth="34560" windowHeight="19880" xr2:uid="{00000000-000D-0000-FFFF-FFFF00000000}"/>
  </bookViews>
  <sheets>
    <sheet name="The List" sheetId="1" r:id="rId1"/>
    <sheet name="Minutes &amp; Health" sheetId="2" r:id="rId2"/>
    <sheet name="Settings" sheetId="3" r:id="rId3"/>
    <sheet name="Player Data" sheetId="4" r:id="rId4"/>
    <sheet name="Pool" sheetId="5" r:id="rId5"/>
    <sheet name="Schedule" sheetId="6" r:id="rId6"/>
  </sheets>
  <definedNames>
    <definedName name="_xlnm._FilterDatabase" localSheetId="1" hidden="1">'Minutes &amp; Health'!$A$1:$Q$266</definedName>
    <definedName name="_xlnm._FilterDatabase" localSheetId="0" hidden="1">'The List'!$A$1:$AJ$266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5" i="3" s="1"/>
  <c r="P266" i="2"/>
  <c r="K266" i="2"/>
  <c r="L266" i="2" s="1"/>
  <c r="O266" i="2" s="1"/>
  <c r="H266" i="2"/>
  <c r="P265" i="2"/>
  <c r="K265" i="2"/>
  <c r="L265" i="2" s="1"/>
  <c r="O265" i="2" s="1"/>
  <c r="H265" i="2"/>
  <c r="P264" i="2"/>
  <c r="K264" i="2"/>
  <c r="L264" i="2" s="1"/>
  <c r="O264" i="2" s="1"/>
  <c r="H264" i="2"/>
  <c r="P263" i="2"/>
  <c r="K263" i="2"/>
  <c r="L263" i="2" s="1"/>
  <c r="O263" i="2" s="1"/>
  <c r="H263" i="2"/>
  <c r="P262" i="2"/>
  <c r="K262" i="2"/>
  <c r="L262" i="2" s="1"/>
  <c r="O262" i="2" s="1"/>
  <c r="H262" i="2"/>
  <c r="P261" i="2"/>
  <c r="K261" i="2"/>
  <c r="L261" i="2" s="1"/>
  <c r="O261" i="2" s="1"/>
  <c r="H261" i="2"/>
  <c r="P260" i="2"/>
  <c r="K260" i="2"/>
  <c r="L260" i="2" s="1"/>
  <c r="O260" i="2" s="1"/>
  <c r="H260" i="2"/>
  <c r="P259" i="2"/>
  <c r="K259" i="2"/>
  <c r="L259" i="2" s="1"/>
  <c r="O259" i="2" s="1"/>
  <c r="H259" i="2"/>
  <c r="P258" i="2"/>
  <c r="K258" i="2"/>
  <c r="L258" i="2" s="1"/>
  <c r="O258" i="2" s="1"/>
  <c r="H258" i="2"/>
  <c r="P257" i="2"/>
  <c r="K257" i="2"/>
  <c r="L257" i="2" s="1"/>
  <c r="O257" i="2" s="1"/>
  <c r="H257" i="2"/>
  <c r="P256" i="2"/>
  <c r="K256" i="2"/>
  <c r="L256" i="2" s="1"/>
  <c r="O256" i="2" s="1"/>
  <c r="H256" i="2"/>
  <c r="P255" i="2"/>
  <c r="L255" i="2"/>
  <c r="O255" i="2" s="1"/>
  <c r="K255" i="2"/>
  <c r="H255" i="2"/>
  <c r="P254" i="2"/>
  <c r="K254" i="2"/>
  <c r="L254" i="2" s="1"/>
  <c r="O254" i="2" s="1"/>
  <c r="H254" i="2"/>
  <c r="P253" i="2"/>
  <c r="K253" i="2"/>
  <c r="L253" i="2" s="1"/>
  <c r="O253" i="2" s="1"/>
  <c r="H253" i="2"/>
  <c r="P252" i="2"/>
  <c r="K252" i="2"/>
  <c r="L252" i="2" s="1"/>
  <c r="O252" i="2" s="1"/>
  <c r="H252" i="2"/>
  <c r="P251" i="2"/>
  <c r="K251" i="2"/>
  <c r="L251" i="2" s="1"/>
  <c r="O251" i="2" s="1"/>
  <c r="H251" i="2"/>
  <c r="P250" i="2"/>
  <c r="K250" i="2"/>
  <c r="L250" i="2" s="1"/>
  <c r="O250" i="2" s="1"/>
  <c r="H250" i="2"/>
  <c r="P249" i="2"/>
  <c r="M245" i="1" s="1"/>
  <c r="T245" i="1" s="1"/>
  <c r="K249" i="2"/>
  <c r="L249" i="2" s="1"/>
  <c r="O249" i="2" s="1"/>
  <c r="H249" i="2"/>
  <c r="P248" i="2"/>
  <c r="K248" i="2"/>
  <c r="L248" i="2" s="1"/>
  <c r="O248" i="2" s="1"/>
  <c r="H248" i="2"/>
  <c r="P247" i="2"/>
  <c r="L247" i="2"/>
  <c r="O247" i="2" s="1"/>
  <c r="K247" i="2"/>
  <c r="H247" i="2"/>
  <c r="P246" i="2"/>
  <c r="K246" i="2"/>
  <c r="L246" i="2" s="1"/>
  <c r="O246" i="2" s="1"/>
  <c r="H246" i="2"/>
  <c r="P245" i="2"/>
  <c r="M253" i="1" s="1"/>
  <c r="L245" i="2"/>
  <c r="O245" i="2" s="1"/>
  <c r="K245" i="2"/>
  <c r="H245" i="2"/>
  <c r="P244" i="2"/>
  <c r="K244" i="2"/>
  <c r="L244" i="2" s="1"/>
  <c r="O244" i="2" s="1"/>
  <c r="H244" i="2"/>
  <c r="P243" i="2"/>
  <c r="K243" i="2"/>
  <c r="L243" i="2" s="1"/>
  <c r="O243" i="2" s="1"/>
  <c r="H243" i="2"/>
  <c r="P242" i="2"/>
  <c r="K242" i="2"/>
  <c r="L242" i="2" s="1"/>
  <c r="O242" i="2" s="1"/>
  <c r="H242" i="2"/>
  <c r="P241" i="2"/>
  <c r="K241" i="2"/>
  <c r="L241" i="2" s="1"/>
  <c r="O241" i="2" s="1"/>
  <c r="H241" i="2"/>
  <c r="P240" i="2"/>
  <c r="K240" i="2"/>
  <c r="L240" i="2" s="1"/>
  <c r="O240" i="2" s="1"/>
  <c r="H240" i="2"/>
  <c r="P239" i="2"/>
  <c r="K239" i="2"/>
  <c r="L239" i="2" s="1"/>
  <c r="O239" i="2" s="1"/>
  <c r="H239" i="2"/>
  <c r="P238" i="2"/>
  <c r="K238" i="2"/>
  <c r="L238" i="2" s="1"/>
  <c r="O238" i="2" s="1"/>
  <c r="H238" i="2"/>
  <c r="P237" i="2"/>
  <c r="K237" i="2"/>
  <c r="L237" i="2" s="1"/>
  <c r="O237" i="2" s="1"/>
  <c r="H237" i="2"/>
  <c r="P236" i="2"/>
  <c r="K236" i="2"/>
  <c r="L236" i="2" s="1"/>
  <c r="O236" i="2" s="1"/>
  <c r="H236" i="2"/>
  <c r="P235" i="2"/>
  <c r="K235" i="2"/>
  <c r="L235" i="2" s="1"/>
  <c r="O235" i="2" s="1"/>
  <c r="H235" i="2"/>
  <c r="P234" i="2"/>
  <c r="K234" i="2"/>
  <c r="L234" i="2" s="1"/>
  <c r="O234" i="2" s="1"/>
  <c r="H234" i="2"/>
  <c r="P233" i="2"/>
  <c r="K233" i="2"/>
  <c r="L233" i="2" s="1"/>
  <c r="O233" i="2" s="1"/>
  <c r="H233" i="2"/>
  <c r="P232" i="2"/>
  <c r="K232" i="2"/>
  <c r="L232" i="2" s="1"/>
  <c r="O232" i="2" s="1"/>
  <c r="H232" i="2"/>
  <c r="P231" i="2"/>
  <c r="L231" i="2"/>
  <c r="O231" i="2" s="1"/>
  <c r="K231" i="2"/>
  <c r="H231" i="2"/>
  <c r="P230" i="2"/>
  <c r="K230" i="2"/>
  <c r="L230" i="2" s="1"/>
  <c r="O230" i="2" s="1"/>
  <c r="H230" i="2"/>
  <c r="P229" i="2"/>
  <c r="K229" i="2"/>
  <c r="L229" i="2" s="1"/>
  <c r="O229" i="2" s="1"/>
  <c r="H229" i="2"/>
  <c r="P228" i="2"/>
  <c r="K228" i="2"/>
  <c r="L228" i="2" s="1"/>
  <c r="O228" i="2" s="1"/>
  <c r="H228" i="2"/>
  <c r="P227" i="2"/>
  <c r="K227" i="2"/>
  <c r="L227" i="2" s="1"/>
  <c r="O227" i="2" s="1"/>
  <c r="H227" i="2"/>
  <c r="P226" i="2"/>
  <c r="L226" i="2"/>
  <c r="O226" i="2" s="1"/>
  <c r="K226" i="2"/>
  <c r="H226" i="2"/>
  <c r="P225" i="2"/>
  <c r="K225" i="2"/>
  <c r="L225" i="2" s="1"/>
  <c r="O225" i="2" s="1"/>
  <c r="H225" i="2"/>
  <c r="P224" i="2"/>
  <c r="M222" i="1" s="1"/>
  <c r="K224" i="2"/>
  <c r="L224" i="2" s="1"/>
  <c r="O224" i="2" s="1"/>
  <c r="L222" i="1" s="1"/>
  <c r="H224" i="2"/>
  <c r="P223" i="2"/>
  <c r="K223" i="2"/>
  <c r="L223" i="2" s="1"/>
  <c r="O223" i="2" s="1"/>
  <c r="H223" i="2"/>
  <c r="P222" i="2"/>
  <c r="K222" i="2"/>
  <c r="L222" i="2" s="1"/>
  <c r="O222" i="2" s="1"/>
  <c r="H222" i="2"/>
  <c r="P221" i="2"/>
  <c r="K221" i="2"/>
  <c r="L221" i="2" s="1"/>
  <c r="O221" i="2" s="1"/>
  <c r="H221" i="2"/>
  <c r="P220" i="2"/>
  <c r="K220" i="2"/>
  <c r="L220" i="2" s="1"/>
  <c r="O220" i="2" s="1"/>
  <c r="H220" i="2"/>
  <c r="P219" i="2"/>
  <c r="K219" i="2"/>
  <c r="L219" i="2" s="1"/>
  <c r="O219" i="2" s="1"/>
  <c r="H219" i="2"/>
  <c r="P218" i="2"/>
  <c r="K218" i="2"/>
  <c r="L218" i="2" s="1"/>
  <c r="O218" i="2" s="1"/>
  <c r="H218" i="2"/>
  <c r="P217" i="2"/>
  <c r="L217" i="2"/>
  <c r="O217" i="2" s="1"/>
  <c r="K217" i="2"/>
  <c r="H217" i="2"/>
  <c r="P216" i="2"/>
  <c r="L216" i="2"/>
  <c r="O216" i="2" s="1"/>
  <c r="K216" i="2"/>
  <c r="H216" i="2"/>
  <c r="P215" i="2"/>
  <c r="K215" i="2"/>
  <c r="L215" i="2" s="1"/>
  <c r="O215" i="2" s="1"/>
  <c r="H215" i="2"/>
  <c r="P214" i="2"/>
  <c r="L214" i="2"/>
  <c r="O214" i="2" s="1"/>
  <c r="K214" i="2"/>
  <c r="H214" i="2"/>
  <c r="P213" i="2"/>
  <c r="O213" i="2"/>
  <c r="K213" i="2"/>
  <c r="L213" i="2" s="1"/>
  <c r="H213" i="2"/>
  <c r="P212" i="2"/>
  <c r="L212" i="2"/>
  <c r="O212" i="2" s="1"/>
  <c r="K212" i="2"/>
  <c r="H212" i="2"/>
  <c r="P211" i="2"/>
  <c r="K211" i="2"/>
  <c r="L211" i="2" s="1"/>
  <c r="O211" i="2" s="1"/>
  <c r="H211" i="2"/>
  <c r="P210" i="2"/>
  <c r="K210" i="2"/>
  <c r="L210" i="2" s="1"/>
  <c r="O210" i="2" s="1"/>
  <c r="H210" i="2"/>
  <c r="P209" i="2"/>
  <c r="K209" i="2"/>
  <c r="L209" i="2" s="1"/>
  <c r="O209" i="2" s="1"/>
  <c r="H209" i="2"/>
  <c r="P208" i="2"/>
  <c r="K208" i="2"/>
  <c r="L208" i="2" s="1"/>
  <c r="O208" i="2" s="1"/>
  <c r="H208" i="2"/>
  <c r="P207" i="2"/>
  <c r="K207" i="2"/>
  <c r="L207" i="2" s="1"/>
  <c r="O207" i="2" s="1"/>
  <c r="H207" i="2"/>
  <c r="P206" i="2"/>
  <c r="K206" i="2"/>
  <c r="L206" i="2" s="1"/>
  <c r="O206" i="2" s="1"/>
  <c r="H206" i="2"/>
  <c r="P205" i="2"/>
  <c r="K205" i="2"/>
  <c r="L205" i="2" s="1"/>
  <c r="O205" i="2" s="1"/>
  <c r="H205" i="2"/>
  <c r="P204" i="2"/>
  <c r="K204" i="2"/>
  <c r="L204" i="2" s="1"/>
  <c r="O204" i="2" s="1"/>
  <c r="H204" i="2"/>
  <c r="P203" i="2"/>
  <c r="K203" i="2"/>
  <c r="L203" i="2" s="1"/>
  <c r="O203" i="2" s="1"/>
  <c r="H203" i="2"/>
  <c r="P202" i="2"/>
  <c r="K202" i="2"/>
  <c r="L202" i="2" s="1"/>
  <c r="O202" i="2" s="1"/>
  <c r="H202" i="2"/>
  <c r="P201" i="2"/>
  <c r="K201" i="2"/>
  <c r="L201" i="2" s="1"/>
  <c r="O201" i="2" s="1"/>
  <c r="H201" i="2"/>
  <c r="P200" i="2"/>
  <c r="L200" i="2"/>
  <c r="O200" i="2" s="1"/>
  <c r="K200" i="2"/>
  <c r="H200" i="2"/>
  <c r="P199" i="2"/>
  <c r="K199" i="2"/>
  <c r="L199" i="2" s="1"/>
  <c r="O199" i="2" s="1"/>
  <c r="H199" i="2"/>
  <c r="P198" i="2"/>
  <c r="K198" i="2"/>
  <c r="L198" i="2" s="1"/>
  <c r="O198" i="2" s="1"/>
  <c r="H198" i="2"/>
  <c r="P197" i="2"/>
  <c r="K197" i="2"/>
  <c r="L197" i="2" s="1"/>
  <c r="O197" i="2" s="1"/>
  <c r="H197" i="2"/>
  <c r="P196" i="2"/>
  <c r="K196" i="2"/>
  <c r="L196" i="2" s="1"/>
  <c r="O196" i="2" s="1"/>
  <c r="H196" i="2"/>
  <c r="P195" i="2"/>
  <c r="K195" i="2"/>
  <c r="L195" i="2" s="1"/>
  <c r="O195" i="2" s="1"/>
  <c r="H195" i="2"/>
  <c r="P194" i="2"/>
  <c r="K194" i="2"/>
  <c r="L194" i="2" s="1"/>
  <c r="O194" i="2" s="1"/>
  <c r="H194" i="2"/>
  <c r="P193" i="2"/>
  <c r="K193" i="2"/>
  <c r="L193" i="2" s="1"/>
  <c r="O193" i="2" s="1"/>
  <c r="H193" i="2"/>
  <c r="P192" i="2"/>
  <c r="K192" i="2"/>
  <c r="L192" i="2" s="1"/>
  <c r="O192" i="2" s="1"/>
  <c r="H192" i="2"/>
  <c r="P191" i="2"/>
  <c r="K191" i="2"/>
  <c r="L191" i="2" s="1"/>
  <c r="O191" i="2" s="1"/>
  <c r="H191" i="2"/>
  <c r="P190" i="2"/>
  <c r="K190" i="2"/>
  <c r="L190" i="2" s="1"/>
  <c r="O190" i="2" s="1"/>
  <c r="H190" i="2"/>
  <c r="P189" i="2"/>
  <c r="K189" i="2"/>
  <c r="L189" i="2" s="1"/>
  <c r="O189" i="2" s="1"/>
  <c r="H189" i="2"/>
  <c r="P188" i="2"/>
  <c r="L188" i="2"/>
  <c r="O188" i="2" s="1"/>
  <c r="K188" i="2"/>
  <c r="H188" i="2"/>
  <c r="P187" i="2"/>
  <c r="K187" i="2"/>
  <c r="L187" i="2" s="1"/>
  <c r="O187" i="2" s="1"/>
  <c r="H187" i="2"/>
  <c r="P186" i="2"/>
  <c r="K186" i="2"/>
  <c r="L186" i="2" s="1"/>
  <c r="O186" i="2" s="1"/>
  <c r="H186" i="2"/>
  <c r="P185" i="2"/>
  <c r="L185" i="2"/>
  <c r="O185" i="2" s="1"/>
  <c r="K185" i="2"/>
  <c r="H185" i="2"/>
  <c r="P184" i="2"/>
  <c r="L184" i="2"/>
  <c r="O184" i="2" s="1"/>
  <c r="K184" i="2"/>
  <c r="H184" i="2"/>
  <c r="P183" i="2"/>
  <c r="K183" i="2"/>
  <c r="L183" i="2" s="1"/>
  <c r="O183" i="2" s="1"/>
  <c r="H183" i="2"/>
  <c r="P182" i="2"/>
  <c r="K182" i="2"/>
  <c r="L182" i="2" s="1"/>
  <c r="O182" i="2" s="1"/>
  <c r="H182" i="2"/>
  <c r="P181" i="2"/>
  <c r="K181" i="2"/>
  <c r="L181" i="2" s="1"/>
  <c r="O181" i="2" s="1"/>
  <c r="H181" i="2"/>
  <c r="P180" i="2"/>
  <c r="K180" i="2"/>
  <c r="L180" i="2" s="1"/>
  <c r="O180" i="2" s="1"/>
  <c r="H180" i="2"/>
  <c r="P179" i="2"/>
  <c r="L179" i="2"/>
  <c r="O179" i="2" s="1"/>
  <c r="K179" i="2"/>
  <c r="H179" i="2"/>
  <c r="P178" i="2"/>
  <c r="K178" i="2"/>
  <c r="L178" i="2" s="1"/>
  <c r="O178" i="2" s="1"/>
  <c r="H178" i="2"/>
  <c r="P177" i="2"/>
  <c r="K177" i="2"/>
  <c r="L177" i="2" s="1"/>
  <c r="O177" i="2" s="1"/>
  <c r="H177" i="2"/>
  <c r="P176" i="2"/>
  <c r="K176" i="2"/>
  <c r="L176" i="2" s="1"/>
  <c r="O176" i="2" s="1"/>
  <c r="H176" i="2"/>
  <c r="P175" i="2"/>
  <c r="L175" i="2"/>
  <c r="O175" i="2" s="1"/>
  <c r="K175" i="2"/>
  <c r="H175" i="2"/>
  <c r="P174" i="2"/>
  <c r="K174" i="2"/>
  <c r="L174" i="2" s="1"/>
  <c r="O174" i="2" s="1"/>
  <c r="H174" i="2"/>
  <c r="P173" i="2"/>
  <c r="K173" i="2"/>
  <c r="L173" i="2" s="1"/>
  <c r="O173" i="2" s="1"/>
  <c r="H173" i="2"/>
  <c r="P172" i="2"/>
  <c r="K172" i="2"/>
  <c r="L172" i="2" s="1"/>
  <c r="O172" i="2" s="1"/>
  <c r="H172" i="2"/>
  <c r="P171" i="2"/>
  <c r="O171" i="2"/>
  <c r="L171" i="2"/>
  <c r="K171" i="2"/>
  <c r="H171" i="2"/>
  <c r="P170" i="2"/>
  <c r="L170" i="2"/>
  <c r="O170" i="2" s="1"/>
  <c r="K170" i="2"/>
  <c r="H170" i="2"/>
  <c r="P169" i="2"/>
  <c r="K169" i="2"/>
  <c r="L169" i="2" s="1"/>
  <c r="O169" i="2" s="1"/>
  <c r="H169" i="2"/>
  <c r="P168" i="2"/>
  <c r="O168" i="2"/>
  <c r="L87" i="1" s="1"/>
  <c r="K168" i="2"/>
  <c r="L168" i="2" s="1"/>
  <c r="H168" i="2"/>
  <c r="P167" i="2"/>
  <c r="K167" i="2"/>
  <c r="L167" i="2" s="1"/>
  <c r="O167" i="2" s="1"/>
  <c r="H167" i="2"/>
  <c r="P166" i="2"/>
  <c r="K166" i="2"/>
  <c r="L166" i="2" s="1"/>
  <c r="O166" i="2" s="1"/>
  <c r="H166" i="2"/>
  <c r="P165" i="2"/>
  <c r="K165" i="2"/>
  <c r="L165" i="2" s="1"/>
  <c r="O165" i="2" s="1"/>
  <c r="H165" i="2"/>
  <c r="P164" i="2"/>
  <c r="K164" i="2"/>
  <c r="L164" i="2" s="1"/>
  <c r="O164" i="2" s="1"/>
  <c r="H164" i="2"/>
  <c r="P163" i="2"/>
  <c r="K163" i="2"/>
  <c r="L163" i="2" s="1"/>
  <c r="O163" i="2" s="1"/>
  <c r="H163" i="2"/>
  <c r="P162" i="2"/>
  <c r="K162" i="2"/>
  <c r="L162" i="2" s="1"/>
  <c r="O162" i="2" s="1"/>
  <c r="H162" i="2"/>
  <c r="P161" i="2"/>
  <c r="K161" i="2"/>
  <c r="L161" i="2" s="1"/>
  <c r="O161" i="2" s="1"/>
  <c r="H161" i="2"/>
  <c r="P160" i="2"/>
  <c r="K160" i="2"/>
  <c r="L160" i="2" s="1"/>
  <c r="O160" i="2" s="1"/>
  <c r="H160" i="2"/>
  <c r="P159" i="2"/>
  <c r="K159" i="2"/>
  <c r="L159" i="2" s="1"/>
  <c r="O159" i="2" s="1"/>
  <c r="H159" i="2"/>
  <c r="P158" i="2"/>
  <c r="L158" i="2"/>
  <c r="O158" i="2" s="1"/>
  <c r="K158" i="2"/>
  <c r="H158" i="2"/>
  <c r="P157" i="2"/>
  <c r="K157" i="2"/>
  <c r="L157" i="2" s="1"/>
  <c r="O157" i="2" s="1"/>
  <c r="H157" i="2"/>
  <c r="P156" i="2"/>
  <c r="K156" i="2"/>
  <c r="L156" i="2" s="1"/>
  <c r="O156" i="2" s="1"/>
  <c r="H156" i="2"/>
  <c r="P155" i="2"/>
  <c r="O155" i="2"/>
  <c r="K155" i="2"/>
  <c r="L155" i="2" s="1"/>
  <c r="H155" i="2"/>
  <c r="P154" i="2"/>
  <c r="O154" i="2"/>
  <c r="K154" i="2"/>
  <c r="L154" i="2" s="1"/>
  <c r="H154" i="2"/>
  <c r="P153" i="2"/>
  <c r="K153" i="2"/>
  <c r="L153" i="2" s="1"/>
  <c r="O153" i="2" s="1"/>
  <c r="H153" i="2"/>
  <c r="P152" i="2"/>
  <c r="K152" i="2"/>
  <c r="L152" i="2" s="1"/>
  <c r="O152" i="2" s="1"/>
  <c r="H152" i="2"/>
  <c r="P151" i="2"/>
  <c r="L151" i="2"/>
  <c r="O151" i="2" s="1"/>
  <c r="K151" i="2"/>
  <c r="H151" i="2"/>
  <c r="P150" i="2"/>
  <c r="K150" i="2"/>
  <c r="L150" i="2" s="1"/>
  <c r="O150" i="2" s="1"/>
  <c r="H150" i="2"/>
  <c r="P149" i="2"/>
  <c r="K149" i="2"/>
  <c r="L149" i="2" s="1"/>
  <c r="O149" i="2" s="1"/>
  <c r="H149" i="2"/>
  <c r="P148" i="2"/>
  <c r="K148" i="2"/>
  <c r="L148" i="2" s="1"/>
  <c r="O148" i="2" s="1"/>
  <c r="H148" i="2"/>
  <c r="P147" i="2"/>
  <c r="L147" i="2"/>
  <c r="O147" i="2" s="1"/>
  <c r="K147" i="2"/>
  <c r="H147" i="2"/>
  <c r="P146" i="2"/>
  <c r="K146" i="2"/>
  <c r="L146" i="2" s="1"/>
  <c r="O146" i="2" s="1"/>
  <c r="H146" i="2"/>
  <c r="P145" i="2"/>
  <c r="K145" i="2"/>
  <c r="L145" i="2" s="1"/>
  <c r="O145" i="2" s="1"/>
  <c r="H145" i="2"/>
  <c r="P144" i="2"/>
  <c r="L144" i="2"/>
  <c r="O144" i="2" s="1"/>
  <c r="K144" i="2"/>
  <c r="H144" i="2"/>
  <c r="P143" i="2"/>
  <c r="K143" i="2"/>
  <c r="L143" i="2" s="1"/>
  <c r="O143" i="2" s="1"/>
  <c r="H143" i="2"/>
  <c r="P142" i="2"/>
  <c r="L142" i="2"/>
  <c r="O142" i="2" s="1"/>
  <c r="K142" i="2"/>
  <c r="H142" i="2"/>
  <c r="P141" i="2"/>
  <c r="K141" i="2"/>
  <c r="L141" i="2" s="1"/>
  <c r="O141" i="2" s="1"/>
  <c r="H141" i="2"/>
  <c r="P140" i="2"/>
  <c r="K140" i="2"/>
  <c r="L140" i="2" s="1"/>
  <c r="O140" i="2" s="1"/>
  <c r="H140" i="2"/>
  <c r="P139" i="2"/>
  <c r="K139" i="2"/>
  <c r="L139" i="2" s="1"/>
  <c r="O139" i="2" s="1"/>
  <c r="H139" i="2"/>
  <c r="P138" i="2"/>
  <c r="K138" i="2"/>
  <c r="L138" i="2" s="1"/>
  <c r="O138" i="2" s="1"/>
  <c r="H138" i="2"/>
  <c r="P137" i="2"/>
  <c r="K137" i="2"/>
  <c r="L137" i="2" s="1"/>
  <c r="O137" i="2" s="1"/>
  <c r="H137" i="2"/>
  <c r="P136" i="2"/>
  <c r="L136" i="2"/>
  <c r="O136" i="2" s="1"/>
  <c r="K136" i="2"/>
  <c r="H136" i="2"/>
  <c r="P135" i="2"/>
  <c r="K135" i="2"/>
  <c r="L135" i="2" s="1"/>
  <c r="O135" i="2" s="1"/>
  <c r="H135" i="2"/>
  <c r="P134" i="2"/>
  <c r="K134" i="2"/>
  <c r="L134" i="2" s="1"/>
  <c r="O134" i="2" s="1"/>
  <c r="H134" i="2"/>
  <c r="P133" i="2"/>
  <c r="K133" i="2"/>
  <c r="L133" i="2" s="1"/>
  <c r="O133" i="2" s="1"/>
  <c r="H133" i="2"/>
  <c r="P132" i="2"/>
  <c r="L132" i="2"/>
  <c r="O132" i="2" s="1"/>
  <c r="K132" i="2"/>
  <c r="H132" i="2"/>
  <c r="P131" i="2"/>
  <c r="K131" i="2"/>
  <c r="L131" i="2" s="1"/>
  <c r="O131" i="2" s="1"/>
  <c r="H131" i="2"/>
  <c r="P130" i="2"/>
  <c r="K130" i="2"/>
  <c r="L130" i="2" s="1"/>
  <c r="O130" i="2" s="1"/>
  <c r="H130" i="2"/>
  <c r="P129" i="2"/>
  <c r="M136" i="1" s="1"/>
  <c r="K129" i="2"/>
  <c r="L129" i="2" s="1"/>
  <c r="O129" i="2" s="1"/>
  <c r="H129" i="2"/>
  <c r="P128" i="2"/>
  <c r="K128" i="2"/>
  <c r="L128" i="2" s="1"/>
  <c r="O128" i="2" s="1"/>
  <c r="H128" i="2"/>
  <c r="P127" i="2"/>
  <c r="K127" i="2"/>
  <c r="L127" i="2" s="1"/>
  <c r="O127" i="2" s="1"/>
  <c r="H127" i="2"/>
  <c r="P126" i="2"/>
  <c r="K126" i="2"/>
  <c r="L126" i="2" s="1"/>
  <c r="O126" i="2" s="1"/>
  <c r="H126" i="2"/>
  <c r="P125" i="2"/>
  <c r="M77" i="1" s="1"/>
  <c r="K125" i="2"/>
  <c r="L125" i="2" s="1"/>
  <c r="O125" i="2" s="1"/>
  <c r="H125" i="2"/>
  <c r="P124" i="2"/>
  <c r="K124" i="2"/>
  <c r="L124" i="2" s="1"/>
  <c r="O124" i="2" s="1"/>
  <c r="H124" i="2"/>
  <c r="P123" i="2"/>
  <c r="L123" i="2"/>
  <c r="O123" i="2" s="1"/>
  <c r="K123" i="2"/>
  <c r="H123" i="2"/>
  <c r="P122" i="2"/>
  <c r="K122" i="2"/>
  <c r="L122" i="2" s="1"/>
  <c r="O122" i="2" s="1"/>
  <c r="H122" i="2"/>
  <c r="P121" i="2"/>
  <c r="K121" i="2"/>
  <c r="L121" i="2" s="1"/>
  <c r="O121" i="2" s="1"/>
  <c r="L125" i="1" s="1"/>
  <c r="H121" i="2"/>
  <c r="P120" i="2"/>
  <c r="K120" i="2"/>
  <c r="L120" i="2" s="1"/>
  <c r="O120" i="2" s="1"/>
  <c r="H120" i="2"/>
  <c r="P119" i="2"/>
  <c r="K119" i="2"/>
  <c r="L119" i="2" s="1"/>
  <c r="O119" i="2" s="1"/>
  <c r="H119" i="2"/>
  <c r="P118" i="2"/>
  <c r="L118" i="2"/>
  <c r="O118" i="2" s="1"/>
  <c r="K118" i="2"/>
  <c r="H118" i="2"/>
  <c r="P117" i="2"/>
  <c r="K117" i="2"/>
  <c r="L117" i="2" s="1"/>
  <c r="O117" i="2" s="1"/>
  <c r="L94" i="1" s="1"/>
  <c r="H117" i="2"/>
  <c r="P116" i="2"/>
  <c r="L116" i="2"/>
  <c r="O116" i="2" s="1"/>
  <c r="K116" i="2"/>
  <c r="H116" i="2"/>
  <c r="P115" i="2"/>
  <c r="L115" i="2"/>
  <c r="O115" i="2" s="1"/>
  <c r="K115" i="2"/>
  <c r="H115" i="2"/>
  <c r="P114" i="2"/>
  <c r="K114" i="2"/>
  <c r="L114" i="2" s="1"/>
  <c r="O114" i="2" s="1"/>
  <c r="H114" i="2"/>
  <c r="P113" i="2"/>
  <c r="O113" i="2"/>
  <c r="L113" i="2"/>
  <c r="K113" i="2"/>
  <c r="H113" i="2"/>
  <c r="P112" i="2"/>
  <c r="K112" i="2"/>
  <c r="L112" i="2" s="1"/>
  <c r="O112" i="2" s="1"/>
  <c r="H112" i="2"/>
  <c r="P111" i="2"/>
  <c r="K111" i="2"/>
  <c r="L111" i="2" s="1"/>
  <c r="O111" i="2" s="1"/>
  <c r="H111" i="2"/>
  <c r="P110" i="2"/>
  <c r="M213" i="1" s="1"/>
  <c r="K110" i="2"/>
  <c r="L110" i="2" s="1"/>
  <c r="O110" i="2" s="1"/>
  <c r="H110" i="2"/>
  <c r="P109" i="2"/>
  <c r="L109" i="2"/>
  <c r="O109" i="2" s="1"/>
  <c r="K109" i="2"/>
  <c r="H109" i="2"/>
  <c r="P108" i="2"/>
  <c r="K108" i="2"/>
  <c r="L108" i="2" s="1"/>
  <c r="O108" i="2" s="1"/>
  <c r="H108" i="2"/>
  <c r="P107" i="2"/>
  <c r="K107" i="2"/>
  <c r="L107" i="2" s="1"/>
  <c r="O107" i="2" s="1"/>
  <c r="H107" i="2"/>
  <c r="P106" i="2"/>
  <c r="K106" i="2"/>
  <c r="L106" i="2" s="1"/>
  <c r="O106" i="2" s="1"/>
  <c r="H106" i="2"/>
  <c r="P105" i="2"/>
  <c r="K105" i="2"/>
  <c r="L105" i="2" s="1"/>
  <c r="O105" i="2" s="1"/>
  <c r="H105" i="2"/>
  <c r="P104" i="2"/>
  <c r="K104" i="2"/>
  <c r="L104" i="2" s="1"/>
  <c r="O104" i="2" s="1"/>
  <c r="H104" i="2"/>
  <c r="P103" i="2"/>
  <c r="K103" i="2"/>
  <c r="L103" i="2" s="1"/>
  <c r="O103" i="2" s="1"/>
  <c r="H103" i="2"/>
  <c r="P102" i="2"/>
  <c r="M135" i="1" s="1"/>
  <c r="L102" i="2"/>
  <c r="O102" i="2" s="1"/>
  <c r="L135" i="1" s="1"/>
  <c r="K102" i="2"/>
  <c r="H102" i="2"/>
  <c r="P101" i="2"/>
  <c r="K101" i="2"/>
  <c r="L101" i="2" s="1"/>
  <c r="O101" i="2" s="1"/>
  <c r="H101" i="2"/>
  <c r="P100" i="2"/>
  <c r="K100" i="2"/>
  <c r="L100" i="2" s="1"/>
  <c r="O100" i="2" s="1"/>
  <c r="H100" i="2"/>
  <c r="P99" i="2"/>
  <c r="K99" i="2"/>
  <c r="L99" i="2" s="1"/>
  <c r="O99" i="2" s="1"/>
  <c r="H99" i="2"/>
  <c r="P98" i="2"/>
  <c r="K98" i="2"/>
  <c r="L98" i="2" s="1"/>
  <c r="O98" i="2" s="1"/>
  <c r="H98" i="2"/>
  <c r="P97" i="2"/>
  <c r="K97" i="2"/>
  <c r="L97" i="2" s="1"/>
  <c r="O97" i="2" s="1"/>
  <c r="H97" i="2"/>
  <c r="P96" i="2"/>
  <c r="K96" i="2"/>
  <c r="L96" i="2" s="1"/>
  <c r="O96" i="2" s="1"/>
  <c r="H96" i="2"/>
  <c r="P95" i="2"/>
  <c r="K95" i="2"/>
  <c r="L95" i="2" s="1"/>
  <c r="O95" i="2" s="1"/>
  <c r="L100" i="1" s="1"/>
  <c r="H95" i="2"/>
  <c r="P94" i="2"/>
  <c r="K94" i="2"/>
  <c r="L94" i="2" s="1"/>
  <c r="O94" i="2" s="1"/>
  <c r="H94" i="2"/>
  <c r="P93" i="2"/>
  <c r="K93" i="2"/>
  <c r="L93" i="2" s="1"/>
  <c r="O93" i="2" s="1"/>
  <c r="H93" i="2"/>
  <c r="P92" i="2"/>
  <c r="K92" i="2"/>
  <c r="L92" i="2" s="1"/>
  <c r="O92" i="2" s="1"/>
  <c r="H92" i="2"/>
  <c r="P91" i="2"/>
  <c r="K91" i="2"/>
  <c r="L91" i="2" s="1"/>
  <c r="O91" i="2" s="1"/>
  <c r="H91" i="2"/>
  <c r="P90" i="2"/>
  <c r="O90" i="2"/>
  <c r="K90" i="2"/>
  <c r="L90" i="2" s="1"/>
  <c r="H90" i="2"/>
  <c r="P89" i="2"/>
  <c r="K89" i="2"/>
  <c r="L89" i="2" s="1"/>
  <c r="O89" i="2" s="1"/>
  <c r="H89" i="2"/>
  <c r="P88" i="2"/>
  <c r="L88" i="2"/>
  <c r="O88" i="2" s="1"/>
  <c r="K88" i="2"/>
  <c r="H88" i="2"/>
  <c r="P87" i="2"/>
  <c r="K87" i="2"/>
  <c r="L87" i="2" s="1"/>
  <c r="O87" i="2" s="1"/>
  <c r="H87" i="2"/>
  <c r="P86" i="2"/>
  <c r="K86" i="2"/>
  <c r="L86" i="2" s="1"/>
  <c r="O86" i="2" s="1"/>
  <c r="H86" i="2"/>
  <c r="P85" i="2"/>
  <c r="K85" i="2"/>
  <c r="L85" i="2" s="1"/>
  <c r="O85" i="2" s="1"/>
  <c r="H85" i="2"/>
  <c r="P84" i="2"/>
  <c r="K84" i="2"/>
  <c r="L84" i="2" s="1"/>
  <c r="O84" i="2" s="1"/>
  <c r="H84" i="2"/>
  <c r="P83" i="2"/>
  <c r="K83" i="2"/>
  <c r="L83" i="2" s="1"/>
  <c r="O83" i="2" s="1"/>
  <c r="H83" i="2"/>
  <c r="P82" i="2"/>
  <c r="K82" i="2"/>
  <c r="L82" i="2" s="1"/>
  <c r="O82" i="2" s="1"/>
  <c r="H82" i="2"/>
  <c r="P81" i="2"/>
  <c r="K81" i="2"/>
  <c r="L81" i="2" s="1"/>
  <c r="O81" i="2" s="1"/>
  <c r="H81" i="2"/>
  <c r="P80" i="2"/>
  <c r="K80" i="2"/>
  <c r="L80" i="2" s="1"/>
  <c r="O80" i="2" s="1"/>
  <c r="H80" i="2"/>
  <c r="P79" i="2"/>
  <c r="K79" i="2"/>
  <c r="L79" i="2" s="1"/>
  <c r="O79" i="2" s="1"/>
  <c r="H79" i="2"/>
  <c r="P78" i="2"/>
  <c r="K78" i="2"/>
  <c r="L78" i="2" s="1"/>
  <c r="O78" i="2" s="1"/>
  <c r="H78" i="2"/>
  <c r="P77" i="2"/>
  <c r="K77" i="2"/>
  <c r="L77" i="2" s="1"/>
  <c r="O77" i="2" s="1"/>
  <c r="H77" i="2"/>
  <c r="P76" i="2"/>
  <c r="K76" i="2"/>
  <c r="L76" i="2" s="1"/>
  <c r="O76" i="2" s="1"/>
  <c r="L142" i="1" s="1"/>
  <c r="H76" i="2"/>
  <c r="P75" i="2"/>
  <c r="L75" i="2"/>
  <c r="O75" i="2" s="1"/>
  <c r="K75" i="2"/>
  <c r="H75" i="2"/>
  <c r="P74" i="2"/>
  <c r="K74" i="2"/>
  <c r="L74" i="2" s="1"/>
  <c r="O74" i="2" s="1"/>
  <c r="H74" i="2"/>
  <c r="P73" i="2"/>
  <c r="K73" i="2"/>
  <c r="L73" i="2" s="1"/>
  <c r="O73" i="2" s="1"/>
  <c r="H73" i="2"/>
  <c r="P72" i="2"/>
  <c r="M61" i="1" s="1"/>
  <c r="K72" i="2"/>
  <c r="L72" i="2" s="1"/>
  <c r="O72" i="2" s="1"/>
  <c r="H72" i="2"/>
  <c r="P71" i="2"/>
  <c r="K71" i="2"/>
  <c r="L71" i="2" s="1"/>
  <c r="O71" i="2" s="1"/>
  <c r="H71" i="2"/>
  <c r="P70" i="2"/>
  <c r="K70" i="2"/>
  <c r="L70" i="2" s="1"/>
  <c r="O70" i="2" s="1"/>
  <c r="H70" i="2"/>
  <c r="P69" i="2"/>
  <c r="K69" i="2"/>
  <c r="L69" i="2" s="1"/>
  <c r="O69" i="2" s="1"/>
  <c r="H69" i="2"/>
  <c r="P68" i="2"/>
  <c r="K68" i="2"/>
  <c r="L68" i="2" s="1"/>
  <c r="O68" i="2" s="1"/>
  <c r="H68" i="2"/>
  <c r="P67" i="2"/>
  <c r="L67" i="2"/>
  <c r="O67" i="2" s="1"/>
  <c r="K67" i="2"/>
  <c r="H67" i="2"/>
  <c r="P66" i="2"/>
  <c r="K66" i="2"/>
  <c r="L66" i="2" s="1"/>
  <c r="O66" i="2" s="1"/>
  <c r="H66" i="2"/>
  <c r="P65" i="2"/>
  <c r="K65" i="2"/>
  <c r="L65" i="2" s="1"/>
  <c r="O65" i="2" s="1"/>
  <c r="H65" i="2"/>
  <c r="P64" i="2"/>
  <c r="O64" i="2"/>
  <c r="K64" i="2"/>
  <c r="L64" i="2" s="1"/>
  <c r="H64" i="2"/>
  <c r="P63" i="2"/>
  <c r="K63" i="2"/>
  <c r="L63" i="2" s="1"/>
  <c r="O63" i="2" s="1"/>
  <c r="H63" i="2"/>
  <c r="P62" i="2"/>
  <c r="K62" i="2"/>
  <c r="L62" i="2" s="1"/>
  <c r="O62" i="2" s="1"/>
  <c r="H62" i="2"/>
  <c r="P61" i="2"/>
  <c r="L61" i="2"/>
  <c r="O61" i="2" s="1"/>
  <c r="K61" i="2"/>
  <c r="H61" i="2"/>
  <c r="P60" i="2"/>
  <c r="L60" i="2"/>
  <c r="O60" i="2" s="1"/>
  <c r="K60" i="2"/>
  <c r="H60" i="2"/>
  <c r="P59" i="2"/>
  <c r="K59" i="2"/>
  <c r="L59" i="2" s="1"/>
  <c r="O59" i="2" s="1"/>
  <c r="H59" i="2"/>
  <c r="P58" i="2"/>
  <c r="O58" i="2"/>
  <c r="L58" i="2"/>
  <c r="K58" i="2"/>
  <c r="H58" i="2"/>
  <c r="P57" i="2"/>
  <c r="K57" i="2"/>
  <c r="L57" i="2" s="1"/>
  <c r="O57" i="2" s="1"/>
  <c r="H57" i="2"/>
  <c r="P56" i="2"/>
  <c r="K56" i="2"/>
  <c r="L56" i="2" s="1"/>
  <c r="O56" i="2" s="1"/>
  <c r="H56" i="2"/>
  <c r="P55" i="2"/>
  <c r="K55" i="2"/>
  <c r="L55" i="2" s="1"/>
  <c r="O55" i="2" s="1"/>
  <c r="L58" i="1" s="1"/>
  <c r="H55" i="2"/>
  <c r="P54" i="2"/>
  <c r="K54" i="2"/>
  <c r="L54" i="2" s="1"/>
  <c r="O54" i="2" s="1"/>
  <c r="H54" i="2"/>
  <c r="P53" i="2"/>
  <c r="K53" i="2"/>
  <c r="L53" i="2" s="1"/>
  <c r="O53" i="2" s="1"/>
  <c r="H53" i="2"/>
  <c r="P52" i="2"/>
  <c r="K52" i="2"/>
  <c r="L52" i="2" s="1"/>
  <c r="O52" i="2" s="1"/>
  <c r="H52" i="2"/>
  <c r="P51" i="2"/>
  <c r="O51" i="2"/>
  <c r="K51" i="2"/>
  <c r="L51" i="2" s="1"/>
  <c r="H51" i="2"/>
  <c r="P50" i="2"/>
  <c r="K50" i="2"/>
  <c r="L50" i="2" s="1"/>
  <c r="O50" i="2" s="1"/>
  <c r="H50" i="2"/>
  <c r="P49" i="2"/>
  <c r="K49" i="2"/>
  <c r="L49" i="2" s="1"/>
  <c r="O49" i="2" s="1"/>
  <c r="H49" i="2"/>
  <c r="P48" i="2"/>
  <c r="K48" i="2"/>
  <c r="L48" i="2" s="1"/>
  <c r="O48" i="2" s="1"/>
  <c r="H48" i="2"/>
  <c r="P47" i="2"/>
  <c r="K47" i="2"/>
  <c r="L47" i="2" s="1"/>
  <c r="O47" i="2" s="1"/>
  <c r="H47" i="2"/>
  <c r="P46" i="2"/>
  <c r="K46" i="2"/>
  <c r="L46" i="2" s="1"/>
  <c r="O46" i="2" s="1"/>
  <c r="L97" i="1" s="1"/>
  <c r="H46" i="2"/>
  <c r="P45" i="2"/>
  <c r="L45" i="2"/>
  <c r="O45" i="2" s="1"/>
  <c r="K45" i="2"/>
  <c r="H45" i="2"/>
  <c r="P44" i="2"/>
  <c r="L44" i="2"/>
  <c r="O44" i="2" s="1"/>
  <c r="K44" i="2"/>
  <c r="H44" i="2"/>
  <c r="P43" i="2"/>
  <c r="K43" i="2"/>
  <c r="L43" i="2" s="1"/>
  <c r="O43" i="2" s="1"/>
  <c r="H43" i="2"/>
  <c r="P42" i="2"/>
  <c r="L42" i="2"/>
  <c r="O42" i="2" s="1"/>
  <c r="K42" i="2"/>
  <c r="H42" i="2"/>
  <c r="P41" i="2"/>
  <c r="K41" i="2"/>
  <c r="L41" i="2" s="1"/>
  <c r="O41" i="2" s="1"/>
  <c r="H41" i="2"/>
  <c r="P40" i="2"/>
  <c r="K40" i="2"/>
  <c r="L40" i="2" s="1"/>
  <c r="O40" i="2" s="1"/>
  <c r="H40" i="2"/>
  <c r="P39" i="2"/>
  <c r="K39" i="2"/>
  <c r="L39" i="2" s="1"/>
  <c r="O39" i="2" s="1"/>
  <c r="H39" i="2"/>
  <c r="P38" i="2"/>
  <c r="K38" i="2"/>
  <c r="L38" i="2" s="1"/>
  <c r="O38" i="2" s="1"/>
  <c r="H38" i="2"/>
  <c r="P37" i="2"/>
  <c r="L37" i="2"/>
  <c r="O37" i="2" s="1"/>
  <c r="K37" i="2"/>
  <c r="H37" i="2"/>
  <c r="P36" i="2"/>
  <c r="K36" i="2"/>
  <c r="L36" i="2" s="1"/>
  <c r="O36" i="2" s="1"/>
  <c r="H36" i="2"/>
  <c r="P35" i="2"/>
  <c r="K35" i="2"/>
  <c r="L35" i="2" s="1"/>
  <c r="O35" i="2" s="1"/>
  <c r="H35" i="2"/>
  <c r="P34" i="2"/>
  <c r="K34" i="2"/>
  <c r="L34" i="2" s="1"/>
  <c r="O34" i="2" s="1"/>
  <c r="H34" i="2"/>
  <c r="P33" i="2"/>
  <c r="K33" i="2"/>
  <c r="L33" i="2" s="1"/>
  <c r="O33" i="2" s="1"/>
  <c r="H33" i="2"/>
  <c r="P32" i="2"/>
  <c r="O32" i="2"/>
  <c r="K32" i="2"/>
  <c r="L32" i="2" s="1"/>
  <c r="H32" i="2"/>
  <c r="P31" i="2"/>
  <c r="K31" i="2"/>
  <c r="L31" i="2" s="1"/>
  <c r="O31" i="2" s="1"/>
  <c r="L12" i="1" s="1"/>
  <c r="H31" i="2"/>
  <c r="P30" i="2"/>
  <c r="O30" i="2"/>
  <c r="K30" i="2"/>
  <c r="L30" i="2" s="1"/>
  <c r="H30" i="2"/>
  <c r="P29" i="2"/>
  <c r="K29" i="2"/>
  <c r="L29" i="2" s="1"/>
  <c r="O29" i="2" s="1"/>
  <c r="H29" i="2"/>
  <c r="P28" i="2"/>
  <c r="K28" i="2"/>
  <c r="L28" i="2" s="1"/>
  <c r="O28" i="2" s="1"/>
  <c r="H28" i="2"/>
  <c r="P27" i="2"/>
  <c r="K27" i="2"/>
  <c r="L27" i="2" s="1"/>
  <c r="O27" i="2" s="1"/>
  <c r="H27" i="2"/>
  <c r="P26" i="2"/>
  <c r="K26" i="2"/>
  <c r="L26" i="2" s="1"/>
  <c r="O26" i="2" s="1"/>
  <c r="L43" i="1" s="1"/>
  <c r="Z43" i="1" s="1"/>
  <c r="H26" i="2"/>
  <c r="P25" i="2"/>
  <c r="K25" i="2"/>
  <c r="L25" i="2" s="1"/>
  <c r="O25" i="2" s="1"/>
  <c r="H25" i="2"/>
  <c r="P24" i="2"/>
  <c r="K24" i="2"/>
  <c r="L24" i="2" s="1"/>
  <c r="O24" i="2" s="1"/>
  <c r="H24" i="2"/>
  <c r="P23" i="2"/>
  <c r="K23" i="2"/>
  <c r="L23" i="2" s="1"/>
  <c r="O23" i="2" s="1"/>
  <c r="H23" i="2"/>
  <c r="P22" i="2"/>
  <c r="K22" i="2"/>
  <c r="L22" i="2" s="1"/>
  <c r="O22" i="2" s="1"/>
  <c r="H22" i="2"/>
  <c r="P21" i="2"/>
  <c r="K21" i="2"/>
  <c r="L21" i="2" s="1"/>
  <c r="O21" i="2" s="1"/>
  <c r="H21" i="2"/>
  <c r="P20" i="2"/>
  <c r="K20" i="2"/>
  <c r="L20" i="2" s="1"/>
  <c r="O20" i="2" s="1"/>
  <c r="H20" i="2"/>
  <c r="P19" i="2"/>
  <c r="K19" i="2"/>
  <c r="L19" i="2" s="1"/>
  <c r="O19" i="2" s="1"/>
  <c r="H19" i="2"/>
  <c r="P18" i="2"/>
  <c r="K18" i="2"/>
  <c r="L18" i="2" s="1"/>
  <c r="O18" i="2" s="1"/>
  <c r="H18" i="2"/>
  <c r="P17" i="2"/>
  <c r="K17" i="2"/>
  <c r="L17" i="2" s="1"/>
  <c r="O17" i="2" s="1"/>
  <c r="H17" i="2"/>
  <c r="P16" i="2"/>
  <c r="M76" i="1" s="1"/>
  <c r="K16" i="2"/>
  <c r="L16" i="2" s="1"/>
  <c r="O16" i="2" s="1"/>
  <c r="H16" i="2"/>
  <c r="P15" i="2"/>
  <c r="L15" i="2"/>
  <c r="O15" i="2" s="1"/>
  <c r="K15" i="2"/>
  <c r="H15" i="2"/>
  <c r="P14" i="2"/>
  <c r="K14" i="2"/>
  <c r="L14" i="2" s="1"/>
  <c r="O14" i="2" s="1"/>
  <c r="H14" i="2"/>
  <c r="P13" i="2"/>
  <c r="K13" i="2"/>
  <c r="L13" i="2" s="1"/>
  <c r="O13" i="2" s="1"/>
  <c r="H13" i="2"/>
  <c r="P12" i="2"/>
  <c r="L12" i="2"/>
  <c r="O12" i="2" s="1"/>
  <c r="K12" i="2"/>
  <c r="H12" i="2"/>
  <c r="P11" i="2"/>
  <c r="K11" i="2"/>
  <c r="L11" i="2" s="1"/>
  <c r="O11" i="2" s="1"/>
  <c r="H11" i="2"/>
  <c r="P10" i="2"/>
  <c r="K10" i="2"/>
  <c r="L10" i="2" s="1"/>
  <c r="O10" i="2" s="1"/>
  <c r="H10" i="2"/>
  <c r="P9" i="2"/>
  <c r="L9" i="2"/>
  <c r="O9" i="2" s="1"/>
  <c r="K9" i="2"/>
  <c r="H9" i="2"/>
  <c r="P8" i="2"/>
  <c r="M7" i="1" s="1"/>
  <c r="K8" i="2"/>
  <c r="L8" i="2" s="1"/>
  <c r="O8" i="2" s="1"/>
  <c r="L7" i="1" s="1"/>
  <c r="H8" i="2"/>
  <c r="P7" i="2"/>
  <c r="K7" i="2"/>
  <c r="L7" i="2" s="1"/>
  <c r="O7" i="2" s="1"/>
  <c r="H7" i="2"/>
  <c r="P6" i="2"/>
  <c r="K6" i="2"/>
  <c r="L6" i="2" s="1"/>
  <c r="O6" i="2" s="1"/>
  <c r="H6" i="2"/>
  <c r="P5" i="2"/>
  <c r="L5" i="2"/>
  <c r="O5" i="2" s="1"/>
  <c r="K5" i="2"/>
  <c r="H5" i="2"/>
  <c r="P4" i="2"/>
  <c r="K4" i="2"/>
  <c r="L4" i="2" s="1"/>
  <c r="O4" i="2" s="1"/>
  <c r="H4" i="2"/>
  <c r="P3" i="2"/>
  <c r="K3" i="2"/>
  <c r="L3" i="2" s="1"/>
  <c r="O3" i="2" s="1"/>
  <c r="H3" i="2"/>
  <c r="P2" i="2"/>
  <c r="K2" i="2"/>
  <c r="L2" i="2" s="1"/>
  <c r="O2" i="2" s="1"/>
  <c r="H2" i="2"/>
  <c r="AM266" i="1"/>
  <c r="AL266" i="1"/>
  <c r="I266" i="1" s="1"/>
  <c r="V266" i="1"/>
  <c r="L266" i="1"/>
  <c r="C266" i="1"/>
  <c r="AN266" i="1" s="1"/>
  <c r="AM265" i="1"/>
  <c r="AL265" i="1"/>
  <c r="U265" i="1" s="1"/>
  <c r="AM264" i="1"/>
  <c r="AL264" i="1"/>
  <c r="I264" i="1" s="1"/>
  <c r="J264" i="1" s="1"/>
  <c r="V264" i="1"/>
  <c r="U264" i="1"/>
  <c r="M264" i="1"/>
  <c r="L264" i="1"/>
  <c r="E264" i="1"/>
  <c r="C264" i="1"/>
  <c r="AN264" i="1" s="1"/>
  <c r="AM263" i="1"/>
  <c r="AL263" i="1"/>
  <c r="V263" i="1"/>
  <c r="AM262" i="1"/>
  <c r="AL262" i="1"/>
  <c r="M262" i="1" s="1"/>
  <c r="AM261" i="1"/>
  <c r="AL261" i="1"/>
  <c r="E261" i="1"/>
  <c r="C261" i="1"/>
  <c r="AN261" i="1" s="1"/>
  <c r="AM260" i="1"/>
  <c r="AL260" i="1"/>
  <c r="U260" i="1" s="1"/>
  <c r="C260" i="1"/>
  <c r="AN260" i="1" s="1"/>
  <c r="AM259" i="1"/>
  <c r="AL259" i="1"/>
  <c r="L259" i="1" s="1"/>
  <c r="M259" i="1"/>
  <c r="AM258" i="1"/>
  <c r="AL258" i="1"/>
  <c r="V258" i="1" s="1"/>
  <c r="E258" i="1"/>
  <c r="AM257" i="1"/>
  <c r="AL257" i="1"/>
  <c r="U257" i="1" s="1"/>
  <c r="C257" i="1"/>
  <c r="AN257" i="1" s="1"/>
  <c r="AM256" i="1"/>
  <c r="AL256" i="1"/>
  <c r="U256" i="1"/>
  <c r="M256" i="1"/>
  <c r="N256" i="1" s="1"/>
  <c r="L256" i="1"/>
  <c r="AM255" i="1"/>
  <c r="AL255" i="1"/>
  <c r="V255" i="1"/>
  <c r="AM254" i="1"/>
  <c r="AL254" i="1"/>
  <c r="AM253" i="1"/>
  <c r="AL253" i="1"/>
  <c r="AM252" i="1"/>
  <c r="AL252" i="1"/>
  <c r="AM251" i="1"/>
  <c r="AL251" i="1"/>
  <c r="M251" i="1" s="1"/>
  <c r="AM250" i="1"/>
  <c r="AL250" i="1"/>
  <c r="V250" i="1" s="1"/>
  <c r="M250" i="1"/>
  <c r="L250" i="1"/>
  <c r="AM249" i="1"/>
  <c r="AL249" i="1"/>
  <c r="M249" i="1" s="1"/>
  <c r="I249" i="1"/>
  <c r="J249" i="1" s="1"/>
  <c r="E249" i="1"/>
  <c r="AM248" i="1"/>
  <c r="AL248" i="1"/>
  <c r="E248" i="1"/>
  <c r="AM247" i="1"/>
  <c r="AL247" i="1"/>
  <c r="AM246" i="1"/>
  <c r="AL246" i="1"/>
  <c r="C246" i="1" s="1"/>
  <c r="AN246" i="1" s="1"/>
  <c r="M246" i="1"/>
  <c r="E246" i="1"/>
  <c r="AM245" i="1"/>
  <c r="AL245" i="1"/>
  <c r="U245" i="1" s="1"/>
  <c r="L245" i="1"/>
  <c r="E245" i="1"/>
  <c r="AM244" i="1"/>
  <c r="AL244" i="1"/>
  <c r="V244" i="1" s="1"/>
  <c r="AM243" i="1"/>
  <c r="AL243" i="1"/>
  <c r="V243" i="1" s="1"/>
  <c r="U243" i="1"/>
  <c r="M243" i="1"/>
  <c r="L243" i="1"/>
  <c r="I243" i="1"/>
  <c r="J243" i="1" s="1"/>
  <c r="C243" i="1"/>
  <c r="AN243" i="1" s="1"/>
  <c r="AM242" i="1"/>
  <c r="AL242" i="1"/>
  <c r="AM241" i="1"/>
  <c r="AL241" i="1"/>
  <c r="AM240" i="1"/>
  <c r="AL240" i="1"/>
  <c r="AM239" i="1"/>
  <c r="AL239" i="1"/>
  <c r="V239" i="1" s="1"/>
  <c r="AM238" i="1"/>
  <c r="AL238" i="1"/>
  <c r="M238" i="1"/>
  <c r="L238" i="1"/>
  <c r="AM237" i="1"/>
  <c r="AL237" i="1"/>
  <c r="M237" i="1" s="1"/>
  <c r="V237" i="1"/>
  <c r="U237" i="1"/>
  <c r="I237" i="1"/>
  <c r="J237" i="1" s="1"/>
  <c r="E237" i="1"/>
  <c r="C237" i="1"/>
  <c r="AN237" i="1" s="1"/>
  <c r="AM236" i="1"/>
  <c r="AL236" i="1"/>
  <c r="AM235" i="1"/>
  <c r="AL235" i="1"/>
  <c r="V235" i="1"/>
  <c r="M235" i="1"/>
  <c r="AM234" i="1"/>
  <c r="AL234" i="1"/>
  <c r="V234" i="1"/>
  <c r="U234" i="1"/>
  <c r="M234" i="1"/>
  <c r="L234" i="1"/>
  <c r="I234" i="1"/>
  <c r="E234" i="1"/>
  <c r="C234" i="1"/>
  <c r="AN234" i="1" s="1"/>
  <c r="AM233" i="1"/>
  <c r="AL233" i="1"/>
  <c r="L233" i="1"/>
  <c r="AM232" i="1"/>
  <c r="AL232" i="1"/>
  <c r="V232" i="1" s="1"/>
  <c r="C232" i="1"/>
  <c r="AN232" i="1" s="1"/>
  <c r="AM231" i="1"/>
  <c r="AL231" i="1"/>
  <c r="I231" i="1" s="1"/>
  <c r="AM230" i="1"/>
  <c r="AL230" i="1"/>
  <c r="V230" i="1"/>
  <c r="U230" i="1"/>
  <c r="M230" i="1"/>
  <c r="I230" i="1"/>
  <c r="J230" i="1" s="1"/>
  <c r="E230" i="1"/>
  <c r="C230" i="1"/>
  <c r="AN230" i="1" s="1"/>
  <c r="AM229" i="1"/>
  <c r="AL229" i="1"/>
  <c r="E229" i="1"/>
  <c r="AM228" i="1"/>
  <c r="AL228" i="1"/>
  <c r="C228" i="1"/>
  <c r="AN228" i="1" s="1"/>
  <c r="AM227" i="1"/>
  <c r="AL227" i="1"/>
  <c r="U227" i="1" s="1"/>
  <c r="V227" i="1"/>
  <c r="AM226" i="1"/>
  <c r="AL226" i="1"/>
  <c r="V226" i="1"/>
  <c r="U226" i="1"/>
  <c r="L226" i="1"/>
  <c r="AM225" i="1"/>
  <c r="AL225" i="1"/>
  <c r="E225" i="1" s="1"/>
  <c r="V225" i="1"/>
  <c r="U225" i="1"/>
  <c r="L225" i="1"/>
  <c r="C225" i="1"/>
  <c r="AN225" i="1" s="1"/>
  <c r="AM224" i="1"/>
  <c r="AL224" i="1"/>
  <c r="V224" i="1"/>
  <c r="U224" i="1"/>
  <c r="M224" i="1"/>
  <c r="I224" i="1"/>
  <c r="J224" i="1" s="1"/>
  <c r="E224" i="1"/>
  <c r="C224" i="1"/>
  <c r="AN224" i="1" s="1"/>
  <c r="AM223" i="1"/>
  <c r="AL223" i="1"/>
  <c r="U223" i="1" s="1"/>
  <c r="V223" i="1"/>
  <c r="E223" i="1"/>
  <c r="C223" i="1"/>
  <c r="AN223" i="1" s="1"/>
  <c r="AM222" i="1"/>
  <c r="AL222" i="1"/>
  <c r="V222" i="1"/>
  <c r="U222" i="1"/>
  <c r="E222" i="1"/>
  <c r="C222" i="1"/>
  <c r="AN222" i="1" s="1"/>
  <c r="AM221" i="1"/>
  <c r="AL221" i="1"/>
  <c r="C221" i="1" s="1"/>
  <c r="AN221" i="1" s="1"/>
  <c r="I221" i="1"/>
  <c r="J221" i="1" s="1"/>
  <c r="E221" i="1"/>
  <c r="AM220" i="1"/>
  <c r="AL220" i="1"/>
  <c r="V220" i="1"/>
  <c r="AM219" i="1"/>
  <c r="AL219" i="1"/>
  <c r="I219" i="1" s="1"/>
  <c r="J219" i="1" s="1"/>
  <c r="V219" i="1"/>
  <c r="M219" i="1"/>
  <c r="C219" i="1"/>
  <c r="AN219" i="1" s="1"/>
  <c r="AM218" i="1"/>
  <c r="AL218" i="1"/>
  <c r="V218" i="1"/>
  <c r="U218" i="1"/>
  <c r="I218" i="1"/>
  <c r="J218" i="1" s="1"/>
  <c r="E218" i="1"/>
  <c r="C218" i="1"/>
  <c r="AN218" i="1" s="1"/>
  <c r="AM217" i="1"/>
  <c r="AL217" i="1"/>
  <c r="I217" i="1" s="1"/>
  <c r="U217" i="1"/>
  <c r="M217" i="1"/>
  <c r="L217" i="1"/>
  <c r="Z217" i="1" s="1"/>
  <c r="AM216" i="1"/>
  <c r="AL216" i="1"/>
  <c r="E216" i="1" s="1"/>
  <c r="AM215" i="1"/>
  <c r="AL215" i="1"/>
  <c r="AM214" i="1"/>
  <c r="AL214" i="1"/>
  <c r="V214" i="1"/>
  <c r="U214" i="1"/>
  <c r="AM213" i="1"/>
  <c r="AL213" i="1"/>
  <c r="E213" i="1"/>
  <c r="AM212" i="1"/>
  <c r="AL212" i="1"/>
  <c r="I212" i="1"/>
  <c r="E212" i="1"/>
  <c r="AM211" i="1"/>
  <c r="AL211" i="1"/>
  <c r="AM210" i="1"/>
  <c r="AL210" i="1"/>
  <c r="AM209" i="1"/>
  <c r="AL209" i="1"/>
  <c r="V209" i="1" s="1"/>
  <c r="C209" i="1"/>
  <c r="AN209" i="1" s="1"/>
  <c r="AM208" i="1"/>
  <c r="AL208" i="1"/>
  <c r="AM207" i="1"/>
  <c r="AL207" i="1"/>
  <c r="AM206" i="1"/>
  <c r="AL206" i="1"/>
  <c r="U206" i="1" s="1"/>
  <c r="E206" i="1"/>
  <c r="AM205" i="1"/>
  <c r="AL205" i="1"/>
  <c r="U205" i="1" s="1"/>
  <c r="L205" i="1"/>
  <c r="E205" i="1"/>
  <c r="AM204" i="1"/>
  <c r="AL204" i="1"/>
  <c r="M204" i="1"/>
  <c r="AN203" i="1"/>
  <c r="AM203" i="1"/>
  <c r="AL203" i="1"/>
  <c r="V203" i="1"/>
  <c r="U203" i="1"/>
  <c r="M203" i="1"/>
  <c r="L203" i="1"/>
  <c r="I203" i="1"/>
  <c r="J203" i="1" s="1"/>
  <c r="E203" i="1"/>
  <c r="C203" i="1"/>
  <c r="AM202" i="1"/>
  <c r="AL202" i="1"/>
  <c r="I202" i="1" s="1"/>
  <c r="L202" i="1"/>
  <c r="AM201" i="1"/>
  <c r="AL201" i="1"/>
  <c r="U201" i="1" s="1"/>
  <c r="AM200" i="1"/>
  <c r="AL200" i="1"/>
  <c r="I200" i="1" s="1"/>
  <c r="J200" i="1" s="1"/>
  <c r="AM199" i="1"/>
  <c r="AL199" i="1"/>
  <c r="AM198" i="1"/>
  <c r="AL198" i="1"/>
  <c r="AM197" i="1"/>
  <c r="AL197" i="1"/>
  <c r="C197" i="1" s="1"/>
  <c r="AN197" i="1" s="1"/>
  <c r="V197" i="1"/>
  <c r="AM196" i="1"/>
  <c r="AL196" i="1"/>
  <c r="M196" i="1" s="1"/>
  <c r="L196" i="1"/>
  <c r="I196" i="1"/>
  <c r="C196" i="1"/>
  <c r="AN196" i="1" s="1"/>
  <c r="AM195" i="1"/>
  <c r="AL195" i="1"/>
  <c r="I195" i="1" s="1"/>
  <c r="J195" i="1" s="1"/>
  <c r="L195" i="1"/>
  <c r="AM194" i="1"/>
  <c r="AL194" i="1"/>
  <c r="V194" i="1" s="1"/>
  <c r="U194" i="1"/>
  <c r="E194" i="1"/>
  <c r="AM193" i="1"/>
  <c r="AL193" i="1"/>
  <c r="U193" i="1" s="1"/>
  <c r="M193" i="1"/>
  <c r="L193" i="1"/>
  <c r="AN192" i="1"/>
  <c r="AM192" i="1"/>
  <c r="AL192" i="1"/>
  <c r="V192" i="1" s="1"/>
  <c r="U192" i="1"/>
  <c r="L192" i="1"/>
  <c r="I192" i="1"/>
  <c r="E192" i="1"/>
  <c r="C192" i="1"/>
  <c r="AM191" i="1"/>
  <c r="AL191" i="1"/>
  <c r="V191" i="1" s="1"/>
  <c r="E191" i="1"/>
  <c r="AM190" i="1"/>
  <c r="AL190" i="1"/>
  <c r="AM189" i="1"/>
  <c r="AL189" i="1"/>
  <c r="Z189" i="1" s="1"/>
  <c r="U189" i="1"/>
  <c r="M189" i="1"/>
  <c r="O189" i="1" s="1"/>
  <c r="L189" i="1"/>
  <c r="C189" i="1"/>
  <c r="AN189" i="1" s="1"/>
  <c r="AM188" i="1"/>
  <c r="AL188" i="1"/>
  <c r="V188" i="1" s="1"/>
  <c r="AM187" i="1"/>
  <c r="AL187" i="1"/>
  <c r="U187" i="1"/>
  <c r="M187" i="1"/>
  <c r="I187" i="1"/>
  <c r="C187" i="1"/>
  <c r="AN187" i="1" s="1"/>
  <c r="AM186" i="1"/>
  <c r="AL186" i="1"/>
  <c r="V186" i="1" s="1"/>
  <c r="U186" i="1"/>
  <c r="M186" i="1"/>
  <c r="AM185" i="1"/>
  <c r="AL185" i="1"/>
  <c r="U185" i="1" s="1"/>
  <c r="M185" i="1"/>
  <c r="L185" i="1"/>
  <c r="C185" i="1"/>
  <c r="AN185" i="1" s="1"/>
  <c r="AM184" i="1"/>
  <c r="AL184" i="1"/>
  <c r="E184" i="1" s="1"/>
  <c r="M184" i="1"/>
  <c r="L184" i="1"/>
  <c r="I184" i="1"/>
  <c r="J184" i="1" s="1"/>
  <c r="C184" i="1"/>
  <c r="AN184" i="1" s="1"/>
  <c r="AM183" i="1"/>
  <c r="AL183" i="1"/>
  <c r="V183" i="1" s="1"/>
  <c r="U183" i="1"/>
  <c r="M183" i="1"/>
  <c r="L183" i="1"/>
  <c r="R183" i="1" s="1"/>
  <c r="I183" i="1"/>
  <c r="J183" i="1" s="1"/>
  <c r="E183" i="1"/>
  <c r="C183" i="1"/>
  <c r="AN183" i="1" s="1"/>
  <c r="AM182" i="1"/>
  <c r="AL182" i="1"/>
  <c r="I182" i="1"/>
  <c r="J182" i="1" s="1"/>
  <c r="C182" i="1"/>
  <c r="AN182" i="1" s="1"/>
  <c r="AM181" i="1"/>
  <c r="AL181" i="1"/>
  <c r="C181" i="1" s="1"/>
  <c r="AN181" i="1" s="1"/>
  <c r="M181" i="1"/>
  <c r="N181" i="1" s="1"/>
  <c r="L181" i="1"/>
  <c r="I181" i="1"/>
  <c r="AM180" i="1"/>
  <c r="AL180" i="1"/>
  <c r="V180" i="1"/>
  <c r="AM179" i="1"/>
  <c r="AL179" i="1"/>
  <c r="L179" i="1" s="1"/>
  <c r="AM178" i="1"/>
  <c r="AL178" i="1"/>
  <c r="AM177" i="1"/>
  <c r="AL177" i="1"/>
  <c r="V177" i="1"/>
  <c r="AM176" i="1"/>
  <c r="AL176" i="1"/>
  <c r="U176" i="1" s="1"/>
  <c r="AM175" i="1"/>
  <c r="AL175" i="1"/>
  <c r="C175" i="1"/>
  <c r="AN175" i="1" s="1"/>
  <c r="AM174" i="1"/>
  <c r="AL174" i="1"/>
  <c r="V174" i="1" s="1"/>
  <c r="U174" i="1"/>
  <c r="L174" i="1"/>
  <c r="I174" i="1"/>
  <c r="C174" i="1"/>
  <c r="AN174" i="1" s="1"/>
  <c r="AM173" i="1"/>
  <c r="AL173" i="1"/>
  <c r="V173" i="1" s="1"/>
  <c r="U173" i="1"/>
  <c r="E173" i="1"/>
  <c r="C173" i="1"/>
  <c r="AN173" i="1" s="1"/>
  <c r="AM172" i="1"/>
  <c r="AL172" i="1"/>
  <c r="L172" i="1" s="1"/>
  <c r="I172" i="1"/>
  <c r="J172" i="1" s="1"/>
  <c r="C172" i="1"/>
  <c r="AN172" i="1" s="1"/>
  <c r="AM171" i="1"/>
  <c r="AL171" i="1"/>
  <c r="I171" i="1" s="1"/>
  <c r="AM170" i="1"/>
  <c r="AL170" i="1"/>
  <c r="U170" i="1" s="1"/>
  <c r="AM169" i="1"/>
  <c r="AL169" i="1"/>
  <c r="AM168" i="1"/>
  <c r="AL168" i="1"/>
  <c r="M168" i="1"/>
  <c r="L168" i="1"/>
  <c r="S168" i="1" s="1"/>
  <c r="E168" i="1"/>
  <c r="C168" i="1"/>
  <c r="AN168" i="1" s="1"/>
  <c r="AN167" i="1"/>
  <c r="AM167" i="1"/>
  <c r="AL167" i="1"/>
  <c r="I167" i="1" s="1"/>
  <c r="U167" i="1"/>
  <c r="M167" i="1"/>
  <c r="Z167" i="1" s="1"/>
  <c r="L167" i="1"/>
  <c r="C167" i="1"/>
  <c r="AM166" i="1"/>
  <c r="AL166" i="1"/>
  <c r="U166" i="1"/>
  <c r="I166" i="1"/>
  <c r="E166" i="1"/>
  <c r="AM165" i="1"/>
  <c r="AL165" i="1"/>
  <c r="L165" i="1"/>
  <c r="I165" i="1"/>
  <c r="AM164" i="1"/>
  <c r="AL164" i="1"/>
  <c r="U164" i="1" s="1"/>
  <c r="AM163" i="1"/>
  <c r="AL163" i="1"/>
  <c r="M163" i="1"/>
  <c r="O163" i="1" s="1"/>
  <c r="L163" i="1"/>
  <c r="N163" i="1" s="1"/>
  <c r="E163" i="1"/>
  <c r="AM162" i="1"/>
  <c r="AL162" i="1"/>
  <c r="C162" i="1"/>
  <c r="AN162" i="1" s="1"/>
  <c r="AM161" i="1"/>
  <c r="AL161" i="1"/>
  <c r="M161" i="1"/>
  <c r="I161" i="1"/>
  <c r="C161" i="1"/>
  <c r="AN161" i="1" s="1"/>
  <c r="AM160" i="1"/>
  <c r="AL160" i="1"/>
  <c r="V160" i="1" s="1"/>
  <c r="M160" i="1"/>
  <c r="N160" i="1" s="1"/>
  <c r="L160" i="1"/>
  <c r="AM159" i="1"/>
  <c r="AL159" i="1"/>
  <c r="I159" i="1"/>
  <c r="J159" i="1" s="1"/>
  <c r="AM158" i="1"/>
  <c r="AL158" i="1"/>
  <c r="V158" i="1"/>
  <c r="L158" i="1"/>
  <c r="E158" i="1"/>
  <c r="AM157" i="1"/>
  <c r="AL157" i="1"/>
  <c r="AM156" i="1"/>
  <c r="AL156" i="1"/>
  <c r="C156" i="1" s="1"/>
  <c r="AN156" i="1" s="1"/>
  <c r="AM155" i="1"/>
  <c r="AL155" i="1"/>
  <c r="AM154" i="1"/>
  <c r="AL154" i="1"/>
  <c r="U154" i="1"/>
  <c r="I154" i="1"/>
  <c r="J154" i="1" s="1"/>
  <c r="C154" i="1"/>
  <c r="AN154" i="1" s="1"/>
  <c r="AM153" i="1"/>
  <c r="AL153" i="1"/>
  <c r="V153" i="1" s="1"/>
  <c r="AM152" i="1"/>
  <c r="AL152" i="1"/>
  <c r="U152" i="1"/>
  <c r="AM151" i="1"/>
  <c r="AL151" i="1"/>
  <c r="U151" i="1"/>
  <c r="AM150" i="1"/>
  <c r="AL150" i="1"/>
  <c r="V150" i="1"/>
  <c r="U150" i="1"/>
  <c r="M150" i="1"/>
  <c r="I150" i="1"/>
  <c r="E150" i="1"/>
  <c r="C150" i="1"/>
  <c r="AN150" i="1" s="1"/>
  <c r="AM149" i="1"/>
  <c r="AL149" i="1"/>
  <c r="AM148" i="1"/>
  <c r="AL148" i="1"/>
  <c r="AM147" i="1"/>
  <c r="AL147" i="1"/>
  <c r="E147" i="1"/>
  <c r="C147" i="1"/>
  <c r="AN147" i="1" s="1"/>
  <c r="AM146" i="1"/>
  <c r="AL146" i="1"/>
  <c r="M146" i="1" s="1"/>
  <c r="U146" i="1"/>
  <c r="AM145" i="1"/>
  <c r="AL145" i="1"/>
  <c r="M145" i="1" s="1"/>
  <c r="V145" i="1"/>
  <c r="L145" i="1"/>
  <c r="I145" i="1"/>
  <c r="AM144" i="1"/>
  <c r="AL144" i="1"/>
  <c r="V144" i="1" s="1"/>
  <c r="L144" i="1"/>
  <c r="E144" i="1"/>
  <c r="AM143" i="1"/>
  <c r="AL143" i="1"/>
  <c r="AM142" i="1"/>
  <c r="AL142" i="1"/>
  <c r="I142" i="1" s="1"/>
  <c r="V142" i="1"/>
  <c r="M142" i="1"/>
  <c r="AM141" i="1"/>
  <c r="AL141" i="1"/>
  <c r="M141" i="1"/>
  <c r="AM140" i="1"/>
  <c r="AL140" i="1"/>
  <c r="U140" i="1" s="1"/>
  <c r="E140" i="1"/>
  <c r="AM139" i="1"/>
  <c r="AL139" i="1"/>
  <c r="U139" i="1"/>
  <c r="I139" i="1"/>
  <c r="E139" i="1"/>
  <c r="AN138" i="1"/>
  <c r="AM138" i="1"/>
  <c r="AL138" i="1"/>
  <c r="C138" i="1" s="1"/>
  <c r="V138" i="1"/>
  <c r="I138" i="1"/>
  <c r="J138" i="1" s="1"/>
  <c r="E138" i="1"/>
  <c r="AM137" i="1"/>
  <c r="AL137" i="1"/>
  <c r="C137" i="1" s="1"/>
  <c r="AN137" i="1" s="1"/>
  <c r="AM136" i="1"/>
  <c r="AL136" i="1"/>
  <c r="E136" i="1" s="1"/>
  <c r="U136" i="1"/>
  <c r="C136" i="1"/>
  <c r="AN136" i="1" s="1"/>
  <c r="AM135" i="1"/>
  <c r="AL135" i="1"/>
  <c r="E135" i="1"/>
  <c r="AM134" i="1"/>
  <c r="AL134" i="1"/>
  <c r="U134" i="1"/>
  <c r="L134" i="1"/>
  <c r="I134" i="1"/>
  <c r="E134" i="1"/>
  <c r="C134" i="1"/>
  <c r="AN134" i="1" s="1"/>
  <c r="AM133" i="1"/>
  <c r="AL133" i="1"/>
  <c r="AM132" i="1"/>
  <c r="AL132" i="1"/>
  <c r="V132" i="1"/>
  <c r="AM131" i="1"/>
  <c r="AL131" i="1"/>
  <c r="U131" i="1" s="1"/>
  <c r="V131" i="1"/>
  <c r="AM130" i="1"/>
  <c r="AL130" i="1"/>
  <c r="C130" i="1"/>
  <c r="AN130" i="1" s="1"/>
  <c r="AN129" i="1"/>
  <c r="AM129" i="1"/>
  <c r="AL129" i="1"/>
  <c r="V129" i="1"/>
  <c r="U129" i="1"/>
  <c r="M129" i="1"/>
  <c r="R129" i="1" s="1"/>
  <c r="L129" i="1"/>
  <c r="I129" i="1"/>
  <c r="E129" i="1"/>
  <c r="C129" i="1"/>
  <c r="AM128" i="1"/>
  <c r="AL128" i="1"/>
  <c r="L128" i="1"/>
  <c r="I128" i="1"/>
  <c r="AM127" i="1"/>
  <c r="AL127" i="1"/>
  <c r="AM126" i="1"/>
  <c r="AL126" i="1"/>
  <c r="AM125" i="1"/>
  <c r="AL125" i="1"/>
  <c r="C125" i="1" s="1"/>
  <c r="AN125" i="1" s="1"/>
  <c r="U125" i="1"/>
  <c r="AM124" i="1"/>
  <c r="AL124" i="1"/>
  <c r="V124" i="1"/>
  <c r="U124" i="1"/>
  <c r="L124" i="1"/>
  <c r="AM123" i="1"/>
  <c r="AL123" i="1"/>
  <c r="L123" i="1" s="1"/>
  <c r="I123" i="1"/>
  <c r="E123" i="1"/>
  <c r="C123" i="1"/>
  <c r="AN123" i="1" s="1"/>
  <c r="AM122" i="1"/>
  <c r="AL122" i="1"/>
  <c r="U122" i="1"/>
  <c r="M122" i="1"/>
  <c r="I122" i="1"/>
  <c r="E122" i="1"/>
  <c r="AM121" i="1"/>
  <c r="AL121" i="1"/>
  <c r="M121" i="1"/>
  <c r="L121" i="1"/>
  <c r="X121" i="1" s="1"/>
  <c r="I121" i="1"/>
  <c r="C121" i="1"/>
  <c r="AN121" i="1" s="1"/>
  <c r="AM120" i="1"/>
  <c r="AL120" i="1"/>
  <c r="E120" i="1" s="1"/>
  <c r="L120" i="1"/>
  <c r="AM119" i="1"/>
  <c r="AL119" i="1"/>
  <c r="M119" i="1" s="1"/>
  <c r="V119" i="1"/>
  <c r="U119" i="1"/>
  <c r="AM118" i="1"/>
  <c r="AL118" i="1"/>
  <c r="V118" i="1"/>
  <c r="U118" i="1"/>
  <c r="M118" i="1"/>
  <c r="Z118" i="1" s="1"/>
  <c r="L118" i="1"/>
  <c r="I118" i="1"/>
  <c r="E118" i="1"/>
  <c r="C118" i="1"/>
  <c r="AN118" i="1" s="1"/>
  <c r="AM117" i="1"/>
  <c r="AL117" i="1"/>
  <c r="AM116" i="1"/>
  <c r="AL116" i="1"/>
  <c r="AM115" i="1"/>
  <c r="AL115" i="1"/>
  <c r="V115" i="1"/>
  <c r="U115" i="1"/>
  <c r="M115" i="1"/>
  <c r="L115" i="1"/>
  <c r="E115" i="1"/>
  <c r="AM114" i="1"/>
  <c r="AL114" i="1"/>
  <c r="V114" i="1"/>
  <c r="C114" i="1"/>
  <c r="AN114" i="1" s="1"/>
  <c r="AM113" i="1"/>
  <c r="AL113" i="1"/>
  <c r="L113" i="1" s="1"/>
  <c r="V113" i="1"/>
  <c r="U113" i="1"/>
  <c r="M113" i="1"/>
  <c r="I113" i="1"/>
  <c r="E113" i="1"/>
  <c r="AM112" i="1"/>
  <c r="AL112" i="1"/>
  <c r="V112" i="1" s="1"/>
  <c r="U112" i="1"/>
  <c r="I112" i="1"/>
  <c r="E112" i="1"/>
  <c r="AM111" i="1"/>
  <c r="AL111" i="1"/>
  <c r="AM110" i="1"/>
  <c r="AL110" i="1"/>
  <c r="L110" i="1"/>
  <c r="AM109" i="1"/>
  <c r="AL109" i="1"/>
  <c r="U109" i="1" s="1"/>
  <c r="AM108" i="1"/>
  <c r="AL108" i="1"/>
  <c r="V108" i="1"/>
  <c r="L108" i="1"/>
  <c r="E108" i="1"/>
  <c r="C108" i="1"/>
  <c r="AN108" i="1" s="1"/>
  <c r="AM107" i="1"/>
  <c r="AL107" i="1"/>
  <c r="U107" i="1" s="1"/>
  <c r="V107" i="1"/>
  <c r="AM106" i="1"/>
  <c r="AL106" i="1"/>
  <c r="U106" i="1"/>
  <c r="L106" i="1"/>
  <c r="E106" i="1"/>
  <c r="C106" i="1"/>
  <c r="AN106" i="1" s="1"/>
  <c r="AM105" i="1"/>
  <c r="AL105" i="1"/>
  <c r="M105" i="1" s="1"/>
  <c r="AM104" i="1"/>
  <c r="AL104" i="1"/>
  <c r="M104" i="1"/>
  <c r="Z104" i="1" s="1"/>
  <c r="L104" i="1"/>
  <c r="I104" i="1"/>
  <c r="E104" i="1"/>
  <c r="AM103" i="1"/>
  <c r="AL103" i="1"/>
  <c r="AM102" i="1"/>
  <c r="AL102" i="1"/>
  <c r="AN101" i="1"/>
  <c r="AM101" i="1"/>
  <c r="AL101" i="1"/>
  <c r="U101" i="1"/>
  <c r="C101" i="1"/>
  <c r="AM100" i="1"/>
  <c r="AL100" i="1"/>
  <c r="V100" i="1" s="1"/>
  <c r="M100" i="1"/>
  <c r="C100" i="1"/>
  <c r="AN100" i="1" s="1"/>
  <c r="AM99" i="1"/>
  <c r="AL99" i="1"/>
  <c r="I99" i="1" s="1"/>
  <c r="AM98" i="1"/>
  <c r="AL98" i="1"/>
  <c r="AM97" i="1"/>
  <c r="AL97" i="1"/>
  <c r="U97" i="1"/>
  <c r="M97" i="1"/>
  <c r="E97" i="1"/>
  <c r="AM96" i="1"/>
  <c r="AL96" i="1"/>
  <c r="M96" i="1"/>
  <c r="L96" i="1"/>
  <c r="I96" i="1"/>
  <c r="AM95" i="1"/>
  <c r="AL95" i="1"/>
  <c r="AM94" i="1"/>
  <c r="AL94" i="1"/>
  <c r="M94" i="1" s="1"/>
  <c r="U94" i="1"/>
  <c r="I94" i="1"/>
  <c r="AM93" i="1"/>
  <c r="AL93" i="1"/>
  <c r="E93" i="1"/>
  <c r="AM92" i="1"/>
  <c r="AL92" i="1"/>
  <c r="V92" i="1"/>
  <c r="I92" i="1"/>
  <c r="E92" i="1"/>
  <c r="AM91" i="1"/>
  <c r="AL91" i="1"/>
  <c r="AM90" i="1"/>
  <c r="AL90" i="1"/>
  <c r="U90" i="1"/>
  <c r="M90" i="1"/>
  <c r="L90" i="1"/>
  <c r="I90" i="1"/>
  <c r="E90" i="1"/>
  <c r="AM89" i="1"/>
  <c r="AL89" i="1"/>
  <c r="AM88" i="1"/>
  <c r="AL88" i="1"/>
  <c r="U88" i="1"/>
  <c r="L88" i="1"/>
  <c r="I88" i="1"/>
  <c r="E88" i="1"/>
  <c r="C88" i="1"/>
  <c r="AN88" i="1" s="1"/>
  <c r="AM87" i="1"/>
  <c r="AL87" i="1"/>
  <c r="V87" i="1"/>
  <c r="I87" i="1"/>
  <c r="C87" i="1"/>
  <c r="AN87" i="1" s="1"/>
  <c r="AM86" i="1"/>
  <c r="AL86" i="1"/>
  <c r="M86" i="1"/>
  <c r="C86" i="1"/>
  <c r="AN86" i="1" s="1"/>
  <c r="AM85" i="1"/>
  <c r="AL85" i="1"/>
  <c r="M85" i="1" s="1"/>
  <c r="AM84" i="1"/>
  <c r="AL84" i="1"/>
  <c r="V84" i="1" s="1"/>
  <c r="U84" i="1"/>
  <c r="L84" i="1"/>
  <c r="E84" i="1"/>
  <c r="AM83" i="1"/>
  <c r="AL83" i="1"/>
  <c r="V83" i="1" s="1"/>
  <c r="E83" i="1"/>
  <c r="AM82" i="1"/>
  <c r="AL82" i="1"/>
  <c r="U82" i="1" s="1"/>
  <c r="V82" i="1"/>
  <c r="M82" i="1"/>
  <c r="L82" i="1"/>
  <c r="I82" i="1"/>
  <c r="E82" i="1"/>
  <c r="C82" i="1"/>
  <c r="AN82" i="1" s="1"/>
  <c r="AM81" i="1"/>
  <c r="AL81" i="1"/>
  <c r="I81" i="1"/>
  <c r="E81" i="1"/>
  <c r="AM80" i="1"/>
  <c r="AL80" i="1"/>
  <c r="I80" i="1" s="1"/>
  <c r="V80" i="1"/>
  <c r="U80" i="1"/>
  <c r="E80" i="1"/>
  <c r="C80" i="1"/>
  <c r="AN80" i="1" s="1"/>
  <c r="AM79" i="1"/>
  <c r="AL79" i="1"/>
  <c r="AM78" i="1"/>
  <c r="AL78" i="1"/>
  <c r="AM77" i="1"/>
  <c r="AL77" i="1"/>
  <c r="U77" i="1" s="1"/>
  <c r="E77" i="1"/>
  <c r="C77" i="1"/>
  <c r="AN77" i="1" s="1"/>
  <c r="AM76" i="1"/>
  <c r="AL76" i="1"/>
  <c r="V76" i="1"/>
  <c r="U76" i="1"/>
  <c r="E76" i="1"/>
  <c r="C76" i="1"/>
  <c r="AN76" i="1" s="1"/>
  <c r="AM75" i="1"/>
  <c r="AL75" i="1"/>
  <c r="V75" i="1"/>
  <c r="U75" i="1"/>
  <c r="M75" i="1"/>
  <c r="L75" i="1"/>
  <c r="E75" i="1"/>
  <c r="C75" i="1"/>
  <c r="AN75" i="1" s="1"/>
  <c r="AM74" i="1"/>
  <c r="AL74" i="1"/>
  <c r="C74" i="1" s="1"/>
  <c r="AN74" i="1" s="1"/>
  <c r="V74" i="1"/>
  <c r="U74" i="1"/>
  <c r="AM73" i="1"/>
  <c r="AL73" i="1"/>
  <c r="V73" i="1" s="1"/>
  <c r="U73" i="1"/>
  <c r="M73" i="1"/>
  <c r="T73" i="1" s="1"/>
  <c r="L73" i="1"/>
  <c r="E73" i="1"/>
  <c r="AM72" i="1"/>
  <c r="AL72" i="1"/>
  <c r="V72" i="1"/>
  <c r="I72" i="1"/>
  <c r="C72" i="1"/>
  <c r="AN72" i="1" s="1"/>
  <c r="AM71" i="1"/>
  <c r="AL71" i="1"/>
  <c r="C71" i="1" s="1"/>
  <c r="AN71" i="1" s="1"/>
  <c r="V71" i="1"/>
  <c r="I71" i="1"/>
  <c r="E71" i="1"/>
  <c r="AM70" i="1"/>
  <c r="AL70" i="1"/>
  <c r="M70" i="1" s="1"/>
  <c r="L70" i="1"/>
  <c r="AM69" i="1"/>
  <c r="AL69" i="1"/>
  <c r="V69" i="1"/>
  <c r="U69" i="1"/>
  <c r="M69" i="1"/>
  <c r="L69" i="1"/>
  <c r="I69" i="1"/>
  <c r="E69" i="1"/>
  <c r="AM68" i="1"/>
  <c r="AL68" i="1"/>
  <c r="M68" i="1"/>
  <c r="Q68" i="1" s="1"/>
  <c r="L68" i="1"/>
  <c r="I68" i="1"/>
  <c r="AM67" i="1"/>
  <c r="AL67" i="1"/>
  <c r="M67" i="1"/>
  <c r="L67" i="1"/>
  <c r="O67" i="1" s="1"/>
  <c r="AM66" i="1"/>
  <c r="AL66" i="1"/>
  <c r="AM65" i="1"/>
  <c r="AL65" i="1"/>
  <c r="V65" i="1"/>
  <c r="M65" i="1"/>
  <c r="L65" i="1"/>
  <c r="AM64" i="1"/>
  <c r="AL64" i="1"/>
  <c r="L64" i="1" s="1"/>
  <c r="V64" i="1"/>
  <c r="M64" i="1"/>
  <c r="I64" i="1"/>
  <c r="C64" i="1"/>
  <c r="AN64" i="1" s="1"/>
  <c r="AM63" i="1"/>
  <c r="AL63" i="1"/>
  <c r="AM62" i="1"/>
  <c r="AL62" i="1"/>
  <c r="U62" i="1" s="1"/>
  <c r="V62" i="1"/>
  <c r="AM61" i="1"/>
  <c r="AL61" i="1"/>
  <c r="E61" i="1"/>
  <c r="AM60" i="1"/>
  <c r="AL60" i="1"/>
  <c r="V60" i="1" s="1"/>
  <c r="U60" i="1"/>
  <c r="E60" i="1"/>
  <c r="C60" i="1"/>
  <c r="AN60" i="1" s="1"/>
  <c r="AM59" i="1"/>
  <c r="AL59" i="1"/>
  <c r="U59" i="1" s="1"/>
  <c r="AM58" i="1"/>
  <c r="AL58" i="1"/>
  <c r="U58" i="1"/>
  <c r="M58" i="1"/>
  <c r="I58" i="1"/>
  <c r="E58" i="1"/>
  <c r="C58" i="1"/>
  <c r="AN58" i="1" s="1"/>
  <c r="AM57" i="1"/>
  <c r="AL57" i="1"/>
  <c r="L57" i="1"/>
  <c r="I57" i="1"/>
  <c r="C57" i="1"/>
  <c r="AN57" i="1" s="1"/>
  <c r="AM56" i="1"/>
  <c r="AL56" i="1"/>
  <c r="AM55" i="1"/>
  <c r="AL55" i="1"/>
  <c r="V55" i="1"/>
  <c r="U55" i="1"/>
  <c r="E55" i="1"/>
  <c r="AM54" i="1"/>
  <c r="AL54" i="1"/>
  <c r="U54" i="1" s="1"/>
  <c r="AM53" i="1"/>
  <c r="AL53" i="1"/>
  <c r="X53" i="1" s="1"/>
  <c r="V53" i="1"/>
  <c r="U53" i="1"/>
  <c r="M53" i="1"/>
  <c r="L53" i="1"/>
  <c r="N53" i="1" s="1"/>
  <c r="E53" i="1"/>
  <c r="AM52" i="1"/>
  <c r="AL52" i="1"/>
  <c r="M52" i="1" s="1"/>
  <c r="I52" i="1"/>
  <c r="AM51" i="1"/>
  <c r="AL51" i="1"/>
  <c r="V51" i="1" s="1"/>
  <c r="U51" i="1"/>
  <c r="E51" i="1"/>
  <c r="AM50" i="1"/>
  <c r="AL50" i="1"/>
  <c r="C50" i="1" s="1"/>
  <c r="AN50" i="1" s="1"/>
  <c r="V50" i="1"/>
  <c r="E50" i="1"/>
  <c r="AM49" i="1"/>
  <c r="AL49" i="1"/>
  <c r="C49" i="1" s="1"/>
  <c r="AN49" i="1" s="1"/>
  <c r="E49" i="1"/>
  <c r="AM48" i="1"/>
  <c r="AL48" i="1"/>
  <c r="U48" i="1" s="1"/>
  <c r="V48" i="1"/>
  <c r="E48" i="1"/>
  <c r="C48" i="1"/>
  <c r="AN48" i="1" s="1"/>
  <c r="AM47" i="1"/>
  <c r="AL47" i="1"/>
  <c r="V47" i="1" s="1"/>
  <c r="C47" i="1"/>
  <c r="AN47" i="1" s="1"/>
  <c r="AM46" i="1"/>
  <c r="AL46" i="1"/>
  <c r="U46" i="1" s="1"/>
  <c r="V46" i="1"/>
  <c r="AM45" i="1"/>
  <c r="AL45" i="1"/>
  <c r="I45" i="1"/>
  <c r="C45" i="1"/>
  <c r="AN45" i="1" s="1"/>
  <c r="AM44" i="1"/>
  <c r="AL44" i="1"/>
  <c r="V44" i="1"/>
  <c r="U44" i="1"/>
  <c r="M44" i="1"/>
  <c r="E44" i="1"/>
  <c r="C44" i="1"/>
  <c r="AN44" i="1" s="1"/>
  <c r="AM43" i="1"/>
  <c r="AL43" i="1"/>
  <c r="V43" i="1"/>
  <c r="M43" i="1"/>
  <c r="P43" i="1" s="1"/>
  <c r="AM42" i="1"/>
  <c r="AL42" i="1"/>
  <c r="L42" i="1" s="1"/>
  <c r="V42" i="1"/>
  <c r="U42" i="1"/>
  <c r="M42" i="1"/>
  <c r="AM41" i="1"/>
  <c r="AL41" i="1"/>
  <c r="V41" i="1"/>
  <c r="U41" i="1"/>
  <c r="M41" i="1"/>
  <c r="L41" i="1"/>
  <c r="I41" i="1"/>
  <c r="E41" i="1"/>
  <c r="C41" i="1"/>
  <c r="AN41" i="1" s="1"/>
  <c r="AM40" i="1"/>
  <c r="AL40" i="1"/>
  <c r="L40" i="1" s="1"/>
  <c r="AM39" i="1"/>
  <c r="AL39" i="1"/>
  <c r="M39" i="1" s="1"/>
  <c r="V39" i="1"/>
  <c r="I39" i="1"/>
  <c r="AM38" i="1"/>
  <c r="AL38" i="1"/>
  <c r="I38" i="1" s="1"/>
  <c r="M38" i="1"/>
  <c r="L38" i="1"/>
  <c r="AM37" i="1"/>
  <c r="AL37" i="1"/>
  <c r="U37" i="1" s="1"/>
  <c r="L37" i="1"/>
  <c r="I37" i="1"/>
  <c r="E37" i="1"/>
  <c r="AM36" i="1"/>
  <c r="AL36" i="1"/>
  <c r="C36" i="1" s="1"/>
  <c r="AN36" i="1" s="1"/>
  <c r="V36" i="1"/>
  <c r="U36" i="1"/>
  <c r="I36" i="1"/>
  <c r="E36" i="1"/>
  <c r="AM35" i="1"/>
  <c r="AL35" i="1"/>
  <c r="I35" i="1" s="1"/>
  <c r="AM34" i="1"/>
  <c r="AL34" i="1"/>
  <c r="M34" i="1" s="1"/>
  <c r="E34" i="1"/>
  <c r="C34" i="1"/>
  <c r="AN34" i="1" s="1"/>
  <c r="AM33" i="1"/>
  <c r="AL33" i="1"/>
  <c r="L33" i="1" s="1"/>
  <c r="U33" i="1"/>
  <c r="E33" i="1"/>
  <c r="AM32" i="1"/>
  <c r="AL32" i="1"/>
  <c r="U32" i="1" s="1"/>
  <c r="V32" i="1"/>
  <c r="AM31" i="1"/>
  <c r="AL31" i="1"/>
  <c r="M31" i="1" s="1"/>
  <c r="V31" i="1"/>
  <c r="I31" i="1"/>
  <c r="C31" i="1"/>
  <c r="AN31" i="1" s="1"/>
  <c r="AM30" i="1"/>
  <c r="AL30" i="1"/>
  <c r="E30" i="1" s="1"/>
  <c r="V30" i="1"/>
  <c r="U30" i="1"/>
  <c r="M30" i="1"/>
  <c r="C30" i="1"/>
  <c r="AN30" i="1" s="1"/>
  <c r="AM29" i="1"/>
  <c r="AL29" i="1"/>
  <c r="L29" i="1"/>
  <c r="AM28" i="1"/>
  <c r="AL28" i="1"/>
  <c r="V28" i="1"/>
  <c r="U28" i="1"/>
  <c r="L28" i="1"/>
  <c r="E28" i="1"/>
  <c r="AM27" i="1"/>
  <c r="AL27" i="1"/>
  <c r="I27" i="1" s="1"/>
  <c r="V27" i="1"/>
  <c r="U27" i="1"/>
  <c r="M27" i="1"/>
  <c r="L27" i="1"/>
  <c r="E27" i="1"/>
  <c r="C27" i="1"/>
  <c r="AN27" i="1" s="1"/>
  <c r="AN26" i="1"/>
  <c r="AM26" i="1"/>
  <c r="AL26" i="1"/>
  <c r="U26" i="1" s="1"/>
  <c r="V26" i="1"/>
  <c r="M26" i="1"/>
  <c r="L26" i="1"/>
  <c r="I26" i="1"/>
  <c r="C26" i="1"/>
  <c r="AM25" i="1"/>
  <c r="AL25" i="1"/>
  <c r="V25" i="1"/>
  <c r="AM24" i="1"/>
  <c r="AL24" i="1"/>
  <c r="AM23" i="1"/>
  <c r="AL23" i="1"/>
  <c r="M23" i="1"/>
  <c r="L23" i="1"/>
  <c r="AM22" i="1"/>
  <c r="AL22" i="1"/>
  <c r="AM21" i="1"/>
  <c r="AL21" i="1"/>
  <c r="I21" i="1" s="1"/>
  <c r="V21" i="1"/>
  <c r="U21" i="1"/>
  <c r="AM20" i="1"/>
  <c r="AL20" i="1"/>
  <c r="M20" i="1" s="1"/>
  <c r="U20" i="1"/>
  <c r="L20" i="1"/>
  <c r="Z20" i="1" s="1"/>
  <c r="I20" i="1"/>
  <c r="AM19" i="1"/>
  <c r="AL19" i="1"/>
  <c r="AM18" i="1"/>
  <c r="AL18" i="1"/>
  <c r="C18" i="1" s="1"/>
  <c r="AN18" i="1" s="1"/>
  <c r="V18" i="1"/>
  <c r="U18" i="1"/>
  <c r="AM17" i="1"/>
  <c r="AL17" i="1"/>
  <c r="I17" i="1" s="1"/>
  <c r="E17" i="1"/>
  <c r="AM16" i="1"/>
  <c r="AL16" i="1"/>
  <c r="M16" i="1"/>
  <c r="AM15" i="1"/>
  <c r="AL15" i="1"/>
  <c r="V15" i="1" s="1"/>
  <c r="C15" i="1"/>
  <c r="AN15" i="1" s="1"/>
  <c r="AM14" i="1"/>
  <c r="AL14" i="1"/>
  <c r="M14" i="1" s="1"/>
  <c r="U14" i="1"/>
  <c r="AM13" i="1"/>
  <c r="AL13" i="1"/>
  <c r="U13" i="1" s="1"/>
  <c r="M13" i="1"/>
  <c r="R13" i="1" s="1"/>
  <c r="L13" i="1"/>
  <c r="Q13" i="1" s="1"/>
  <c r="AM12" i="1"/>
  <c r="AL12" i="1"/>
  <c r="U12" i="1" s="1"/>
  <c r="V12" i="1"/>
  <c r="M12" i="1"/>
  <c r="I12" i="1"/>
  <c r="C12" i="1"/>
  <c r="AN12" i="1" s="1"/>
  <c r="AM11" i="1"/>
  <c r="AL11" i="1"/>
  <c r="V11" i="1" s="1"/>
  <c r="AM10" i="1"/>
  <c r="AL10" i="1"/>
  <c r="Z10" i="1" s="1"/>
  <c r="Y10" i="1" s="1"/>
  <c r="V10" i="1"/>
  <c r="U10" i="1"/>
  <c r="M10" i="1"/>
  <c r="L10" i="1"/>
  <c r="I10" i="1"/>
  <c r="E10" i="1"/>
  <c r="AM9" i="1"/>
  <c r="AL9" i="1"/>
  <c r="U9" i="1" s="1"/>
  <c r="M9" i="1"/>
  <c r="L9" i="1"/>
  <c r="AM8" i="1"/>
  <c r="AL8" i="1"/>
  <c r="M8" i="1" s="1"/>
  <c r="AM7" i="1"/>
  <c r="AL7" i="1"/>
  <c r="V7" i="1"/>
  <c r="U7" i="1"/>
  <c r="E7" i="1"/>
  <c r="C7" i="1"/>
  <c r="AN7" i="1" s="1"/>
  <c r="AM6" i="1"/>
  <c r="AL6" i="1"/>
  <c r="U6" i="1" s="1"/>
  <c r="AM5" i="1"/>
  <c r="AL5" i="1"/>
  <c r="V5" i="1"/>
  <c r="U5" i="1"/>
  <c r="M5" i="1"/>
  <c r="L5" i="1"/>
  <c r="E5" i="1"/>
  <c r="C5" i="1"/>
  <c r="AN5" i="1" s="1"/>
  <c r="AM4" i="1"/>
  <c r="AL4" i="1"/>
  <c r="L4" i="1" s="1"/>
  <c r="AM3" i="1"/>
  <c r="AL3" i="1"/>
  <c r="V3" i="1"/>
  <c r="U3" i="1"/>
  <c r="E3" i="1"/>
  <c r="C3" i="1"/>
  <c r="AN3" i="1" s="1"/>
  <c r="AM2" i="1"/>
  <c r="AL2" i="1"/>
  <c r="X97" i="1" l="1"/>
  <c r="Z97" i="1"/>
  <c r="P94" i="1"/>
  <c r="R135" i="1"/>
  <c r="S135" i="1"/>
  <c r="P135" i="1"/>
  <c r="O135" i="1"/>
  <c r="N135" i="1"/>
  <c r="N204" i="1"/>
  <c r="O58" i="1"/>
  <c r="I157" i="1"/>
  <c r="V157" i="1"/>
  <c r="U157" i="1"/>
  <c r="M157" i="1"/>
  <c r="Z157" i="1" s="1"/>
  <c r="U143" i="1"/>
  <c r="E143" i="1"/>
  <c r="U220" i="1"/>
  <c r="L220" i="1"/>
  <c r="I220" i="1"/>
  <c r="J220" i="1" s="1"/>
  <c r="E220" i="1"/>
  <c r="C220" i="1"/>
  <c r="AN220" i="1" s="1"/>
  <c r="Z234" i="1"/>
  <c r="Y234" i="1" s="1"/>
  <c r="X234" i="1"/>
  <c r="W234" i="1" s="1"/>
  <c r="P234" i="1"/>
  <c r="O13" i="1"/>
  <c r="U133" i="1"/>
  <c r="M133" i="1"/>
  <c r="S235" i="1"/>
  <c r="E214" i="1"/>
  <c r="M214" i="1"/>
  <c r="S13" i="1"/>
  <c r="N234" i="1"/>
  <c r="S65" i="1"/>
  <c r="I177" i="1"/>
  <c r="J177" i="1" s="1"/>
  <c r="E177" i="1"/>
  <c r="U180" i="1"/>
  <c r="P180" i="1"/>
  <c r="O180" i="1"/>
  <c r="C180" i="1"/>
  <c r="AN180" i="1" s="1"/>
  <c r="V228" i="1"/>
  <c r="U228" i="1"/>
  <c r="M228" i="1"/>
  <c r="E228" i="1"/>
  <c r="E124" i="1"/>
  <c r="C124" i="1"/>
  <c r="AN124" i="1" s="1"/>
  <c r="O160" i="1"/>
  <c r="R100" i="1"/>
  <c r="V256" i="1"/>
  <c r="C256" i="1"/>
  <c r="AN256" i="1" s="1"/>
  <c r="P256" i="1"/>
  <c r="S53" i="1"/>
  <c r="C248" i="1"/>
  <c r="AN248" i="1" s="1"/>
  <c r="U248" i="1"/>
  <c r="L248" i="1"/>
  <c r="I248" i="1"/>
  <c r="J248" i="1" s="1"/>
  <c r="S27" i="1"/>
  <c r="U132" i="1"/>
  <c r="M132" i="1"/>
  <c r="P132" i="1" s="1"/>
  <c r="V163" i="1"/>
  <c r="I163" i="1"/>
  <c r="J163" i="1" s="1"/>
  <c r="U163" i="1"/>
  <c r="C163" i="1"/>
  <c r="AN163" i="1" s="1"/>
  <c r="U215" i="1"/>
  <c r="L215" i="1"/>
  <c r="I215" i="1"/>
  <c r="J215" i="1" s="1"/>
  <c r="C215" i="1"/>
  <c r="AN215" i="1" s="1"/>
  <c r="O234" i="1"/>
  <c r="V13" i="1"/>
  <c r="V33" i="1"/>
  <c r="Z41" i="1"/>
  <c r="L51" i="1"/>
  <c r="Z65" i="1"/>
  <c r="Y65" i="1" s="1"/>
  <c r="Q65" i="1"/>
  <c r="M71" i="1"/>
  <c r="Z71" i="1" s="1"/>
  <c r="R90" i="1"/>
  <c r="P90" i="1"/>
  <c r="P97" i="1"/>
  <c r="L101" i="1"/>
  <c r="V101" i="1"/>
  <c r="Z113" i="1"/>
  <c r="Y113" i="1" s="1"/>
  <c r="R115" i="1"/>
  <c r="I115" i="1"/>
  <c r="U153" i="1"/>
  <c r="V166" i="1"/>
  <c r="M166" i="1"/>
  <c r="I179" i="1"/>
  <c r="J179" i="1" s="1"/>
  <c r="U188" i="1"/>
  <c r="I191" i="1"/>
  <c r="J191" i="1" s="1"/>
  <c r="C205" i="1"/>
  <c r="AN205" i="1" s="1"/>
  <c r="I209" i="1"/>
  <c r="M221" i="1"/>
  <c r="E232" i="1"/>
  <c r="Q234" i="1"/>
  <c r="M239" i="1"/>
  <c r="C249" i="1"/>
  <c r="AN249" i="1" s="1"/>
  <c r="V253" i="1"/>
  <c r="U253" i="1"/>
  <c r="L194" i="1"/>
  <c r="M241" i="1"/>
  <c r="P241" i="1" s="1"/>
  <c r="U241" i="1"/>
  <c r="L241" i="1"/>
  <c r="S241" i="1" s="1"/>
  <c r="X65" i="1"/>
  <c r="Z100" i="1"/>
  <c r="Y100" i="1" s="1"/>
  <c r="Q113" i="1"/>
  <c r="T115" i="1"/>
  <c r="M164" i="1"/>
  <c r="N183" i="1"/>
  <c r="U196" i="1"/>
  <c r="V196" i="1"/>
  <c r="S234" i="1"/>
  <c r="U209" i="1"/>
  <c r="M209" i="1"/>
  <c r="L209" i="1"/>
  <c r="L102" i="1"/>
  <c r="O102" i="1" s="1"/>
  <c r="Z68" i="1"/>
  <c r="C110" i="1"/>
  <c r="AN110" i="1" s="1"/>
  <c r="M110" i="1"/>
  <c r="T13" i="1"/>
  <c r="Z58" i="1"/>
  <c r="M158" i="1"/>
  <c r="O158" i="1" s="1"/>
  <c r="E149" i="1"/>
  <c r="C149" i="1"/>
  <c r="AN149" i="1" s="1"/>
  <c r="E247" i="1"/>
  <c r="M247" i="1"/>
  <c r="I197" i="1"/>
  <c r="J197" i="1" s="1"/>
  <c r="M197" i="1"/>
  <c r="L197" i="1"/>
  <c r="X197" i="1"/>
  <c r="T106" i="1"/>
  <c r="I53" i="1"/>
  <c r="Z53" i="1"/>
  <c r="Y53" i="1" s="1"/>
  <c r="M88" i="1"/>
  <c r="R88" i="1" s="1"/>
  <c r="O88" i="1"/>
  <c r="Z88" i="1"/>
  <c r="V205" i="1"/>
  <c r="M205" i="1"/>
  <c r="M226" i="1"/>
  <c r="I226" i="1"/>
  <c r="J226" i="1" s="1"/>
  <c r="E226" i="1"/>
  <c r="C226" i="1"/>
  <c r="AN226" i="1" s="1"/>
  <c r="Z9" i="1"/>
  <c r="Q115" i="1"/>
  <c r="I204" i="1"/>
  <c r="J204" i="1" s="1"/>
  <c r="L204" i="1"/>
  <c r="U204" i="1"/>
  <c r="T204" i="1"/>
  <c r="S204" i="1"/>
  <c r="R204" i="1"/>
  <c r="U263" i="1"/>
  <c r="M263" i="1"/>
  <c r="N263" i="1" s="1"/>
  <c r="I263" i="1"/>
  <c r="J263" i="1" s="1"/>
  <c r="T5" i="1"/>
  <c r="P235" i="1"/>
  <c r="Z13" i="1"/>
  <c r="Y13" i="1" s="1"/>
  <c r="N43" i="1"/>
  <c r="Q58" i="1"/>
  <c r="C116" i="1"/>
  <c r="AN116" i="1" s="1"/>
  <c r="T142" i="1"/>
  <c r="V88" i="1"/>
  <c r="C102" i="1"/>
  <c r="AN102" i="1" s="1"/>
  <c r="Z27" i="1"/>
  <c r="Y27" i="1" s="1"/>
  <c r="U161" i="1"/>
  <c r="L161" i="1"/>
  <c r="P161" i="1" s="1"/>
  <c r="E197" i="1"/>
  <c r="C6" i="1"/>
  <c r="AN6" i="1" s="1"/>
  <c r="X10" i="1"/>
  <c r="W10" i="1" s="1"/>
  <c r="C14" i="1"/>
  <c r="AN14" i="1" s="1"/>
  <c r="E24" i="1"/>
  <c r="N26" i="1"/>
  <c r="I40" i="1"/>
  <c r="R43" i="1"/>
  <c r="E54" i="1"/>
  <c r="V58" i="1"/>
  <c r="N58" i="1"/>
  <c r="C62" i="1"/>
  <c r="AN62" i="1" s="1"/>
  <c r="I74" i="1"/>
  <c r="C83" i="1"/>
  <c r="AN83" i="1" s="1"/>
  <c r="U87" i="1"/>
  <c r="O97" i="1"/>
  <c r="V97" i="1"/>
  <c r="E101" i="1"/>
  <c r="M102" i="1"/>
  <c r="I109" i="1"/>
  <c r="L116" i="1"/>
  <c r="I132" i="1"/>
  <c r="M134" i="1"/>
  <c r="S134" i="1" s="1"/>
  <c r="V134" i="1"/>
  <c r="L149" i="1"/>
  <c r="L150" i="1"/>
  <c r="Q150" i="1" s="1"/>
  <c r="C157" i="1"/>
  <c r="AN157" i="1" s="1"/>
  <c r="N167" i="1"/>
  <c r="M170" i="1"/>
  <c r="E180" i="1"/>
  <c r="C201" i="1"/>
  <c r="AN201" i="1" s="1"/>
  <c r="I213" i="1"/>
  <c r="X213" i="1"/>
  <c r="V213" i="1"/>
  <c r="U213" i="1"/>
  <c r="L213" i="1"/>
  <c r="S213" i="1" s="1"/>
  <c r="R234" i="1"/>
  <c r="U240" i="1"/>
  <c r="I240" i="1"/>
  <c r="J240" i="1" s="1"/>
  <c r="U246" i="1"/>
  <c r="L258" i="1"/>
  <c r="V179" i="1"/>
  <c r="C179" i="1"/>
  <c r="AN179" i="1" s="1"/>
  <c r="L216" i="1"/>
  <c r="I216" i="1"/>
  <c r="J216" i="1" s="1"/>
  <c r="C94" i="1"/>
  <c r="AN94" i="1" s="1"/>
  <c r="Z94" i="1"/>
  <c r="X7" i="1"/>
  <c r="W7" i="1" s="1"/>
  <c r="X28" i="1"/>
  <c r="W28" i="1" s="1"/>
  <c r="M28" i="1"/>
  <c r="M45" i="1"/>
  <c r="V45" i="1"/>
  <c r="C54" i="1"/>
  <c r="AN54" i="1" s="1"/>
  <c r="I102" i="1"/>
  <c r="C109" i="1"/>
  <c r="AN109" i="1" s="1"/>
  <c r="L133" i="1"/>
  <c r="X133" i="1" s="1"/>
  <c r="L6" i="1"/>
  <c r="I24" i="1"/>
  <c r="C46" i="1"/>
  <c r="AN46" i="1" s="1"/>
  <c r="I180" i="1"/>
  <c r="J180" i="1" s="1"/>
  <c r="E186" i="1"/>
  <c r="C186" i="1"/>
  <c r="AN186" i="1" s="1"/>
  <c r="I201" i="1"/>
  <c r="J201" i="1" s="1"/>
  <c r="C235" i="1"/>
  <c r="AN235" i="1" s="1"/>
  <c r="C244" i="1"/>
  <c r="AN244" i="1" s="1"/>
  <c r="U258" i="1"/>
  <c r="U40" i="1"/>
  <c r="M40" i="1"/>
  <c r="L85" i="1"/>
  <c r="P85" i="1" s="1"/>
  <c r="O85" i="1"/>
  <c r="Q10" i="1"/>
  <c r="X27" i="1"/>
  <c r="R73" i="1"/>
  <c r="O100" i="1"/>
  <c r="X100" i="1"/>
  <c r="I188" i="1"/>
  <c r="L188" i="1"/>
  <c r="E188" i="1"/>
  <c r="O43" i="1"/>
  <c r="S58" i="1"/>
  <c r="C85" i="1"/>
  <c r="AN85" i="1" s="1"/>
  <c r="C40" i="1"/>
  <c r="AN40" i="1" s="1"/>
  <c r="M106" i="1"/>
  <c r="N106" i="1" s="1"/>
  <c r="V106" i="1"/>
  <c r="I106" i="1"/>
  <c r="I116" i="1"/>
  <c r="C132" i="1"/>
  <c r="AN132" i="1" s="1"/>
  <c r="I149" i="1"/>
  <c r="C13" i="1"/>
  <c r="AN13" i="1" s="1"/>
  <c r="E14" i="1"/>
  <c r="C21" i="1"/>
  <c r="AN21" i="1" s="1"/>
  <c r="C42" i="1"/>
  <c r="AN42" i="1" s="1"/>
  <c r="L54" i="1"/>
  <c r="X54" i="1" s="1"/>
  <c r="E62" i="1"/>
  <c r="C65" i="1"/>
  <c r="AN65" i="1" s="1"/>
  <c r="L74" i="1"/>
  <c r="U85" i="1"/>
  <c r="I101" i="1"/>
  <c r="E105" i="1"/>
  <c r="C107" i="1"/>
  <c r="AN107" i="1" s="1"/>
  <c r="L109" i="1"/>
  <c r="M116" i="1"/>
  <c r="S116" i="1" s="1"/>
  <c r="X118" i="1"/>
  <c r="W118" i="1" s="1"/>
  <c r="L132" i="1"/>
  <c r="I146" i="1"/>
  <c r="M149" i="1"/>
  <c r="T149" i="1" s="1"/>
  <c r="E157" i="1"/>
  <c r="M6" i="1"/>
  <c r="E13" i="1"/>
  <c r="L14" i="1"/>
  <c r="N14" i="1" s="1"/>
  <c r="E21" i="1"/>
  <c r="L24" i="1"/>
  <c r="C32" i="1"/>
  <c r="AN32" i="1" s="1"/>
  <c r="V40" i="1"/>
  <c r="E42" i="1"/>
  <c r="Q43" i="1"/>
  <c r="E46" i="1"/>
  <c r="M54" i="1"/>
  <c r="Q54" i="1" s="1"/>
  <c r="M57" i="1"/>
  <c r="T57" i="1" s="1"/>
  <c r="I62" i="1"/>
  <c r="E65" i="1"/>
  <c r="T69" i="1"/>
  <c r="M74" i="1"/>
  <c r="X85" i="1"/>
  <c r="W85" i="1" s="1"/>
  <c r="M101" i="1"/>
  <c r="U102" i="1"/>
  <c r="I105" i="1"/>
  <c r="E107" i="1"/>
  <c r="M109" i="1"/>
  <c r="R116" i="1"/>
  <c r="Q132" i="1"/>
  <c r="E137" i="1"/>
  <c r="L139" i="1"/>
  <c r="L143" i="1"/>
  <c r="L146" i="1"/>
  <c r="U149" i="1"/>
  <c r="L157" i="1"/>
  <c r="L177" i="1"/>
  <c r="L180" i="1"/>
  <c r="C214" i="1"/>
  <c r="AN214" i="1" s="1"/>
  <c r="M220" i="1"/>
  <c r="N220" i="1" s="1"/>
  <c r="I235" i="1"/>
  <c r="J235" i="1" s="1"/>
  <c r="E241" i="1"/>
  <c r="U244" i="1"/>
  <c r="E256" i="1"/>
  <c r="I262" i="1"/>
  <c r="J262" i="1" s="1"/>
  <c r="P58" i="1"/>
  <c r="I73" i="1"/>
  <c r="C73" i="1"/>
  <c r="AN73" i="1" s="1"/>
  <c r="X5" i="1"/>
  <c r="W5" i="1" s="1"/>
  <c r="C133" i="1"/>
  <c r="AN133" i="1" s="1"/>
  <c r="I153" i="1"/>
  <c r="J153" i="1" s="1"/>
  <c r="M153" i="1"/>
  <c r="E153" i="1"/>
  <c r="I239" i="1"/>
  <c r="L239" i="1"/>
  <c r="E239" i="1"/>
  <c r="C239" i="1"/>
  <c r="AN239" i="1" s="1"/>
  <c r="R5" i="1"/>
  <c r="E116" i="1"/>
  <c r="I133" i="1"/>
  <c r="O142" i="1"/>
  <c r="E74" i="1"/>
  <c r="I85" i="1"/>
  <c r="I9" i="1"/>
  <c r="I13" i="1"/>
  <c r="M24" i="1"/>
  <c r="O24" i="1" s="1"/>
  <c r="C28" i="1"/>
  <c r="AN28" i="1" s="1"/>
  <c r="E32" i="1"/>
  <c r="C53" i="1"/>
  <c r="AN53" i="1" s="1"/>
  <c r="V54" i="1"/>
  <c r="I65" i="1"/>
  <c r="Q69" i="1"/>
  <c r="L83" i="1"/>
  <c r="U83" i="1"/>
  <c r="Z85" i="1"/>
  <c r="E87" i="1"/>
  <c r="M87" i="1"/>
  <c r="X87" i="1" s="1"/>
  <c r="W87" i="1" s="1"/>
  <c r="C113" i="1"/>
  <c r="AN113" i="1" s="1"/>
  <c r="C115" i="1"/>
  <c r="AN115" i="1" s="1"/>
  <c r="V116" i="1"/>
  <c r="I124" i="1"/>
  <c r="Z129" i="1"/>
  <c r="S132" i="1"/>
  <c r="V133" i="1"/>
  <c r="V137" i="1"/>
  <c r="V143" i="1"/>
  <c r="V149" i="1"/>
  <c r="I160" i="1"/>
  <c r="C166" i="1"/>
  <c r="AN166" i="1" s="1"/>
  <c r="U171" i="1"/>
  <c r="M173" i="1"/>
  <c r="L173" i="1"/>
  <c r="P173" i="1" s="1"/>
  <c r="I173" i="1"/>
  <c r="J173" i="1" s="1"/>
  <c r="U177" i="1"/>
  <c r="M180" i="1"/>
  <c r="S180" i="1" s="1"/>
  <c r="U197" i="1"/>
  <c r="V201" i="1"/>
  <c r="L214" i="1"/>
  <c r="L235" i="1"/>
  <c r="O235" i="1" s="1"/>
  <c r="I241" i="1"/>
  <c r="J241" i="1" s="1"/>
  <c r="V247" i="1"/>
  <c r="I256" i="1"/>
  <c r="J256" i="1" s="1"/>
  <c r="U262" i="1"/>
  <c r="L154" i="1"/>
  <c r="E167" i="1"/>
  <c r="I189" i="1"/>
  <c r="J189" i="1" s="1"/>
  <c r="E243" i="1"/>
  <c r="C245" i="1"/>
  <c r="AN245" i="1" s="1"/>
  <c r="L221" i="1"/>
  <c r="L166" i="1"/>
  <c r="L229" i="1"/>
  <c r="V167" i="1"/>
  <c r="S183" i="1"/>
  <c r="M192" i="1"/>
  <c r="V245" i="1"/>
  <c r="L257" i="1"/>
  <c r="I260" i="1"/>
  <c r="J260" i="1" s="1"/>
  <c r="Z243" i="1"/>
  <c r="M260" i="1"/>
  <c r="M195" i="1"/>
  <c r="Z195" i="1" s="1"/>
  <c r="Y195" i="1" s="1"/>
  <c r="X243" i="1"/>
  <c r="W243" i="1" s="1"/>
  <c r="L261" i="1"/>
  <c r="Z261" i="1" s="1"/>
  <c r="M154" i="1"/>
  <c r="S154" i="1" s="1"/>
  <c r="L228" i="1"/>
  <c r="M200" i="1"/>
  <c r="L246" i="1"/>
  <c r="M244" i="1"/>
  <c r="M233" i="1"/>
  <c r="R96" i="1"/>
  <c r="N104" i="1"/>
  <c r="F4" i="3"/>
  <c r="T54" i="1"/>
  <c r="S54" i="1"/>
  <c r="P54" i="1"/>
  <c r="Z54" i="1"/>
  <c r="M56" i="1"/>
  <c r="L56" i="1"/>
  <c r="I56" i="1"/>
  <c r="V56" i="1"/>
  <c r="U56" i="1"/>
  <c r="E56" i="1"/>
  <c r="C56" i="1"/>
  <c r="AN56" i="1" s="1"/>
  <c r="R7" i="1"/>
  <c r="R8" i="1"/>
  <c r="Q8" i="1"/>
  <c r="L8" i="1"/>
  <c r="Z8" i="1" s="1"/>
  <c r="I8" i="1"/>
  <c r="E8" i="1"/>
  <c r="V8" i="1"/>
  <c r="C8" i="1"/>
  <c r="AN8" i="1" s="1"/>
  <c r="U8" i="1"/>
  <c r="C66" i="1"/>
  <c r="AN66" i="1" s="1"/>
  <c r="M66" i="1"/>
  <c r="L66" i="1"/>
  <c r="I66" i="1"/>
  <c r="E66" i="1"/>
  <c r="U66" i="1"/>
  <c r="Q70" i="1"/>
  <c r="O70" i="1"/>
  <c r="N70" i="1"/>
  <c r="M49" i="1"/>
  <c r="L49" i="1"/>
  <c r="Z49" i="1" s="1"/>
  <c r="V49" i="1"/>
  <c r="U49" i="1"/>
  <c r="I49" i="1"/>
  <c r="T12" i="1"/>
  <c r="Z12" i="1"/>
  <c r="X12" i="1"/>
  <c r="R12" i="1"/>
  <c r="S12" i="1"/>
  <c r="Q12" i="1"/>
  <c r="P12" i="1"/>
  <c r="O12" i="1"/>
  <c r="Q38" i="1"/>
  <c r="Y41" i="1"/>
  <c r="T42" i="1"/>
  <c r="S42" i="1"/>
  <c r="R42" i="1"/>
  <c r="Z42" i="1"/>
  <c r="Q42" i="1"/>
  <c r="P42" i="1"/>
  <c r="O42" i="1"/>
  <c r="N42" i="1"/>
  <c r="N12" i="1"/>
  <c r="N8" i="1"/>
  <c r="U15" i="1"/>
  <c r="T23" i="1"/>
  <c r="P23" i="1"/>
  <c r="N23" i="1"/>
  <c r="W53" i="1"/>
  <c r="S75" i="1"/>
  <c r="N75" i="1"/>
  <c r="Z75" i="1"/>
  <c r="L2" i="1"/>
  <c r="Z2" i="1" s="1"/>
  <c r="M2" i="1"/>
  <c r="N2" i="1" s="1"/>
  <c r="I2" i="1"/>
  <c r="X2" i="1"/>
  <c r="V2" i="1"/>
  <c r="E2" i="1"/>
  <c r="S2" i="1"/>
  <c r="T7" i="1"/>
  <c r="O8" i="1"/>
  <c r="U11" i="1"/>
  <c r="E11" i="1"/>
  <c r="C11" i="1"/>
  <c r="AN11" i="1" s="1"/>
  <c r="M11" i="1"/>
  <c r="L11" i="1"/>
  <c r="N11" i="1" s="1"/>
  <c r="I11" i="1"/>
  <c r="R16" i="1"/>
  <c r="M22" i="1"/>
  <c r="L22" i="1"/>
  <c r="I22" i="1"/>
  <c r="E22" i="1"/>
  <c r="V22" i="1"/>
  <c r="C22" i="1"/>
  <c r="AN22" i="1" s="1"/>
  <c r="U22" i="1"/>
  <c r="C2" i="1"/>
  <c r="AN2" i="1" s="1"/>
  <c r="M29" i="1"/>
  <c r="X29" i="1" s="1"/>
  <c r="M35" i="1"/>
  <c r="L35" i="1"/>
  <c r="E35" i="1"/>
  <c r="C35" i="1"/>
  <c r="AN35" i="1" s="1"/>
  <c r="V35" i="1"/>
  <c r="U35" i="1"/>
  <c r="M78" i="1"/>
  <c r="V78" i="1"/>
  <c r="E78" i="1"/>
  <c r="C78" i="1"/>
  <c r="AN78" i="1" s="1"/>
  <c r="U78" i="1"/>
  <c r="I78" i="1"/>
  <c r="L78" i="1"/>
  <c r="P78" i="1"/>
  <c r="T26" i="1"/>
  <c r="Z26" i="1"/>
  <c r="S26" i="1"/>
  <c r="X26" i="1"/>
  <c r="R26" i="1"/>
  <c r="Q26" i="1"/>
  <c r="P26" i="1"/>
  <c r="M4" i="1"/>
  <c r="Z4" i="1" s="1"/>
  <c r="I4" i="1"/>
  <c r="U4" i="1"/>
  <c r="C4" i="1"/>
  <c r="AN4" i="1" s="1"/>
  <c r="E4" i="1"/>
  <c r="V4" i="1"/>
  <c r="O23" i="1"/>
  <c r="O26" i="1"/>
  <c r="X42" i="1"/>
  <c r="P2" i="1"/>
  <c r="I15" i="1"/>
  <c r="M15" i="1"/>
  <c r="L15" i="1"/>
  <c r="E15" i="1"/>
  <c r="R20" i="1"/>
  <c r="S20" i="1"/>
  <c r="Q20" i="1"/>
  <c r="T8" i="1"/>
  <c r="U2" i="1"/>
  <c r="M19" i="1"/>
  <c r="Z19" i="1" s="1"/>
  <c r="I19" i="1"/>
  <c r="V19" i="1"/>
  <c r="E19" i="1"/>
  <c r="C19" i="1"/>
  <c r="AN19" i="1" s="1"/>
  <c r="U19" i="1"/>
  <c r="L19" i="1"/>
  <c r="Z14" i="1"/>
  <c r="T14" i="1"/>
  <c r="S14" i="1"/>
  <c r="Q14" i="1"/>
  <c r="R14" i="1"/>
  <c r="P14" i="1"/>
  <c r="O14" i="1"/>
  <c r="O2" i="1"/>
  <c r="Q2" i="1"/>
  <c r="W27" i="1"/>
  <c r="I29" i="1"/>
  <c r="U29" i="1"/>
  <c r="E29" i="1"/>
  <c r="C29" i="1"/>
  <c r="AN29" i="1" s="1"/>
  <c r="V29" i="1"/>
  <c r="R29" i="1"/>
  <c r="Q29" i="1"/>
  <c r="P29" i="1"/>
  <c r="O29" i="1"/>
  <c r="Y43" i="1"/>
  <c r="V66" i="1"/>
  <c r="M18" i="1"/>
  <c r="L18" i="1"/>
  <c r="P18" i="1" s="1"/>
  <c r="I23" i="1"/>
  <c r="U25" i="1"/>
  <c r="E25" i="1"/>
  <c r="C25" i="1"/>
  <c r="AN25" i="1" s="1"/>
  <c r="T38" i="1"/>
  <c r="S38" i="1"/>
  <c r="C38" i="1"/>
  <c r="AN38" i="1" s="1"/>
  <c r="R38" i="1"/>
  <c r="P38" i="1"/>
  <c r="O38" i="1"/>
  <c r="N38" i="1"/>
  <c r="Y58" i="1"/>
  <c r="N59" i="1"/>
  <c r="I3" i="1"/>
  <c r="I5" i="1"/>
  <c r="Z5" i="1"/>
  <c r="I7" i="1"/>
  <c r="Z7" i="1"/>
  <c r="N9" i="1"/>
  <c r="X13" i="1"/>
  <c r="E18" i="1"/>
  <c r="X18" i="1"/>
  <c r="C33" i="1"/>
  <c r="AN33" i="1" s="1"/>
  <c r="C37" i="1"/>
  <c r="AN37" i="1" s="1"/>
  <c r="M37" i="1"/>
  <c r="R37" i="1" s="1"/>
  <c r="U38" i="1"/>
  <c r="T41" i="1"/>
  <c r="S41" i="1"/>
  <c r="R41" i="1"/>
  <c r="Q41" i="1"/>
  <c r="U52" i="1"/>
  <c r="T53" i="1"/>
  <c r="O9" i="1"/>
  <c r="L16" i="1"/>
  <c r="X16" i="1" s="1"/>
  <c r="I16" i="1"/>
  <c r="S23" i="1"/>
  <c r="C23" i="1"/>
  <c r="AN23" i="1" s="1"/>
  <c r="R23" i="1"/>
  <c r="Q23" i="1"/>
  <c r="P34" i="1"/>
  <c r="L34" i="1"/>
  <c r="Q34" i="1" s="1"/>
  <c r="X34" i="1"/>
  <c r="I34" i="1"/>
  <c r="V38" i="1"/>
  <c r="N41" i="1"/>
  <c r="M47" i="1"/>
  <c r="L47" i="1"/>
  <c r="T47" i="1" s="1"/>
  <c r="I47" i="1"/>
  <c r="U47" i="1"/>
  <c r="E47" i="1"/>
  <c r="M50" i="1"/>
  <c r="L50" i="1"/>
  <c r="N50" i="1" s="1"/>
  <c r="I50" i="1"/>
  <c r="V52" i="1"/>
  <c r="M63" i="1"/>
  <c r="L63" i="1"/>
  <c r="I63" i="1"/>
  <c r="Z63" i="1"/>
  <c r="E63" i="1"/>
  <c r="V63" i="1"/>
  <c r="C63" i="1"/>
  <c r="AN63" i="1" s="1"/>
  <c r="U63" i="1"/>
  <c r="O41" i="1"/>
  <c r="S67" i="1"/>
  <c r="P67" i="1"/>
  <c r="P69" i="1"/>
  <c r="V6" i="1"/>
  <c r="U16" i="1"/>
  <c r="I18" i="1"/>
  <c r="P20" i="1"/>
  <c r="O20" i="1"/>
  <c r="N20" i="1"/>
  <c r="L21" i="1"/>
  <c r="U23" i="1"/>
  <c r="N24" i="1"/>
  <c r="I25" i="1"/>
  <c r="N27" i="1"/>
  <c r="Z28" i="1"/>
  <c r="R34" i="1"/>
  <c r="X38" i="1"/>
  <c r="P41" i="1"/>
  <c r="N67" i="1"/>
  <c r="R69" i="1"/>
  <c r="T9" i="1"/>
  <c r="P5" i="1"/>
  <c r="E6" i="1"/>
  <c r="N7" i="1"/>
  <c r="N10" i="1"/>
  <c r="X14" i="1"/>
  <c r="C16" i="1"/>
  <c r="AN16" i="1" s="1"/>
  <c r="V16" i="1"/>
  <c r="T20" i="1"/>
  <c r="M21" i="1"/>
  <c r="V23" i="1"/>
  <c r="O27" i="1"/>
  <c r="U39" i="1"/>
  <c r="E39" i="1"/>
  <c r="C39" i="1"/>
  <c r="AN39" i="1" s="1"/>
  <c r="P47" i="1"/>
  <c r="C51" i="1"/>
  <c r="AN51" i="1" s="1"/>
  <c r="M51" i="1"/>
  <c r="T51" i="1" s="1"/>
  <c r="C98" i="1"/>
  <c r="AN98" i="1" s="1"/>
  <c r="M98" i="1"/>
  <c r="L98" i="1"/>
  <c r="I98" i="1"/>
  <c r="E98" i="1"/>
  <c r="V98" i="1"/>
  <c r="U98" i="1"/>
  <c r="T98" i="1"/>
  <c r="N98" i="1"/>
  <c r="R98" i="1"/>
  <c r="Q98" i="1"/>
  <c r="P98" i="1"/>
  <c r="O98" i="1"/>
  <c r="I117" i="1"/>
  <c r="U117" i="1"/>
  <c r="E117" i="1"/>
  <c r="L117" i="1"/>
  <c r="V117" i="1"/>
  <c r="C117" i="1"/>
  <c r="AN117" i="1" s="1"/>
  <c r="M117" i="1"/>
  <c r="Q117" i="1" s="1"/>
  <c r="M17" i="1"/>
  <c r="L17" i="1"/>
  <c r="Q17" i="1" s="1"/>
  <c r="T24" i="1"/>
  <c r="S24" i="1"/>
  <c r="C24" i="1"/>
  <c r="AN24" i="1" s="1"/>
  <c r="R24" i="1"/>
  <c r="L25" i="1"/>
  <c r="P27" i="1"/>
  <c r="M33" i="1"/>
  <c r="X33" i="1" s="1"/>
  <c r="I33" i="1"/>
  <c r="T34" i="1"/>
  <c r="M36" i="1"/>
  <c r="L36" i="1"/>
  <c r="Z36" i="1" s="1"/>
  <c r="Z38" i="1"/>
  <c r="X57" i="1"/>
  <c r="P70" i="1"/>
  <c r="S9" i="1"/>
  <c r="C9" i="1"/>
  <c r="AN9" i="1" s="1"/>
  <c r="Q9" i="1"/>
  <c r="R9" i="1"/>
  <c r="Q5" i="1"/>
  <c r="O7" i="1"/>
  <c r="V9" i="1"/>
  <c r="O10" i="1"/>
  <c r="N13" i="1"/>
  <c r="O18" i="1"/>
  <c r="P10" i="1"/>
  <c r="T10" i="1"/>
  <c r="S10" i="1"/>
  <c r="C10" i="1"/>
  <c r="AN10" i="1" s="1"/>
  <c r="R10" i="1"/>
  <c r="E16" i="1"/>
  <c r="T17" i="1"/>
  <c r="C20" i="1"/>
  <c r="AN20" i="1" s="1"/>
  <c r="V20" i="1"/>
  <c r="E23" i="1"/>
  <c r="X23" i="1"/>
  <c r="Q24" i="1"/>
  <c r="M25" i="1"/>
  <c r="T25" i="1" s="1"/>
  <c r="Q27" i="1"/>
  <c r="U34" i="1"/>
  <c r="V37" i="1"/>
  <c r="E38" i="1"/>
  <c r="L39" i="1"/>
  <c r="X41" i="1"/>
  <c r="X82" i="1"/>
  <c r="T82" i="1"/>
  <c r="P82" i="1"/>
  <c r="Z82" i="1"/>
  <c r="S82" i="1"/>
  <c r="R82" i="1"/>
  <c r="O82" i="1"/>
  <c r="N82" i="1"/>
  <c r="Q127" i="1"/>
  <c r="V127" i="1"/>
  <c r="C127" i="1"/>
  <c r="AN127" i="1" s="1"/>
  <c r="I127" i="1"/>
  <c r="E127" i="1"/>
  <c r="U127" i="1"/>
  <c r="M127" i="1"/>
  <c r="L127" i="1"/>
  <c r="P9" i="1"/>
  <c r="S5" i="1"/>
  <c r="I6" i="1"/>
  <c r="X9" i="1"/>
  <c r="P13" i="1"/>
  <c r="U17" i="1"/>
  <c r="Q18" i="1"/>
  <c r="U24" i="1"/>
  <c r="R27" i="1"/>
  <c r="V34" i="1"/>
  <c r="C52" i="1"/>
  <c r="AN52" i="1" s="1"/>
  <c r="L52" i="1"/>
  <c r="T52" i="1" s="1"/>
  <c r="T64" i="1"/>
  <c r="S64" i="1"/>
  <c r="R64" i="1"/>
  <c r="P64" i="1"/>
  <c r="Z64" i="1"/>
  <c r="X89" i="1"/>
  <c r="I89" i="1"/>
  <c r="P89" i="1"/>
  <c r="M89" i="1"/>
  <c r="Z89" i="1" s="1"/>
  <c r="L89" i="1"/>
  <c r="E89" i="1"/>
  <c r="V89" i="1"/>
  <c r="U89" i="1"/>
  <c r="S89" i="1"/>
  <c r="R89" i="1"/>
  <c r="Q89" i="1"/>
  <c r="C89" i="1"/>
  <c r="AN89" i="1" s="1"/>
  <c r="S7" i="1"/>
  <c r="E9" i="1"/>
  <c r="M3" i="1"/>
  <c r="Z3" i="1"/>
  <c r="L3" i="1"/>
  <c r="O5" i="1"/>
  <c r="N5" i="1"/>
  <c r="Q7" i="1"/>
  <c r="P7" i="1"/>
  <c r="C17" i="1"/>
  <c r="AN17" i="1" s="1"/>
  <c r="V17" i="1"/>
  <c r="R18" i="1"/>
  <c r="E20" i="1"/>
  <c r="X20" i="1"/>
  <c r="T21" i="1"/>
  <c r="Z23" i="1"/>
  <c r="V24" i="1"/>
  <c r="T27" i="1"/>
  <c r="N28" i="1"/>
  <c r="S33" i="1"/>
  <c r="X43" i="1"/>
  <c r="U50" i="1"/>
  <c r="I51" i="1"/>
  <c r="E52" i="1"/>
  <c r="Z57" i="1"/>
  <c r="Z73" i="1"/>
  <c r="I60" i="1"/>
  <c r="X68" i="1"/>
  <c r="V79" i="1"/>
  <c r="E79" i="1"/>
  <c r="L93" i="1"/>
  <c r="I93" i="1"/>
  <c r="V93" i="1"/>
  <c r="U93" i="1"/>
  <c r="C93" i="1"/>
  <c r="AN93" i="1" s="1"/>
  <c r="M93" i="1"/>
  <c r="Y118" i="1"/>
  <c r="L111" i="1"/>
  <c r="E111" i="1"/>
  <c r="C111" i="1"/>
  <c r="AN111" i="1" s="1"/>
  <c r="V111" i="1"/>
  <c r="U111" i="1"/>
  <c r="C55" i="1"/>
  <c r="AN55" i="1" s="1"/>
  <c r="R58" i="1"/>
  <c r="C59" i="1"/>
  <c r="AN59" i="1" s="1"/>
  <c r="R61" i="1"/>
  <c r="T67" i="1"/>
  <c r="R67" i="1"/>
  <c r="Q67" i="1"/>
  <c r="X69" i="1"/>
  <c r="L71" i="1"/>
  <c r="X73" i="1"/>
  <c r="Q75" i="1"/>
  <c r="L77" i="1"/>
  <c r="P77" i="1" s="1"/>
  <c r="I77" i="1"/>
  <c r="U79" i="1"/>
  <c r="C81" i="1"/>
  <c r="AN81" i="1" s="1"/>
  <c r="L81" i="1"/>
  <c r="Y88" i="1"/>
  <c r="I95" i="1"/>
  <c r="M95" i="1"/>
  <c r="L95" i="1"/>
  <c r="O95" i="1" s="1"/>
  <c r="E95" i="1"/>
  <c r="V95" i="1"/>
  <c r="C95" i="1"/>
  <c r="AN95" i="1" s="1"/>
  <c r="U95" i="1"/>
  <c r="N95" i="1"/>
  <c r="Y129" i="1"/>
  <c r="L60" i="1"/>
  <c r="R60" i="1" s="1"/>
  <c r="S61" i="1"/>
  <c r="U70" i="1"/>
  <c r="E70" i="1"/>
  <c r="T70" i="1"/>
  <c r="E31" i="1"/>
  <c r="U31" i="1"/>
  <c r="C43" i="1"/>
  <c r="AN43" i="1" s="1"/>
  <c r="S43" i="1"/>
  <c r="E45" i="1"/>
  <c r="U45" i="1"/>
  <c r="I48" i="1"/>
  <c r="O53" i="1"/>
  <c r="T58" i="1"/>
  <c r="E59" i="1"/>
  <c r="V59" i="1"/>
  <c r="M60" i="1"/>
  <c r="Z61" i="1"/>
  <c r="L61" i="1"/>
  <c r="T61" i="1" s="1"/>
  <c r="Q64" i="1"/>
  <c r="O64" i="1"/>
  <c r="N64" i="1"/>
  <c r="U67" i="1"/>
  <c r="N68" i="1"/>
  <c r="Z69" i="1"/>
  <c r="R70" i="1"/>
  <c r="N71" i="1"/>
  <c r="O75" i="1"/>
  <c r="O76" i="1"/>
  <c r="Q77" i="1"/>
  <c r="S85" i="1"/>
  <c r="T43" i="1"/>
  <c r="P53" i="1"/>
  <c r="X59" i="1"/>
  <c r="C61" i="1"/>
  <c r="AN61" i="1" s="1"/>
  <c r="U61" i="1"/>
  <c r="V67" i="1"/>
  <c r="O68" i="1"/>
  <c r="S70" i="1"/>
  <c r="O71" i="1"/>
  <c r="X74" i="1"/>
  <c r="P75" i="1"/>
  <c r="M81" i="1"/>
  <c r="L91" i="1"/>
  <c r="M91" i="1"/>
  <c r="X91" i="1" s="1"/>
  <c r="I91" i="1"/>
  <c r="V91" i="1"/>
  <c r="U91" i="1"/>
  <c r="C91" i="1"/>
  <c r="AN91" i="1" s="1"/>
  <c r="T94" i="1"/>
  <c r="S94" i="1"/>
  <c r="Q94" i="1"/>
  <c r="N94" i="1"/>
  <c r="I32" i="1"/>
  <c r="E43" i="1"/>
  <c r="U43" i="1"/>
  <c r="I46" i="1"/>
  <c r="L48" i="1"/>
  <c r="Q53" i="1"/>
  <c r="I55" i="1"/>
  <c r="I59" i="1"/>
  <c r="V61" i="1"/>
  <c r="U64" i="1"/>
  <c r="N65" i="1"/>
  <c r="C67" i="1"/>
  <c r="AN67" i="1" s="1"/>
  <c r="P68" i="1"/>
  <c r="U68" i="1"/>
  <c r="E68" i="1"/>
  <c r="S68" i="1"/>
  <c r="C68" i="1"/>
  <c r="AN68" i="1" s="1"/>
  <c r="R68" i="1"/>
  <c r="V70" i="1"/>
  <c r="R75" i="1"/>
  <c r="C79" i="1"/>
  <c r="AN79" i="1" s="1"/>
  <c r="S90" i="1"/>
  <c r="Q90" i="1"/>
  <c r="O90" i="1"/>
  <c r="R94" i="1"/>
  <c r="M48" i="1"/>
  <c r="N48" i="1" s="1"/>
  <c r="R53" i="1"/>
  <c r="Z55" i="1"/>
  <c r="Z59" i="1"/>
  <c r="E67" i="1"/>
  <c r="X67" i="1"/>
  <c r="X70" i="1"/>
  <c r="R76" i="1"/>
  <c r="R87" i="1"/>
  <c r="Q87" i="1"/>
  <c r="P87" i="1"/>
  <c r="O87" i="1"/>
  <c r="N87" i="1"/>
  <c r="Z87" i="1"/>
  <c r="S87" i="1"/>
  <c r="C126" i="1"/>
  <c r="AN126" i="1" s="1"/>
  <c r="M126" i="1"/>
  <c r="P126" i="1" s="1"/>
  <c r="L126" i="1"/>
  <c r="E126" i="1"/>
  <c r="V126" i="1"/>
  <c r="U126" i="1"/>
  <c r="T126" i="1"/>
  <c r="R126" i="1"/>
  <c r="Q126" i="1"/>
  <c r="O126" i="1"/>
  <c r="I126" i="1"/>
  <c r="V14" i="1"/>
  <c r="I30" i="1"/>
  <c r="L32" i="1"/>
  <c r="I44" i="1"/>
  <c r="L46" i="1"/>
  <c r="L55" i="1"/>
  <c r="X55" i="1" s="1"/>
  <c r="U57" i="1"/>
  <c r="E57" i="1"/>
  <c r="X58" i="1"/>
  <c r="L59" i="1"/>
  <c r="X61" i="1"/>
  <c r="R65" i="1"/>
  <c r="P65" i="1"/>
  <c r="O65" i="1"/>
  <c r="T68" i="1"/>
  <c r="N69" i="1"/>
  <c r="C70" i="1"/>
  <c r="AN70" i="1" s="1"/>
  <c r="U72" i="1"/>
  <c r="E72" i="1"/>
  <c r="M72" i="1"/>
  <c r="L72" i="1"/>
  <c r="S73" i="1"/>
  <c r="Q73" i="1"/>
  <c r="P73" i="1"/>
  <c r="T75" i="1"/>
  <c r="V77" i="1"/>
  <c r="I79" i="1"/>
  <c r="P80" i="1"/>
  <c r="M80" i="1"/>
  <c r="L80" i="1"/>
  <c r="O80" i="1" s="1"/>
  <c r="U81" i="1"/>
  <c r="C84" i="1"/>
  <c r="AN84" i="1" s="1"/>
  <c r="M84" i="1"/>
  <c r="I84" i="1"/>
  <c r="T87" i="1"/>
  <c r="E91" i="1"/>
  <c r="S96" i="1"/>
  <c r="I111" i="1"/>
  <c r="E12" i="1"/>
  <c r="E26" i="1"/>
  <c r="L31" i="1"/>
  <c r="Z31" i="1" s="1"/>
  <c r="M32" i="1"/>
  <c r="N32" i="1" s="1"/>
  <c r="E40" i="1"/>
  <c r="I43" i="1"/>
  <c r="L45" i="1"/>
  <c r="M46" i="1"/>
  <c r="M55" i="1"/>
  <c r="S55" i="1" s="1"/>
  <c r="V57" i="1"/>
  <c r="M59" i="1"/>
  <c r="E64" i="1"/>
  <c r="X64" i="1"/>
  <c r="T65" i="1"/>
  <c r="Z67" i="1"/>
  <c r="V68" i="1"/>
  <c r="O69" i="1"/>
  <c r="Z70" i="1"/>
  <c r="S71" i="1"/>
  <c r="N73" i="1"/>
  <c r="L79" i="1"/>
  <c r="V81" i="1"/>
  <c r="X90" i="1"/>
  <c r="X94" i="1"/>
  <c r="Z96" i="1"/>
  <c r="S104" i="1"/>
  <c r="M111" i="1"/>
  <c r="R111" i="1" s="1"/>
  <c r="I14" i="1"/>
  <c r="I28" i="1"/>
  <c r="L30" i="1"/>
  <c r="Z30" i="1" s="1"/>
  <c r="I42" i="1"/>
  <c r="L44" i="1"/>
  <c r="Z44" i="1" s="1"/>
  <c r="I54" i="1"/>
  <c r="N55" i="1"/>
  <c r="I61" i="1"/>
  <c r="M62" i="1"/>
  <c r="R62" i="1" s="1"/>
  <c r="L62" i="1"/>
  <c r="U65" i="1"/>
  <c r="I67" i="1"/>
  <c r="I70" i="1"/>
  <c r="U71" i="1"/>
  <c r="O73" i="1"/>
  <c r="M79" i="1"/>
  <c r="S79" i="1" s="1"/>
  <c r="X88" i="1"/>
  <c r="T88" i="1"/>
  <c r="S88" i="1"/>
  <c r="Q88" i="1"/>
  <c r="P88" i="1"/>
  <c r="Z90" i="1"/>
  <c r="W97" i="1"/>
  <c r="T100" i="1"/>
  <c r="T102" i="1"/>
  <c r="X104" i="1"/>
  <c r="Z109" i="1"/>
  <c r="R113" i="1"/>
  <c r="P116" i="1"/>
  <c r="O116" i="1"/>
  <c r="N116" i="1"/>
  <c r="M120" i="1"/>
  <c r="X120" i="1"/>
  <c r="I120" i="1"/>
  <c r="C120" i="1"/>
  <c r="AN120" i="1" s="1"/>
  <c r="V120" i="1"/>
  <c r="U120" i="1"/>
  <c r="I130" i="1"/>
  <c r="U130" i="1"/>
  <c r="M130" i="1"/>
  <c r="P130" i="1" s="1"/>
  <c r="L130" i="1"/>
  <c r="E130" i="1"/>
  <c r="I103" i="1"/>
  <c r="L103" i="1"/>
  <c r="I110" i="1"/>
  <c r="V110" i="1"/>
  <c r="E110" i="1"/>
  <c r="N85" i="1"/>
  <c r="S86" i="1"/>
  <c r="U86" i="1"/>
  <c r="E86" i="1"/>
  <c r="V86" i="1"/>
  <c r="N90" i="1"/>
  <c r="L92" i="1"/>
  <c r="P96" i="1"/>
  <c r="I97" i="1"/>
  <c r="I100" i="1"/>
  <c r="S109" i="1"/>
  <c r="R109" i="1"/>
  <c r="N109" i="1"/>
  <c r="O110" i="1"/>
  <c r="Z115" i="1"/>
  <c r="Z116" i="1"/>
  <c r="T121" i="1"/>
  <c r="S121" i="1"/>
  <c r="Q121" i="1"/>
  <c r="X129" i="1"/>
  <c r="U103" i="1"/>
  <c r="Q104" i="1"/>
  <c r="O109" i="1"/>
  <c r="O121" i="1"/>
  <c r="I169" i="1"/>
  <c r="J169" i="1" s="1"/>
  <c r="M169" i="1"/>
  <c r="L169" i="1"/>
  <c r="V169" i="1"/>
  <c r="E169" i="1"/>
  <c r="U169" i="1"/>
  <c r="C169" i="1"/>
  <c r="AN169" i="1" s="1"/>
  <c r="Q96" i="1"/>
  <c r="O96" i="1"/>
  <c r="N96" i="1"/>
  <c r="M99" i="1"/>
  <c r="L99" i="1"/>
  <c r="N102" i="1"/>
  <c r="C103" i="1"/>
  <c r="AN103" i="1" s="1"/>
  <c r="V103" i="1"/>
  <c r="R104" i="1"/>
  <c r="P104" i="1"/>
  <c r="O104" i="1"/>
  <c r="M108" i="1"/>
  <c r="T108" i="1" s="1"/>
  <c r="I108" i="1"/>
  <c r="Q109" i="1"/>
  <c r="O115" i="1"/>
  <c r="P121" i="1"/>
  <c r="S142" i="1"/>
  <c r="R162" i="1"/>
  <c r="Q85" i="1"/>
  <c r="T96" i="1"/>
  <c r="L105" i="1"/>
  <c r="X105" i="1" s="1"/>
  <c r="T105" i="1"/>
  <c r="C105" i="1"/>
  <c r="AN105" i="1" s="1"/>
  <c r="S105" i="1"/>
  <c r="T109" i="1"/>
  <c r="C69" i="1"/>
  <c r="AN69" i="1" s="1"/>
  <c r="S69" i="1"/>
  <c r="X75" i="1"/>
  <c r="I75" i="1"/>
  <c r="I76" i="1"/>
  <c r="Q82" i="1"/>
  <c r="I83" i="1"/>
  <c r="R85" i="1"/>
  <c r="U96" i="1"/>
  <c r="N97" i="1"/>
  <c r="U99" i="1"/>
  <c r="N100" i="1"/>
  <c r="E103" i="1"/>
  <c r="T104" i="1"/>
  <c r="Q105" i="1"/>
  <c r="O106" i="1"/>
  <c r="U110" i="1"/>
  <c r="S113" i="1"/>
  <c r="P113" i="1"/>
  <c r="S115" i="1"/>
  <c r="V130" i="1"/>
  <c r="L76" i="1"/>
  <c r="X76" i="1" s="1"/>
  <c r="I86" i="1"/>
  <c r="T90" i="1"/>
  <c r="C90" i="1"/>
  <c r="AN90" i="1" s="1"/>
  <c r="C96" i="1"/>
  <c r="AN96" i="1" s="1"/>
  <c r="V96" i="1"/>
  <c r="V99" i="1"/>
  <c r="Q102" i="1"/>
  <c r="U104" i="1"/>
  <c r="P106" i="1"/>
  <c r="C112" i="1"/>
  <c r="AN112" i="1" s="1"/>
  <c r="L112" i="1"/>
  <c r="S112" i="1" s="1"/>
  <c r="N113" i="1"/>
  <c r="L119" i="1"/>
  <c r="Q119" i="1" s="1"/>
  <c r="E119" i="1"/>
  <c r="I119" i="1"/>
  <c r="C119" i="1"/>
  <c r="AN119" i="1" s="1"/>
  <c r="U148" i="1"/>
  <c r="E148" i="1"/>
  <c r="V148" i="1"/>
  <c r="M148" i="1"/>
  <c r="O148" i="1" s="1"/>
  <c r="L148" i="1"/>
  <c r="C148" i="1"/>
  <c r="AN148" i="1" s="1"/>
  <c r="I148" i="1"/>
  <c r="Z148" i="1"/>
  <c r="T85" i="1"/>
  <c r="M92" i="1"/>
  <c r="N92" i="1"/>
  <c r="R97" i="1"/>
  <c r="T97" i="1"/>
  <c r="C97" i="1"/>
  <c r="AN97" i="1" s="1"/>
  <c r="S97" i="1"/>
  <c r="C99" i="1"/>
  <c r="AN99" i="1" s="1"/>
  <c r="U100" i="1"/>
  <c r="E100" i="1"/>
  <c r="Q100" i="1"/>
  <c r="P100" i="1"/>
  <c r="R102" i="1"/>
  <c r="C104" i="1"/>
  <c r="AN104" i="1" s="1"/>
  <c r="V104" i="1"/>
  <c r="U105" i="1"/>
  <c r="Q106" i="1"/>
  <c r="O113" i="1"/>
  <c r="R118" i="1"/>
  <c r="S118" i="1"/>
  <c r="Q118" i="1"/>
  <c r="P118" i="1"/>
  <c r="O118" i="1"/>
  <c r="N118" i="1"/>
  <c r="T146" i="1"/>
  <c r="Q146" i="1"/>
  <c r="N209" i="1"/>
  <c r="Z209" i="1"/>
  <c r="X209" i="1"/>
  <c r="P209" i="1"/>
  <c r="S209" i="1"/>
  <c r="R209" i="1"/>
  <c r="Q209" i="1"/>
  <c r="O209" i="1"/>
  <c r="M83" i="1"/>
  <c r="E85" i="1"/>
  <c r="V85" i="1"/>
  <c r="Y85" i="1" s="1"/>
  <c r="L86" i="1"/>
  <c r="X86" i="1" s="1"/>
  <c r="V90" i="1"/>
  <c r="C92" i="1"/>
  <c r="AN92" i="1" s="1"/>
  <c r="U92" i="1"/>
  <c r="E96" i="1"/>
  <c r="X96" i="1"/>
  <c r="Q97" i="1"/>
  <c r="E99" i="1"/>
  <c r="S100" i="1"/>
  <c r="X102" i="1"/>
  <c r="V102" i="1"/>
  <c r="E102" i="1"/>
  <c r="M103" i="1"/>
  <c r="X103" i="1" s="1"/>
  <c r="V105" i="1"/>
  <c r="R106" i="1"/>
  <c r="U108" i="1"/>
  <c r="M112" i="1"/>
  <c r="T118" i="1"/>
  <c r="V125" i="1"/>
  <c r="M125" i="1"/>
  <c r="N125" i="1" s="1"/>
  <c r="I125" i="1"/>
  <c r="E125" i="1"/>
  <c r="M131" i="1"/>
  <c r="L131" i="1"/>
  <c r="I131" i="1"/>
  <c r="E131" i="1"/>
  <c r="C131" i="1"/>
  <c r="AN131" i="1" s="1"/>
  <c r="T135" i="1"/>
  <c r="Q135" i="1"/>
  <c r="P246" i="1"/>
  <c r="X246" i="1"/>
  <c r="R246" i="1"/>
  <c r="Q246" i="1"/>
  <c r="U114" i="1"/>
  <c r="E114" i="1"/>
  <c r="X115" i="1"/>
  <c r="N121" i="1"/>
  <c r="V121" i="1"/>
  <c r="R121" i="1"/>
  <c r="P122" i="1"/>
  <c r="U128" i="1"/>
  <c r="E128" i="1"/>
  <c r="M128" i="1"/>
  <c r="X128" i="1" s="1"/>
  <c r="Z135" i="1"/>
  <c r="S129" i="1"/>
  <c r="T129" i="1"/>
  <c r="O129" i="1"/>
  <c r="X134" i="1"/>
  <c r="R134" i="1"/>
  <c r="O134" i="1"/>
  <c r="Z134" i="1"/>
  <c r="T134" i="1"/>
  <c r="L140" i="1"/>
  <c r="C140" i="1"/>
  <c r="AN140" i="1" s="1"/>
  <c r="V140" i="1"/>
  <c r="N145" i="1"/>
  <c r="L122" i="1"/>
  <c r="S122" i="1" s="1"/>
  <c r="N129" i="1"/>
  <c r="N134" i="1"/>
  <c r="M147" i="1"/>
  <c r="S147" i="1" s="1"/>
  <c r="L147" i="1"/>
  <c r="N147" i="1" s="1"/>
  <c r="Z147" i="1"/>
  <c r="I147" i="1"/>
  <c r="U147" i="1"/>
  <c r="V147" i="1"/>
  <c r="M152" i="1"/>
  <c r="P152" i="1" s="1"/>
  <c r="I152" i="1"/>
  <c r="E152" i="1"/>
  <c r="Z152" i="1"/>
  <c r="X152" i="1"/>
  <c r="C152" i="1"/>
  <c r="AN152" i="1" s="1"/>
  <c r="V152" i="1"/>
  <c r="L152" i="1"/>
  <c r="U121" i="1"/>
  <c r="P129" i="1"/>
  <c r="P134" i="1"/>
  <c r="U141" i="1"/>
  <c r="C141" i="1"/>
  <c r="AN141" i="1" s="1"/>
  <c r="V141" i="1"/>
  <c r="Z161" i="1"/>
  <c r="S161" i="1"/>
  <c r="Q161" i="1"/>
  <c r="R161" i="1"/>
  <c r="I107" i="1"/>
  <c r="J107" i="1" s="1"/>
  <c r="T113" i="1"/>
  <c r="I114" i="1"/>
  <c r="N115" i="1"/>
  <c r="Q116" i="1"/>
  <c r="M123" i="1"/>
  <c r="R123" i="1" s="1"/>
  <c r="V123" i="1"/>
  <c r="V128" i="1"/>
  <c r="Q129" i="1"/>
  <c r="Q134" i="1"/>
  <c r="I140" i="1"/>
  <c r="M155" i="1"/>
  <c r="Q155" i="1" s="1"/>
  <c r="L155" i="1"/>
  <c r="P155" i="1" s="1"/>
  <c r="Z155" i="1"/>
  <c r="I155" i="1"/>
  <c r="E155" i="1"/>
  <c r="X155" i="1"/>
  <c r="C155" i="1"/>
  <c r="AN155" i="1" s="1"/>
  <c r="U155" i="1"/>
  <c r="V155" i="1"/>
  <c r="T155" i="1"/>
  <c r="S155" i="1"/>
  <c r="R155" i="1"/>
  <c r="E141" i="1"/>
  <c r="N149" i="1"/>
  <c r="Z149" i="1"/>
  <c r="X149" i="1"/>
  <c r="W213" i="1"/>
  <c r="O94" i="1"/>
  <c r="L107" i="1"/>
  <c r="P109" i="1"/>
  <c r="L114" i="1"/>
  <c r="P115" i="1"/>
  <c r="T116" i="1"/>
  <c r="E121" i="1"/>
  <c r="Z121" i="1"/>
  <c r="V122" i="1"/>
  <c r="T123" i="1"/>
  <c r="M124" i="1"/>
  <c r="C128" i="1"/>
  <c r="AN128" i="1" s="1"/>
  <c r="M140" i="1"/>
  <c r="I141" i="1"/>
  <c r="E94" i="1"/>
  <c r="V94" i="1"/>
  <c r="X106" i="1"/>
  <c r="M107" i="1"/>
  <c r="E109" i="1"/>
  <c r="V109" i="1"/>
  <c r="X113" i="1"/>
  <c r="M114" i="1"/>
  <c r="U116" i="1"/>
  <c r="C122" i="1"/>
  <c r="AN122" i="1" s="1"/>
  <c r="U123" i="1"/>
  <c r="Z128" i="1"/>
  <c r="L141" i="1"/>
  <c r="Y167" i="1"/>
  <c r="R145" i="1"/>
  <c r="P145" i="1"/>
  <c r="L156" i="1"/>
  <c r="I162" i="1"/>
  <c r="J162" i="1" s="1"/>
  <c r="I151" i="1"/>
  <c r="L151" i="1"/>
  <c r="M151" i="1"/>
  <c r="E151" i="1"/>
  <c r="C151" i="1"/>
  <c r="AN151" i="1" s="1"/>
  <c r="V151" i="1"/>
  <c r="M156" i="1"/>
  <c r="X168" i="1"/>
  <c r="I168" i="1"/>
  <c r="J168" i="1" s="1"/>
  <c r="Z168" i="1"/>
  <c r="Q168" i="1"/>
  <c r="P168" i="1"/>
  <c r="O168" i="1"/>
  <c r="N168" i="1"/>
  <c r="V168" i="1"/>
  <c r="U168" i="1"/>
  <c r="T168" i="1"/>
  <c r="R168" i="1"/>
  <c r="R196" i="1"/>
  <c r="Q196" i="1"/>
  <c r="I199" i="1"/>
  <c r="J199" i="1" s="1"/>
  <c r="E199" i="1"/>
  <c r="M199" i="1"/>
  <c r="V199" i="1"/>
  <c r="U199" i="1"/>
  <c r="L199" i="1"/>
  <c r="C199" i="1"/>
  <c r="AN199" i="1" s="1"/>
  <c r="X135" i="1"/>
  <c r="I135" i="1"/>
  <c r="V135" i="1"/>
  <c r="C135" i="1"/>
  <c r="AN135" i="1" s="1"/>
  <c r="L136" i="1"/>
  <c r="Z136" i="1" s="1"/>
  <c r="I136" i="1"/>
  <c r="M137" i="1"/>
  <c r="Z137" i="1" s="1"/>
  <c r="L137" i="1"/>
  <c r="I137" i="1"/>
  <c r="M138" i="1"/>
  <c r="L138" i="1"/>
  <c r="Z138" i="1" s="1"/>
  <c r="C142" i="1"/>
  <c r="AN142" i="1" s="1"/>
  <c r="Z142" i="1"/>
  <c r="O145" i="1"/>
  <c r="S160" i="1"/>
  <c r="C160" i="1"/>
  <c r="AN160" i="1" s="1"/>
  <c r="T160" i="1"/>
  <c r="R160" i="1"/>
  <c r="Q160" i="1"/>
  <c r="P160" i="1"/>
  <c r="Z160" i="1"/>
  <c r="E160" i="1"/>
  <c r="X160" i="1"/>
  <c r="U160" i="1"/>
  <c r="T163" i="1"/>
  <c r="S163" i="1"/>
  <c r="R163" i="1"/>
  <c r="Q163" i="1"/>
  <c r="Z163" i="1"/>
  <c r="X163" i="1"/>
  <c r="P163" i="1"/>
  <c r="P164" i="1"/>
  <c r="N195" i="1"/>
  <c r="T226" i="1"/>
  <c r="Q226" i="1"/>
  <c r="Z226" i="1"/>
  <c r="X226" i="1"/>
  <c r="P226" i="1"/>
  <c r="O226" i="1"/>
  <c r="C144" i="1"/>
  <c r="AN144" i="1" s="1"/>
  <c r="M144" i="1"/>
  <c r="R144" i="1" s="1"/>
  <c r="I144" i="1"/>
  <c r="Q145" i="1"/>
  <c r="M175" i="1"/>
  <c r="L175" i="1"/>
  <c r="X175" i="1" s="1"/>
  <c r="I175" i="1"/>
  <c r="J175" i="1" s="1"/>
  <c r="V175" i="1"/>
  <c r="U175" i="1"/>
  <c r="E175" i="1"/>
  <c r="U156" i="1"/>
  <c r="M159" i="1"/>
  <c r="R159" i="1" s="1"/>
  <c r="L159" i="1"/>
  <c r="O159" i="1" s="1"/>
  <c r="E159" i="1"/>
  <c r="X159" i="1"/>
  <c r="C159" i="1"/>
  <c r="AN159" i="1" s="1"/>
  <c r="V159" i="1"/>
  <c r="U159" i="1"/>
  <c r="C178" i="1"/>
  <c r="AN178" i="1" s="1"/>
  <c r="E178" i="1"/>
  <c r="V178" i="1"/>
  <c r="M178" i="1"/>
  <c r="L178" i="1"/>
  <c r="S178" i="1" s="1"/>
  <c r="U178" i="1"/>
  <c r="P178" i="1"/>
  <c r="O178" i="1"/>
  <c r="I178" i="1"/>
  <c r="J178" i="1" s="1"/>
  <c r="L210" i="1"/>
  <c r="V210" i="1"/>
  <c r="E210" i="1"/>
  <c r="U210" i="1"/>
  <c r="M210" i="1"/>
  <c r="Q210" i="1" s="1"/>
  <c r="N210" i="1"/>
  <c r="I210" i="1"/>
  <c r="C210" i="1"/>
  <c r="AN210" i="1" s="1"/>
  <c r="P233" i="1"/>
  <c r="X233" i="1"/>
  <c r="R233" i="1"/>
  <c r="Q233" i="1"/>
  <c r="O233" i="1"/>
  <c r="N233" i="1"/>
  <c r="R132" i="1"/>
  <c r="O132" i="1"/>
  <c r="C143" i="1"/>
  <c r="AN143" i="1" s="1"/>
  <c r="I143" i="1"/>
  <c r="X145" i="1"/>
  <c r="V156" i="1"/>
  <c r="Z192" i="1"/>
  <c r="X192" i="1"/>
  <c r="R192" i="1"/>
  <c r="P192" i="1"/>
  <c r="O192" i="1"/>
  <c r="N192" i="1"/>
  <c r="N132" i="1"/>
  <c r="U135" i="1"/>
  <c r="V136" i="1"/>
  <c r="U137" i="1"/>
  <c r="U138" i="1"/>
  <c r="M143" i="1"/>
  <c r="S143" i="1" s="1"/>
  <c r="O157" i="1"/>
  <c r="S167" i="1"/>
  <c r="Q167" i="1"/>
  <c r="O167" i="1"/>
  <c r="X184" i="1"/>
  <c r="O184" i="1"/>
  <c r="N184" i="1"/>
  <c r="I156" i="1"/>
  <c r="J156" i="1" s="1"/>
  <c r="E156" i="1"/>
  <c r="U162" i="1"/>
  <c r="E162" i="1"/>
  <c r="M162" i="1"/>
  <c r="L162" i="1"/>
  <c r="P162" i="1" s="1"/>
  <c r="Z162" i="1"/>
  <c r="X162" i="1"/>
  <c r="V162" i="1"/>
  <c r="S162" i="1"/>
  <c r="I164" i="1"/>
  <c r="L164" i="1"/>
  <c r="T164" i="1" s="1"/>
  <c r="E164" i="1"/>
  <c r="C164" i="1"/>
  <c r="AN164" i="1" s="1"/>
  <c r="V164" i="1"/>
  <c r="M190" i="1"/>
  <c r="L190" i="1"/>
  <c r="Z190" i="1"/>
  <c r="I190" i="1"/>
  <c r="C190" i="1"/>
  <c r="AN190" i="1" s="1"/>
  <c r="V190" i="1"/>
  <c r="U190" i="1"/>
  <c r="E190" i="1"/>
  <c r="R142" i="1"/>
  <c r="Q142" i="1"/>
  <c r="P142" i="1"/>
  <c r="X142" i="1"/>
  <c r="E142" i="1"/>
  <c r="U142" i="1"/>
  <c r="N142" i="1"/>
  <c r="U144" i="1"/>
  <c r="T158" i="1"/>
  <c r="P158" i="1"/>
  <c r="L170" i="1"/>
  <c r="X170" i="1" s="1"/>
  <c r="E170" i="1"/>
  <c r="I170" i="1"/>
  <c r="C170" i="1"/>
  <c r="AN170" i="1" s="1"/>
  <c r="V170" i="1"/>
  <c r="X203" i="1"/>
  <c r="T203" i="1"/>
  <c r="S203" i="1"/>
  <c r="R203" i="1"/>
  <c r="C207" i="1"/>
  <c r="AN207" i="1" s="1"/>
  <c r="L207" i="1"/>
  <c r="T207" i="1" s="1"/>
  <c r="I207" i="1"/>
  <c r="U207" i="1"/>
  <c r="V207" i="1"/>
  <c r="E207" i="1"/>
  <c r="O222" i="1"/>
  <c r="T222" i="1"/>
  <c r="S222" i="1"/>
  <c r="R222" i="1"/>
  <c r="Q222" i="1"/>
  <c r="P222" i="1"/>
  <c r="N222" i="1"/>
  <c r="Z222" i="1"/>
  <c r="T205" i="1"/>
  <c r="S205" i="1"/>
  <c r="R205" i="1"/>
  <c r="O205" i="1"/>
  <c r="N205" i="1"/>
  <c r="V252" i="1"/>
  <c r="E252" i="1"/>
  <c r="M252" i="1"/>
  <c r="U252" i="1"/>
  <c r="L252" i="1"/>
  <c r="O252" i="1" s="1"/>
  <c r="T252" i="1"/>
  <c r="C252" i="1"/>
  <c r="AN252" i="1" s="1"/>
  <c r="I252" i="1"/>
  <c r="J252" i="1" s="1"/>
  <c r="U145" i="1"/>
  <c r="E145" i="1"/>
  <c r="T145" i="1"/>
  <c r="S145" i="1"/>
  <c r="C145" i="1"/>
  <c r="AN145" i="1" s="1"/>
  <c r="Q158" i="1"/>
  <c r="Z158" i="1"/>
  <c r="I158" i="1"/>
  <c r="J158" i="1" s="1"/>
  <c r="X158" i="1"/>
  <c r="T167" i="1"/>
  <c r="X167" i="1"/>
  <c r="P167" i="1"/>
  <c r="T192" i="1"/>
  <c r="Z241" i="1"/>
  <c r="X241" i="1"/>
  <c r="N241" i="1"/>
  <c r="Q241" i="1"/>
  <c r="O241" i="1"/>
  <c r="I198" i="1"/>
  <c r="J198" i="1" s="1"/>
  <c r="E198" i="1"/>
  <c r="V198" i="1"/>
  <c r="M198" i="1"/>
  <c r="L198" i="1"/>
  <c r="C198" i="1"/>
  <c r="AN198" i="1" s="1"/>
  <c r="U198" i="1"/>
  <c r="C216" i="1"/>
  <c r="AN216" i="1" s="1"/>
  <c r="U216" i="1"/>
  <c r="N216" i="1"/>
  <c r="V216" i="1"/>
  <c r="M216" i="1"/>
  <c r="S158" i="1"/>
  <c r="Z205" i="1"/>
  <c r="E176" i="1"/>
  <c r="V176" i="1"/>
  <c r="M176" i="1"/>
  <c r="L176" i="1"/>
  <c r="I176" i="1"/>
  <c r="T185" i="1"/>
  <c r="N185" i="1"/>
  <c r="S185" i="1"/>
  <c r="R185" i="1"/>
  <c r="Q185" i="1"/>
  <c r="P185" i="1"/>
  <c r="Z185" i="1"/>
  <c r="U208" i="1"/>
  <c r="E208" i="1"/>
  <c r="C208" i="1"/>
  <c r="AN208" i="1" s="1"/>
  <c r="M208" i="1"/>
  <c r="R208" i="1" s="1"/>
  <c r="I208" i="1"/>
  <c r="J208" i="1" s="1"/>
  <c r="Z208" i="1"/>
  <c r="L208" i="1"/>
  <c r="V208" i="1"/>
  <c r="Y243" i="1"/>
  <c r="M139" i="1"/>
  <c r="O139" i="1" s="1"/>
  <c r="X150" i="1"/>
  <c r="T150" i="1"/>
  <c r="U158" i="1"/>
  <c r="R167" i="1"/>
  <c r="O185" i="1"/>
  <c r="Z203" i="1"/>
  <c r="Q264" i="1"/>
  <c r="T264" i="1"/>
  <c r="S264" i="1"/>
  <c r="R264" i="1"/>
  <c r="Z264" i="1"/>
  <c r="N264" i="1"/>
  <c r="N150" i="1"/>
  <c r="U165" i="1"/>
  <c r="E165" i="1"/>
  <c r="C165" i="1"/>
  <c r="AN165" i="1" s="1"/>
  <c r="V165" i="1"/>
  <c r="C176" i="1"/>
  <c r="AN176" i="1" s="1"/>
  <c r="Q191" i="1"/>
  <c r="O191" i="1"/>
  <c r="N191" i="1"/>
  <c r="X191" i="1"/>
  <c r="Z191" i="1"/>
  <c r="C191" i="1"/>
  <c r="AN191" i="1" s="1"/>
  <c r="U191" i="1"/>
  <c r="T191" i="1"/>
  <c r="S191" i="1"/>
  <c r="M191" i="1"/>
  <c r="L191" i="1"/>
  <c r="R193" i="1"/>
  <c r="Z193" i="1"/>
  <c r="I193" i="1"/>
  <c r="J193" i="1" s="1"/>
  <c r="X193" i="1"/>
  <c r="Q193" i="1"/>
  <c r="C193" i="1"/>
  <c r="AN193" i="1" s="1"/>
  <c r="V193" i="1"/>
  <c r="T193" i="1"/>
  <c r="S193" i="1"/>
  <c r="P193" i="1"/>
  <c r="O193" i="1"/>
  <c r="N193" i="1"/>
  <c r="E193" i="1"/>
  <c r="P220" i="1"/>
  <c r="Z220" i="1"/>
  <c r="S220" i="1"/>
  <c r="T220" i="1"/>
  <c r="R220" i="1"/>
  <c r="Q220" i="1"/>
  <c r="X220" i="1"/>
  <c r="M165" i="1"/>
  <c r="T165" i="1" s="1"/>
  <c r="P186" i="1"/>
  <c r="N186" i="1"/>
  <c r="M202" i="1"/>
  <c r="T202" i="1" s="1"/>
  <c r="X202" i="1"/>
  <c r="E202" i="1"/>
  <c r="V202" i="1"/>
  <c r="U202" i="1"/>
  <c r="C202" i="1"/>
  <c r="AN202" i="1" s="1"/>
  <c r="M207" i="1"/>
  <c r="S207" i="1" s="1"/>
  <c r="T219" i="1"/>
  <c r="S219" i="1"/>
  <c r="X219" i="1"/>
  <c r="Z219" i="1"/>
  <c r="P219" i="1"/>
  <c r="L236" i="1"/>
  <c r="I236" i="1"/>
  <c r="V236" i="1"/>
  <c r="E236" i="1"/>
  <c r="M236" i="1"/>
  <c r="U236" i="1"/>
  <c r="C236" i="1"/>
  <c r="AN236" i="1" s="1"/>
  <c r="U242" i="1"/>
  <c r="E242" i="1"/>
  <c r="L242" i="1"/>
  <c r="I242" i="1"/>
  <c r="J242" i="1" s="1"/>
  <c r="M242" i="1"/>
  <c r="C242" i="1"/>
  <c r="AN242" i="1" s="1"/>
  <c r="V242" i="1"/>
  <c r="C139" i="1"/>
  <c r="AN139" i="1" s="1"/>
  <c r="V139" i="1"/>
  <c r="Z145" i="1"/>
  <c r="P150" i="1"/>
  <c r="L153" i="1"/>
  <c r="Z153" i="1" s="1"/>
  <c r="T153" i="1"/>
  <c r="C153" i="1"/>
  <c r="AN153" i="1" s="1"/>
  <c r="C158" i="1"/>
  <c r="AN158" i="1" s="1"/>
  <c r="M172" i="1"/>
  <c r="X172" i="1"/>
  <c r="E172" i="1"/>
  <c r="V172" i="1"/>
  <c r="U172" i="1"/>
  <c r="P196" i="1"/>
  <c r="O203" i="1"/>
  <c r="N207" i="1"/>
  <c r="R212" i="1"/>
  <c r="C212" i="1"/>
  <c r="AN212" i="1" s="1"/>
  <c r="V212" i="1"/>
  <c r="U212" i="1"/>
  <c r="L212" i="1"/>
  <c r="M212" i="1"/>
  <c r="Q212" i="1" s="1"/>
  <c r="N219" i="1"/>
  <c r="O220" i="1"/>
  <c r="X247" i="1"/>
  <c r="M171" i="1"/>
  <c r="L171" i="1"/>
  <c r="Z171" i="1" s="1"/>
  <c r="Q171" i="1"/>
  <c r="P171" i="1"/>
  <c r="T181" i="1"/>
  <c r="X181" i="1"/>
  <c r="V181" i="1"/>
  <c r="E181" i="1"/>
  <c r="O181" i="1"/>
  <c r="U181" i="1"/>
  <c r="S181" i="1"/>
  <c r="R181" i="1"/>
  <c r="Q183" i="1"/>
  <c r="P183" i="1"/>
  <c r="O183" i="1"/>
  <c r="X183" i="1"/>
  <c r="T183" i="1"/>
  <c r="Z196" i="1"/>
  <c r="X196" i="1"/>
  <c r="L200" i="1"/>
  <c r="Z200" i="1" s="1"/>
  <c r="E200" i="1"/>
  <c r="V200" i="1"/>
  <c r="U200" i="1"/>
  <c r="C200" i="1"/>
  <c r="AN200" i="1" s="1"/>
  <c r="O227" i="1"/>
  <c r="L227" i="1"/>
  <c r="I227" i="1"/>
  <c r="J227" i="1" s="1"/>
  <c r="E227" i="1"/>
  <c r="C227" i="1"/>
  <c r="AN227" i="1" s="1"/>
  <c r="M227" i="1"/>
  <c r="Z227" i="1" s="1"/>
  <c r="S226" i="1"/>
  <c r="S146" i="1"/>
  <c r="C146" i="1"/>
  <c r="AN146" i="1" s="1"/>
  <c r="T161" i="1"/>
  <c r="V171" i="1"/>
  <c r="M174" i="1"/>
  <c r="Q174" i="1" s="1"/>
  <c r="P181" i="1"/>
  <c r="S196" i="1"/>
  <c r="N200" i="1"/>
  <c r="T132" i="1"/>
  <c r="E133" i="1"/>
  <c r="E146" i="1"/>
  <c r="V146" i="1"/>
  <c r="E154" i="1"/>
  <c r="V154" i="1"/>
  <c r="E161" i="1"/>
  <c r="V161" i="1"/>
  <c r="C171" i="1"/>
  <c r="AN171" i="1" s="1"/>
  <c r="S173" i="1"/>
  <c r="Q181" i="1"/>
  <c r="U182" i="1"/>
  <c r="E182" i="1"/>
  <c r="M182" i="1"/>
  <c r="L182" i="1"/>
  <c r="V182" i="1"/>
  <c r="T196" i="1"/>
  <c r="Q203" i="1"/>
  <c r="V221" i="1"/>
  <c r="U221" i="1"/>
  <c r="T221" i="1"/>
  <c r="S245" i="1"/>
  <c r="R245" i="1"/>
  <c r="P245" i="1"/>
  <c r="Z245" i="1"/>
  <c r="E132" i="1"/>
  <c r="X171" i="1"/>
  <c r="U179" i="1"/>
  <c r="E179" i="1"/>
  <c r="T179" i="1"/>
  <c r="O179" i="1"/>
  <c r="N179" i="1"/>
  <c r="M179" i="1"/>
  <c r="Z181" i="1"/>
  <c r="S184" i="1"/>
  <c r="R184" i="1"/>
  <c r="Q184" i="1"/>
  <c r="Z184" i="1"/>
  <c r="V184" i="1"/>
  <c r="U184" i="1"/>
  <c r="T184" i="1"/>
  <c r="P184" i="1"/>
  <c r="E171" i="1"/>
  <c r="P174" i="1"/>
  <c r="O174" i="1"/>
  <c r="X174" i="1"/>
  <c r="E174" i="1"/>
  <c r="C177" i="1"/>
  <c r="AN177" i="1" s="1"/>
  <c r="M177" i="1"/>
  <c r="S177" i="1" s="1"/>
  <c r="Z183" i="1"/>
  <c r="P189" i="1"/>
  <c r="T189" i="1"/>
  <c r="S189" i="1"/>
  <c r="R189" i="1"/>
  <c r="Q189" i="1"/>
  <c r="U195" i="1"/>
  <c r="E195" i="1"/>
  <c r="T195" i="1"/>
  <c r="C195" i="1"/>
  <c r="AN195" i="1" s="1"/>
  <c r="V195" i="1"/>
  <c r="R195" i="1"/>
  <c r="Q195" i="1"/>
  <c r="P195" i="1"/>
  <c r="S231" i="1"/>
  <c r="C231" i="1"/>
  <c r="AN231" i="1" s="1"/>
  <c r="Q231" i="1"/>
  <c r="V231" i="1"/>
  <c r="U231" i="1"/>
  <c r="M231" i="1"/>
  <c r="R231" i="1" s="1"/>
  <c r="L231" i="1"/>
  <c r="E231" i="1"/>
  <c r="T231" i="1"/>
  <c r="P231" i="1"/>
  <c r="Z231" i="1"/>
  <c r="X231" i="1"/>
  <c r="C240" i="1"/>
  <c r="AN240" i="1" s="1"/>
  <c r="L240" i="1"/>
  <c r="V240" i="1"/>
  <c r="E240" i="1"/>
  <c r="M240" i="1"/>
  <c r="Z240" i="1" s="1"/>
  <c r="M188" i="1"/>
  <c r="C188" i="1"/>
  <c r="AN188" i="1" s="1"/>
  <c r="P217" i="1"/>
  <c r="T224" i="1"/>
  <c r="U229" i="1"/>
  <c r="I229" i="1"/>
  <c r="V229" i="1"/>
  <c r="M229" i="1"/>
  <c r="R238" i="1"/>
  <c r="T239" i="1"/>
  <c r="N239" i="1"/>
  <c r="Z239" i="1"/>
  <c r="Q239" i="1"/>
  <c r="X239" i="1"/>
  <c r="S239" i="1"/>
  <c r="P243" i="1"/>
  <c r="S243" i="1"/>
  <c r="R243" i="1"/>
  <c r="T243" i="1"/>
  <c r="Q243" i="1"/>
  <c r="O243" i="1"/>
  <c r="N243" i="1"/>
  <c r="T250" i="1"/>
  <c r="R250" i="1"/>
  <c r="L187" i="1"/>
  <c r="V187" i="1"/>
  <c r="E187" i="1"/>
  <c r="C194" i="1"/>
  <c r="AN194" i="1" s="1"/>
  <c r="M194" i="1"/>
  <c r="P194" i="1" s="1"/>
  <c r="X194" i="1"/>
  <c r="M211" i="1"/>
  <c r="N211" i="1"/>
  <c r="L211" i="1"/>
  <c r="C211" i="1"/>
  <c r="AN211" i="1" s="1"/>
  <c r="V211" i="1"/>
  <c r="U211" i="1"/>
  <c r="I211" i="1"/>
  <c r="J211" i="1" s="1"/>
  <c r="N217" i="1"/>
  <c r="O238" i="1"/>
  <c r="P239" i="1"/>
  <c r="L186" i="1"/>
  <c r="T186" i="1" s="1"/>
  <c r="Z186" i="1"/>
  <c r="I186" i="1"/>
  <c r="X186" i="1"/>
  <c r="R186" i="1"/>
  <c r="I194" i="1"/>
  <c r="M201" i="1"/>
  <c r="L201" i="1"/>
  <c r="Z201" i="1" s="1"/>
  <c r="Q201" i="1"/>
  <c r="P201" i="1"/>
  <c r="O201" i="1"/>
  <c r="E201" i="1"/>
  <c r="E211" i="1"/>
  <c r="R239" i="1"/>
  <c r="N250" i="1"/>
  <c r="P204" i="1"/>
  <c r="O204" i="1"/>
  <c r="Z204" i="1"/>
  <c r="E204" i="1"/>
  <c r="X204" i="1"/>
  <c r="V204" i="1"/>
  <c r="C204" i="1"/>
  <c r="AN204" i="1" s="1"/>
  <c r="Q204" i="1"/>
  <c r="M206" i="1"/>
  <c r="R206" i="1" s="1"/>
  <c r="L206" i="1"/>
  <c r="I206" i="1"/>
  <c r="J206" i="1" s="1"/>
  <c r="V206" i="1"/>
  <c r="C206" i="1"/>
  <c r="AN206" i="1" s="1"/>
  <c r="C229" i="1"/>
  <c r="AN229" i="1" s="1"/>
  <c r="U255" i="1"/>
  <c r="E255" i="1"/>
  <c r="C255" i="1"/>
  <c r="AN255" i="1" s="1"/>
  <c r="M255" i="1"/>
  <c r="L255" i="1"/>
  <c r="I255" i="1"/>
  <c r="Q255" i="1"/>
  <c r="R259" i="1"/>
  <c r="Q259" i="1"/>
  <c r="O259" i="1"/>
  <c r="X259" i="1"/>
  <c r="Z259" i="1"/>
  <c r="C259" i="1"/>
  <c r="AN259" i="1" s="1"/>
  <c r="V259" i="1"/>
  <c r="U259" i="1"/>
  <c r="T259" i="1"/>
  <c r="S259" i="1"/>
  <c r="I259" i="1"/>
  <c r="J259" i="1" s="1"/>
  <c r="P259" i="1"/>
  <c r="N259" i="1"/>
  <c r="E259" i="1"/>
  <c r="N189" i="1"/>
  <c r="S192" i="1"/>
  <c r="R213" i="1"/>
  <c r="T213" i="1"/>
  <c r="M215" i="1"/>
  <c r="V215" i="1"/>
  <c r="E215" i="1"/>
  <c r="S217" i="1"/>
  <c r="C217" i="1"/>
  <c r="AN217" i="1" s="1"/>
  <c r="X217" i="1"/>
  <c r="V217" i="1"/>
  <c r="E217" i="1"/>
  <c r="O217" i="1"/>
  <c r="N238" i="1"/>
  <c r="S238" i="1"/>
  <c r="Q238" i="1"/>
  <c r="P238" i="1"/>
  <c r="I238" i="1"/>
  <c r="J238" i="1" s="1"/>
  <c r="E238" i="1"/>
  <c r="Z238" i="1"/>
  <c r="X238" i="1"/>
  <c r="C238" i="1"/>
  <c r="AN238" i="1" s="1"/>
  <c r="V238" i="1"/>
  <c r="U238" i="1"/>
  <c r="T238" i="1"/>
  <c r="E189" i="1"/>
  <c r="V189" i="1"/>
  <c r="N196" i="1"/>
  <c r="I214" i="1"/>
  <c r="J214" i="1" s="1"/>
  <c r="R214" i="1"/>
  <c r="Q217" i="1"/>
  <c r="T228" i="1"/>
  <c r="O228" i="1"/>
  <c r="I251" i="1"/>
  <c r="J251" i="1" s="1"/>
  <c r="V251" i="1"/>
  <c r="L251" i="1"/>
  <c r="O251" i="1" s="1"/>
  <c r="P251" i="1"/>
  <c r="N251" i="1"/>
  <c r="C251" i="1"/>
  <c r="AN251" i="1" s="1"/>
  <c r="Z251" i="1"/>
  <c r="U251" i="1"/>
  <c r="E251" i="1"/>
  <c r="V254" i="1"/>
  <c r="E254" i="1"/>
  <c r="L254" i="1"/>
  <c r="I254" i="1"/>
  <c r="J254" i="1" s="1"/>
  <c r="U254" i="1"/>
  <c r="M254" i="1"/>
  <c r="N254" i="1" s="1"/>
  <c r="C254" i="1"/>
  <c r="AN254" i="1" s="1"/>
  <c r="X185" i="1"/>
  <c r="I185" i="1"/>
  <c r="J185" i="1" s="1"/>
  <c r="Q192" i="1"/>
  <c r="O196" i="1"/>
  <c r="P203" i="1"/>
  <c r="Q205" i="1"/>
  <c r="P205" i="1"/>
  <c r="X205" i="1"/>
  <c r="I205" i="1"/>
  <c r="Q214" i="1"/>
  <c r="R217" i="1"/>
  <c r="N228" i="1"/>
  <c r="M232" i="1"/>
  <c r="T232" i="1" s="1"/>
  <c r="L232" i="1"/>
  <c r="I232" i="1"/>
  <c r="J232" i="1" s="1"/>
  <c r="U232" i="1"/>
  <c r="E185" i="1"/>
  <c r="V185" i="1"/>
  <c r="X189" i="1"/>
  <c r="S214" i="1"/>
  <c r="T217" i="1"/>
  <c r="I223" i="1"/>
  <c r="M225" i="1"/>
  <c r="S225" i="1"/>
  <c r="I228" i="1"/>
  <c r="J228" i="1" s="1"/>
  <c r="Z228" i="1"/>
  <c r="U233" i="1"/>
  <c r="E233" i="1"/>
  <c r="S233" i="1"/>
  <c r="C233" i="1"/>
  <c r="AN233" i="1" s="1"/>
  <c r="V233" i="1"/>
  <c r="T233" i="1"/>
  <c r="Z235" i="1"/>
  <c r="Q265" i="1"/>
  <c r="M265" i="1"/>
  <c r="L265" i="1"/>
  <c r="I265" i="1"/>
  <c r="J265" i="1" s="1"/>
  <c r="X265" i="1"/>
  <c r="T265" i="1"/>
  <c r="C265" i="1"/>
  <c r="AN265" i="1" s="1"/>
  <c r="O265" i="1"/>
  <c r="E265" i="1"/>
  <c r="R265" i="1"/>
  <c r="V265" i="1"/>
  <c r="E196" i="1"/>
  <c r="N203" i="1"/>
  <c r="T209" i="1"/>
  <c r="C213" i="1"/>
  <c r="AN213" i="1" s="1"/>
  <c r="L223" i="1"/>
  <c r="I225" i="1"/>
  <c r="J225" i="1" s="1"/>
  <c r="Z225" i="1"/>
  <c r="R226" i="1"/>
  <c r="R228" i="1"/>
  <c r="L230" i="1"/>
  <c r="Q230" i="1" s="1"/>
  <c r="Z233" i="1"/>
  <c r="R235" i="1"/>
  <c r="Q235" i="1"/>
  <c r="O264" i="1"/>
  <c r="E209" i="1"/>
  <c r="O213" i="1"/>
  <c r="L218" i="1"/>
  <c r="T218" i="1" s="1"/>
  <c r="U219" i="1"/>
  <c r="E219" i="1"/>
  <c r="L219" i="1"/>
  <c r="O219" i="1" s="1"/>
  <c r="M223" i="1"/>
  <c r="L224" i="1"/>
  <c r="Z224" i="1" s="1"/>
  <c r="O224" i="1"/>
  <c r="N235" i="1"/>
  <c r="Z247" i="1"/>
  <c r="L247" i="1"/>
  <c r="S247" i="1" s="1"/>
  <c r="O247" i="1"/>
  <c r="N247" i="1"/>
  <c r="I247" i="1"/>
  <c r="J247" i="1" s="1"/>
  <c r="U247" i="1"/>
  <c r="C247" i="1"/>
  <c r="AN247" i="1" s="1"/>
  <c r="T256" i="1"/>
  <c r="S256" i="1"/>
  <c r="R256" i="1"/>
  <c r="Q256" i="1"/>
  <c r="Z256" i="1"/>
  <c r="X256" i="1"/>
  <c r="M218" i="1"/>
  <c r="N226" i="1"/>
  <c r="P228" i="1"/>
  <c r="Q228" i="1"/>
  <c r="I233" i="1"/>
  <c r="J233" i="1" s="1"/>
  <c r="E244" i="1"/>
  <c r="L244" i="1"/>
  <c r="I244" i="1"/>
  <c r="J244" i="1" s="1"/>
  <c r="O250" i="1"/>
  <c r="U250" i="1"/>
  <c r="E250" i="1"/>
  <c r="Q250" i="1"/>
  <c r="Z250" i="1"/>
  <c r="X250" i="1"/>
  <c r="C250" i="1"/>
  <c r="AN250" i="1" s="1"/>
  <c r="P250" i="1"/>
  <c r="I250" i="1"/>
  <c r="J250" i="1" s="1"/>
  <c r="S250" i="1"/>
  <c r="L249" i="1"/>
  <c r="O249" i="1" s="1"/>
  <c r="V249" i="1"/>
  <c r="C253" i="1"/>
  <c r="AN253" i="1" s="1"/>
  <c r="L253" i="1"/>
  <c r="S253" i="1" s="1"/>
  <c r="I253" i="1"/>
  <c r="J253" i="1" s="1"/>
  <c r="T246" i="1"/>
  <c r="S246" i="1"/>
  <c r="N246" i="1"/>
  <c r="U249" i="1"/>
  <c r="E253" i="1"/>
  <c r="X222" i="1"/>
  <c r="I222" i="1"/>
  <c r="J222" i="1" s="1"/>
  <c r="U235" i="1"/>
  <c r="E235" i="1"/>
  <c r="T235" i="1"/>
  <c r="O246" i="1"/>
  <c r="T234" i="1"/>
  <c r="Q245" i="1"/>
  <c r="O245" i="1"/>
  <c r="N245" i="1"/>
  <c r="M261" i="1"/>
  <c r="I261" i="1"/>
  <c r="J261" i="1" s="1"/>
  <c r="R261" i="1"/>
  <c r="V261" i="1"/>
  <c r="U261" i="1"/>
  <c r="L262" i="1"/>
  <c r="V262" i="1"/>
  <c r="E262" i="1"/>
  <c r="Z262" i="1"/>
  <c r="X262" i="1"/>
  <c r="C262" i="1"/>
  <c r="AN262" i="1" s="1"/>
  <c r="S262" i="1"/>
  <c r="O239" i="1"/>
  <c r="R241" i="1"/>
  <c r="M257" i="1"/>
  <c r="I258" i="1"/>
  <c r="J258" i="1" s="1"/>
  <c r="M258" i="1"/>
  <c r="C258" i="1"/>
  <c r="AN258" i="1" s="1"/>
  <c r="C263" i="1"/>
  <c r="AN263" i="1" s="1"/>
  <c r="S263" i="1"/>
  <c r="Z263" i="1"/>
  <c r="E263" i="1"/>
  <c r="X263" i="1"/>
  <c r="L237" i="1"/>
  <c r="Z237" i="1" s="1"/>
  <c r="U239" i="1"/>
  <c r="T241" i="1"/>
  <c r="Z246" i="1"/>
  <c r="I246" i="1"/>
  <c r="J246" i="1" s="1"/>
  <c r="M248" i="1"/>
  <c r="S248" i="1"/>
  <c r="L263" i="1"/>
  <c r="I257" i="1"/>
  <c r="J257" i="1" s="1"/>
  <c r="V257" i="1"/>
  <c r="E257" i="1"/>
  <c r="C241" i="1"/>
  <c r="AN241" i="1" s="1"/>
  <c r="V241" i="1"/>
  <c r="V246" i="1"/>
  <c r="V248" i="1"/>
  <c r="P257" i="1"/>
  <c r="U266" i="1"/>
  <c r="X245" i="1"/>
  <c r="I245" i="1"/>
  <c r="J245" i="1" s="1"/>
  <c r="O256" i="1"/>
  <c r="E266" i="1"/>
  <c r="M266" i="1"/>
  <c r="R266" i="1" s="1"/>
  <c r="X266" i="1"/>
  <c r="P264" i="1"/>
  <c r="L260" i="1"/>
  <c r="Z260" i="1" s="1"/>
  <c r="E260" i="1"/>
  <c r="V260" i="1"/>
  <c r="X264" i="1"/>
  <c r="Z211" i="1" l="1"/>
  <c r="S211" i="1"/>
  <c r="S166" i="1"/>
  <c r="Q166" i="1"/>
  <c r="P166" i="1"/>
  <c r="R166" i="1"/>
  <c r="N166" i="1"/>
  <c r="T166" i="1"/>
  <c r="O166" i="1"/>
  <c r="T170" i="1"/>
  <c r="N170" i="1"/>
  <c r="Q170" i="1"/>
  <c r="S133" i="1"/>
  <c r="Q154" i="1"/>
  <c r="P154" i="1"/>
  <c r="N154" i="1"/>
  <c r="R154" i="1"/>
  <c r="T154" i="1"/>
  <c r="X154" i="1"/>
  <c r="R133" i="1"/>
  <c r="N133" i="1"/>
  <c r="S40" i="1"/>
  <c r="X40" i="1"/>
  <c r="O40" i="1"/>
  <c r="T40" i="1"/>
  <c r="R40" i="1"/>
  <c r="Q40" i="1"/>
  <c r="Z40" i="1"/>
  <c r="Y40" i="1" s="1"/>
  <c r="P40" i="1"/>
  <c r="Z39" i="1"/>
  <c r="Q39" i="1"/>
  <c r="S39" i="1"/>
  <c r="N39" i="1"/>
  <c r="P39" i="1"/>
  <c r="O39" i="1"/>
  <c r="S74" i="1"/>
  <c r="Q74" i="1"/>
  <c r="O74" i="1"/>
  <c r="N74" i="1"/>
  <c r="P74" i="1"/>
  <c r="T74" i="1"/>
  <c r="Z74" i="1"/>
  <c r="S101" i="1"/>
  <c r="N101" i="1"/>
  <c r="T101" i="1"/>
  <c r="X101" i="1"/>
  <c r="Z101" i="1"/>
  <c r="S17" i="1"/>
  <c r="N40" i="1"/>
  <c r="R6" i="1"/>
  <c r="X6" i="1"/>
  <c r="N6" i="1"/>
  <c r="P6" i="1"/>
  <c r="S6" i="1"/>
  <c r="O6" i="1"/>
  <c r="Z6" i="1"/>
  <c r="T6" i="1"/>
  <c r="Q6" i="1"/>
  <c r="X221" i="1"/>
  <c r="Z221" i="1"/>
  <c r="R221" i="1"/>
  <c r="Q221" i="1"/>
  <c r="S221" i="1"/>
  <c r="P221" i="1"/>
  <c r="O221" i="1"/>
  <c r="R236" i="1"/>
  <c r="Q236" i="1"/>
  <c r="T236" i="1"/>
  <c r="O236" i="1"/>
  <c r="X236" i="1"/>
  <c r="P236" i="1"/>
  <c r="X46" i="1"/>
  <c r="Z46" i="1"/>
  <c r="O93" i="1"/>
  <c r="P93" i="1"/>
  <c r="S93" i="1"/>
  <c r="N93" i="1"/>
  <c r="Z21" i="1"/>
  <c r="O21" i="1"/>
  <c r="R146" i="1"/>
  <c r="Z146" i="1"/>
  <c r="X146" i="1"/>
  <c r="P146" i="1"/>
  <c r="N146" i="1"/>
  <c r="O146" i="1"/>
  <c r="X151" i="1"/>
  <c r="T151" i="1"/>
  <c r="Q151" i="1"/>
  <c r="O151" i="1"/>
  <c r="Z236" i="1"/>
  <c r="Z45" i="1"/>
  <c r="X45" i="1"/>
  <c r="R45" i="1"/>
  <c r="Q110" i="1"/>
  <c r="X110" i="1"/>
  <c r="Z110" i="1"/>
  <c r="N110" i="1"/>
  <c r="P110" i="1"/>
  <c r="T110" i="1"/>
  <c r="S110" i="1"/>
  <c r="R110" i="1"/>
  <c r="O215" i="1"/>
  <c r="S215" i="1"/>
  <c r="N257" i="1"/>
  <c r="Z257" i="1"/>
  <c r="Q257" i="1"/>
  <c r="S36" i="1"/>
  <c r="R74" i="1"/>
  <c r="R83" i="1"/>
  <c r="Z83" i="1"/>
  <c r="Z154" i="1"/>
  <c r="Y154" i="1" s="1"/>
  <c r="T215" i="1"/>
  <c r="Q199" i="1"/>
  <c r="S199" i="1"/>
  <c r="T199" i="1"/>
  <c r="R199" i="1"/>
  <c r="Q169" i="1"/>
  <c r="Z169" i="1"/>
  <c r="Z182" i="1"/>
  <c r="T182" i="1"/>
  <c r="X260" i="1"/>
  <c r="S260" i="1"/>
  <c r="T188" i="1"/>
  <c r="P188" i="1"/>
  <c r="S188" i="1"/>
  <c r="O188" i="1"/>
  <c r="R188" i="1"/>
  <c r="Z188" i="1"/>
  <c r="S242" i="1"/>
  <c r="P242" i="1"/>
  <c r="X242" i="1"/>
  <c r="P169" i="1"/>
  <c r="N22" i="1"/>
  <c r="X258" i="1"/>
  <c r="Z258" i="1"/>
  <c r="R258" i="1"/>
  <c r="T258" i="1"/>
  <c r="T211" i="1"/>
  <c r="S182" i="1"/>
  <c r="R216" i="1"/>
  <c r="O216" i="1"/>
  <c r="P216" i="1"/>
  <c r="N124" i="1"/>
  <c r="Q124" i="1"/>
  <c r="O140" i="1"/>
  <c r="Q140" i="1"/>
  <c r="N81" i="1"/>
  <c r="S81" i="1"/>
  <c r="Z15" i="1"/>
  <c r="R15" i="1"/>
  <c r="P66" i="1"/>
  <c r="N66" i="1"/>
  <c r="Z66" i="1"/>
  <c r="X66" i="1"/>
  <c r="S66" i="1"/>
  <c r="O66" i="1"/>
  <c r="T66" i="1"/>
  <c r="R66" i="1"/>
  <c r="Q66" i="1"/>
  <c r="T214" i="1"/>
  <c r="X214" i="1"/>
  <c r="P214" i="1"/>
  <c r="O214" i="1"/>
  <c r="Z214" i="1"/>
  <c r="Y214" i="1" s="1"/>
  <c r="N214" i="1"/>
  <c r="S186" i="1"/>
  <c r="Q186" i="1"/>
  <c r="O149" i="1"/>
  <c r="S130" i="1"/>
  <c r="P99" i="1"/>
  <c r="O130" i="1"/>
  <c r="N36" i="1"/>
  <c r="R117" i="1"/>
  <c r="X63" i="1"/>
  <c r="Z47" i="1"/>
  <c r="O11" i="1"/>
  <c r="R17" i="1"/>
  <c r="N29" i="1"/>
  <c r="R150" i="1"/>
  <c r="T197" i="1"/>
  <c r="R180" i="1"/>
  <c r="N194" i="1"/>
  <c r="R200" i="1"/>
  <c r="X161" i="1"/>
  <c r="T173" i="1"/>
  <c r="N174" i="1"/>
  <c r="N227" i="1"/>
  <c r="X200" i="1"/>
  <c r="Q219" i="1"/>
  <c r="R157" i="1"/>
  <c r="P144" i="1"/>
  <c r="N157" i="1"/>
  <c r="N178" i="1"/>
  <c r="N159" i="1"/>
  <c r="P149" i="1"/>
  <c r="T147" i="1"/>
  <c r="Z125" i="1"/>
  <c r="T103" i="1"/>
  <c r="R71" i="1"/>
  <c r="R77" i="1"/>
  <c r="Q33" i="1"/>
  <c r="Z117" i="1"/>
  <c r="O47" i="1"/>
  <c r="Z29" i="1"/>
  <c r="T2" i="1"/>
  <c r="R35" i="1"/>
  <c r="N54" i="1"/>
  <c r="T133" i="1"/>
  <c r="O161" i="1"/>
  <c r="N197" i="1"/>
  <c r="P102" i="1"/>
  <c r="P197" i="1"/>
  <c r="T28" i="1"/>
  <c r="S28" i="1"/>
  <c r="O28" i="1"/>
  <c r="R28" i="1"/>
  <c r="Q28" i="1"/>
  <c r="P28" i="1"/>
  <c r="N213" i="1"/>
  <c r="X44" i="1"/>
  <c r="T111" i="1"/>
  <c r="N57" i="1"/>
  <c r="T117" i="1"/>
  <c r="S29" i="1"/>
  <c r="R2" i="1"/>
  <c r="Z11" i="1"/>
  <c r="O154" i="1"/>
  <c r="X173" i="1"/>
  <c r="W173" i="1" s="1"/>
  <c r="X166" i="1"/>
  <c r="W166" i="1" s="1"/>
  <c r="Z166" i="1"/>
  <c r="Y166" i="1" s="1"/>
  <c r="Z132" i="1"/>
  <c r="Y132" i="1" s="1"/>
  <c r="X132" i="1"/>
  <c r="W132" i="1" s="1"/>
  <c r="Q213" i="1"/>
  <c r="X71" i="1"/>
  <c r="N60" i="1"/>
  <c r="P57" i="1"/>
  <c r="N33" i="1"/>
  <c r="T50" i="1"/>
  <c r="N37" i="1"/>
  <c r="T29" i="1"/>
  <c r="Z173" i="1"/>
  <c r="Y173" i="1" s="1"/>
  <c r="X109" i="1"/>
  <c r="W109" i="1" s="1"/>
  <c r="Z213" i="1"/>
  <c r="Y213" i="1" s="1"/>
  <c r="Q76" i="1"/>
  <c r="O57" i="1"/>
  <c r="Q57" i="1"/>
  <c r="Q21" i="1"/>
  <c r="O37" i="1"/>
  <c r="Z102" i="1"/>
  <c r="Y102" i="1" s="1"/>
  <c r="O133" i="1"/>
  <c r="P213" i="1"/>
  <c r="N221" i="1"/>
  <c r="Q180" i="1"/>
  <c r="N261" i="1"/>
  <c r="Q206" i="1"/>
  <c r="T227" i="1"/>
  <c r="O162" i="1"/>
  <c r="S149" i="1"/>
  <c r="P147" i="1"/>
  <c r="Q173" i="1"/>
  <c r="T263" i="1"/>
  <c r="X180" i="1"/>
  <c r="N173" i="1"/>
  <c r="R143" i="1"/>
  <c r="O263" i="1"/>
  <c r="T255" i="1"/>
  <c r="T194" i="1"/>
  <c r="O195" i="1"/>
  <c r="R177" i="1"/>
  <c r="Q200" i="1"/>
  <c r="Z180" i="1"/>
  <c r="O173" i="1"/>
  <c r="S227" i="1"/>
  <c r="S208" i="1"/>
  <c r="T178" i="1"/>
  <c r="S157" i="1"/>
  <c r="Q133" i="1"/>
  <c r="N161" i="1"/>
  <c r="X147" i="1"/>
  <c r="O122" i="1"/>
  <c r="O125" i="1"/>
  <c r="S108" i="1"/>
  <c r="R122" i="1"/>
  <c r="O108" i="1"/>
  <c r="Z103" i="1"/>
  <c r="Q95" i="1"/>
  <c r="S76" i="1"/>
  <c r="S126" i="1"/>
  <c r="T71" i="1"/>
  <c r="R54" i="1"/>
  <c r="X95" i="1"/>
  <c r="W95" i="1" s="1"/>
  <c r="P71" i="1"/>
  <c r="X111" i="1"/>
  <c r="W111" i="1" s="1"/>
  <c r="T30" i="1"/>
  <c r="S50" i="1"/>
  <c r="R57" i="1"/>
  <c r="P117" i="1"/>
  <c r="O50" i="1"/>
  <c r="Q37" i="1"/>
  <c r="Z18" i="1"/>
  <c r="S30" i="1"/>
  <c r="P24" i="1"/>
  <c r="Z24" i="1"/>
  <c r="Y24" i="1" s="1"/>
  <c r="X24" i="1"/>
  <c r="Q197" i="1"/>
  <c r="X228" i="1"/>
  <c r="W228" i="1" s="1"/>
  <c r="X116" i="1"/>
  <c r="X235" i="1"/>
  <c r="W235" i="1" s="1"/>
  <c r="Z17" i="1"/>
  <c r="T49" i="1"/>
  <c r="Z133" i="1"/>
  <c r="Y133" i="1" s="1"/>
  <c r="Z232" i="1"/>
  <c r="Y232" i="1" s="1"/>
  <c r="P157" i="1"/>
  <c r="N253" i="1"/>
  <c r="S230" i="1"/>
  <c r="O200" i="1"/>
  <c r="Q149" i="1"/>
  <c r="Q263" i="1"/>
  <c r="Z253" i="1"/>
  <c r="Y253" i="1" s="1"/>
  <c r="Z197" i="1"/>
  <c r="Y197" i="1" s="1"/>
  <c r="N180" i="1"/>
  <c r="X212" i="1"/>
  <c r="R173" i="1"/>
  <c r="T208" i="1"/>
  <c r="R164" i="1"/>
  <c r="T157" i="1"/>
  <c r="S140" i="1"/>
  <c r="O155" i="1"/>
  <c r="R152" i="1"/>
  <c r="O147" i="1"/>
  <c r="R128" i="1"/>
  <c r="R125" i="1"/>
  <c r="Z105" i="1"/>
  <c r="R95" i="1"/>
  <c r="O105" i="1"/>
  <c r="R47" i="1"/>
  <c r="Y9" i="1"/>
  <c r="S57" i="1"/>
  <c r="X98" i="1"/>
  <c r="S34" i="1"/>
  <c r="P50" i="1"/>
  <c r="Z34" i="1"/>
  <c r="N18" i="1"/>
  <c r="X56" i="1"/>
  <c r="N88" i="1"/>
  <c r="R72" i="1"/>
  <c r="O150" i="1"/>
  <c r="S150" i="1"/>
  <c r="X240" i="1"/>
  <c r="Q227" i="1"/>
  <c r="R149" i="1"/>
  <c r="O253" i="1"/>
  <c r="Q156" i="1"/>
  <c r="R147" i="1"/>
  <c r="Q125" i="1"/>
  <c r="S148" i="1"/>
  <c r="S194" i="1"/>
  <c r="S195" i="1"/>
  <c r="R207" i="1"/>
  <c r="Z122" i="1"/>
  <c r="Y122" i="1" s="1"/>
  <c r="R148" i="1"/>
  <c r="P111" i="1"/>
  <c r="Q253" i="1"/>
  <c r="Q247" i="1"/>
  <c r="O254" i="1"/>
  <c r="R197" i="1"/>
  <c r="T180" i="1"/>
  <c r="P212" i="1"/>
  <c r="T242" i="1"/>
  <c r="Z199" i="1"/>
  <c r="Y199" i="1" s="1"/>
  <c r="P133" i="1"/>
  <c r="N155" i="1"/>
  <c r="Q147" i="1"/>
  <c r="P148" i="1"/>
  <c r="R105" i="1"/>
  <c r="P95" i="1"/>
  <c r="Q50" i="1"/>
  <c r="N34" i="1"/>
  <c r="O54" i="1"/>
  <c r="Q157" i="1"/>
  <c r="Q101" i="1"/>
  <c r="R101" i="1"/>
  <c r="P101" i="1"/>
  <c r="O101" i="1"/>
  <c r="O197" i="1"/>
  <c r="R158" i="1"/>
  <c r="Y97" i="1"/>
  <c r="T22" i="1"/>
  <c r="W197" i="1"/>
  <c r="O194" i="1"/>
  <c r="Q143" i="1"/>
  <c r="S117" i="1"/>
  <c r="X157" i="1"/>
  <c r="X99" i="1"/>
  <c r="Q108" i="1"/>
  <c r="R232" i="1"/>
  <c r="R108" i="1"/>
  <c r="O231" i="1"/>
  <c r="X195" i="1"/>
  <c r="S197" i="1"/>
  <c r="P191" i="1"/>
  <c r="Z150" i="1"/>
  <c r="O207" i="1"/>
  <c r="Q148" i="1"/>
  <c r="S60" i="1"/>
  <c r="T59" i="1"/>
  <c r="N126" i="1"/>
  <c r="R3" i="1"/>
  <c r="N89" i="1"/>
  <c r="S98" i="1"/>
  <c r="R50" i="1"/>
  <c r="O34" i="1"/>
  <c r="O22" i="1"/>
  <c r="P15" i="1"/>
  <c r="S78" i="1"/>
  <c r="P8" i="1"/>
  <c r="Z106" i="1"/>
  <c r="Y106" i="1" s="1"/>
  <c r="S106" i="1"/>
  <c r="S102" i="1"/>
  <c r="S228" i="1"/>
  <c r="N158" i="1"/>
  <c r="Y224" i="1"/>
  <c r="Y138" i="1"/>
  <c r="W91" i="1"/>
  <c r="Y200" i="1"/>
  <c r="Y201" i="1"/>
  <c r="Y240" i="1"/>
  <c r="W175" i="1"/>
  <c r="W258" i="1"/>
  <c r="W240" i="1"/>
  <c r="Y153" i="1"/>
  <c r="Y237" i="1"/>
  <c r="Y235" i="1"/>
  <c r="W262" i="1"/>
  <c r="T190" i="1"/>
  <c r="S190" i="1"/>
  <c r="R190" i="1"/>
  <c r="X190" i="1"/>
  <c r="N190" i="1"/>
  <c r="Q190" i="1"/>
  <c r="W56" i="1"/>
  <c r="W171" i="1"/>
  <c r="Y233" i="1"/>
  <c r="W121" i="1"/>
  <c r="R240" i="1"/>
  <c r="Y104" i="1"/>
  <c r="W88" i="1"/>
  <c r="T244" i="1"/>
  <c r="P244" i="1"/>
  <c r="O244" i="1"/>
  <c r="N244" i="1"/>
  <c r="Z244" i="1"/>
  <c r="S244" i="1"/>
  <c r="R244" i="1"/>
  <c r="Y192" i="1"/>
  <c r="Y8" i="1"/>
  <c r="T248" i="1"/>
  <c r="R248" i="1"/>
  <c r="Q248" i="1"/>
  <c r="P248" i="1"/>
  <c r="X248" i="1"/>
  <c r="O248" i="1"/>
  <c r="Z248" i="1"/>
  <c r="N248" i="1"/>
  <c r="S249" i="1"/>
  <c r="Z249" i="1"/>
  <c r="R249" i="1"/>
  <c r="Q249" i="1"/>
  <c r="P249" i="1"/>
  <c r="Y169" i="1"/>
  <c r="Z84" i="1"/>
  <c r="X84" i="1"/>
  <c r="T84" i="1"/>
  <c r="R84" i="1"/>
  <c r="S84" i="1"/>
  <c r="Q84" i="1"/>
  <c r="P84" i="1"/>
  <c r="O84" i="1"/>
  <c r="N84" i="1"/>
  <c r="W172" i="1"/>
  <c r="Y30" i="1"/>
  <c r="W55" i="1"/>
  <c r="Y39" i="1"/>
  <c r="X249" i="1"/>
  <c r="N249" i="1"/>
  <c r="T223" i="1"/>
  <c r="S223" i="1"/>
  <c r="R223" i="1"/>
  <c r="Q223" i="1"/>
  <c r="P223" i="1"/>
  <c r="O223" i="1"/>
  <c r="X223" i="1"/>
  <c r="W214" i="1"/>
  <c r="P229" i="1"/>
  <c r="O229" i="1"/>
  <c r="N229" i="1"/>
  <c r="S229" i="1"/>
  <c r="Q229" i="1"/>
  <c r="W174" i="1"/>
  <c r="Y245" i="1"/>
  <c r="W200" i="1"/>
  <c r="Z172" i="1"/>
  <c r="R172" i="1"/>
  <c r="Q172" i="1"/>
  <c r="P172" i="1"/>
  <c r="W236" i="1"/>
  <c r="O237" i="1"/>
  <c r="Q262" i="1"/>
  <c r="T262" i="1"/>
  <c r="R262" i="1"/>
  <c r="P262" i="1"/>
  <c r="X244" i="1"/>
  <c r="S251" i="1"/>
  <c r="X201" i="1"/>
  <c r="T201" i="1"/>
  <c r="S201" i="1"/>
  <c r="R201" i="1"/>
  <c r="N201" i="1"/>
  <c r="Y231" i="1"/>
  <c r="Z212" i="1"/>
  <c r="N212" i="1"/>
  <c r="Z252" i="1"/>
  <c r="Y103" i="1"/>
  <c r="Y67" i="1"/>
  <c r="X31" i="1"/>
  <c r="T31" i="1"/>
  <c r="P31" i="1"/>
  <c r="S31" i="1"/>
  <c r="R31" i="1"/>
  <c r="Q31" i="1"/>
  <c r="O31" i="1"/>
  <c r="Y21" i="1"/>
  <c r="Y4" i="1"/>
  <c r="W263" i="1"/>
  <c r="O262" i="1"/>
  <c r="Y225" i="1"/>
  <c r="Y228" i="1"/>
  <c r="W205" i="1"/>
  <c r="T251" i="1"/>
  <c r="X255" i="1"/>
  <c r="R229" i="1"/>
  <c r="Q188" i="1"/>
  <c r="N188" i="1"/>
  <c r="X188" i="1"/>
  <c r="O212" i="1"/>
  <c r="O242" i="1"/>
  <c r="W170" i="1"/>
  <c r="N141" i="1"/>
  <c r="R141" i="1"/>
  <c r="T141" i="1"/>
  <c r="S141" i="1"/>
  <c r="Q141" i="1"/>
  <c r="P141" i="1"/>
  <c r="O141" i="1"/>
  <c r="Z141" i="1"/>
  <c r="X141" i="1"/>
  <c r="W96" i="1"/>
  <c r="W209" i="1"/>
  <c r="S169" i="1"/>
  <c r="R169" i="1"/>
  <c r="O169" i="1"/>
  <c r="N169" i="1"/>
  <c r="T169" i="1"/>
  <c r="X169" i="1"/>
  <c r="Q48" i="1"/>
  <c r="T48" i="1"/>
  <c r="S48" i="1"/>
  <c r="R48" i="1"/>
  <c r="O48" i="1"/>
  <c r="X48" i="1"/>
  <c r="Z48" i="1"/>
  <c r="P48" i="1"/>
  <c r="X36" i="1"/>
  <c r="T36" i="1"/>
  <c r="R36" i="1"/>
  <c r="Q36" i="1"/>
  <c r="P36" i="1"/>
  <c r="Y63" i="1"/>
  <c r="W266" i="1"/>
  <c r="N240" i="1"/>
  <c r="Y188" i="1"/>
  <c r="T92" i="1"/>
  <c r="Q92" i="1"/>
  <c r="O92" i="1"/>
  <c r="Z92" i="1"/>
  <c r="X92" i="1"/>
  <c r="P92" i="1"/>
  <c r="S92" i="1"/>
  <c r="Y258" i="1"/>
  <c r="W189" i="1"/>
  <c r="S240" i="1"/>
  <c r="W120" i="1"/>
  <c r="W64" i="1"/>
  <c r="W147" i="1"/>
  <c r="X224" i="1"/>
  <c r="Q224" i="1"/>
  <c r="Y262" i="1"/>
  <c r="O190" i="1"/>
  <c r="W247" i="1"/>
  <c r="Y241" i="1"/>
  <c r="Y236" i="1"/>
  <c r="W98" i="1"/>
  <c r="T266" i="1"/>
  <c r="S266" i="1"/>
  <c r="O266" i="1"/>
  <c r="Z266" i="1"/>
  <c r="Y261" i="1"/>
  <c r="N230" i="1"/>
  <c r="O230" i="1"/>
  <c r="T230" i="1"/>
  <c r="W180" i="1"/>
  <c r="N202" i="1"/>
  <c r="Z156" i="1"/>
  <c r="T156" i="1"/>
  <c r="X156" i="1"/>
  <c r="S156" i="1"/>
  <c r="O156" i="1"/>
  <c r="Q258" i="1"/>
  <c r="O258" i="1"/>
  <c r="S258" i="1"/>
  <c r="W99" i="1"/>
  <c r="N258" i="1"/>
  <c r="N252" i="1"/>
  <c r="R252" i="1"/>
  <c r="X252" i="1"/>
  <c r="P252" i="1"/>
  <c r="Q252" i="1"/>
  <c r="W181" i="1"/>
  <c r="Y263" i="1"/>
  <c r="W265" i="1"/>
  <c r="W259" i="1"/>
  <c r="W103" i="1"/>
  <c r="P120" i="1"/>
  <c r="N120" i="1"/>
  <c r="O120" i="1"/>
  <c r="Z120" i="1"/>
  <c r="Q120" i="1"/>
  <c r="R120" i="1"/>
  <c r="T120" i="1"/>
  <c r="S120" i="1"/>
  <c r="N77" i="1"/>
  <c r="T77" i="1"/>
  <c r="S77" i="1"/>
  <c r="X77" i="1"/>
  <c r="Z77" i="1"/>
  <c r="O77" i="1"/>
  <c r="Y49" i="1"/>
  <c r="W245" i="1"/>
  <c r="T261" i="1"/>
  <c r="W250" i="1"/>
  <c r="T225" i="1"/>
  <c r="R225" i="1"/>
  <c r="Q225" i="1"/>
  <c r="P225" i="1"/>
  <c r="O225" i="1"/>
  <c r="X225" i="1"/>
  <c r="N225" i="1"/>
  <c r="X251" i="1"/>
  <c r="S224" i="1"/>
  <c r="S255" i="1"/>
  <c r="Z229" i="1"/>
  <c r="P240" i="1"/>
  <c r="W154" i="1"/>
  <c r="N182" i="1"/>
  <c r="O182" i="1"/>
  <c r="X182" i="1"/>
  <c r="Q182" i="1"/>
  <c r="P182" i="1"/>
  <c r="R182" i="1"/>
  <c r="W183" i="1"/>
  <c r="N236" i="1"/>
  <c r="S236" i="1"/>
  <c r="W191" i="1"/>
  <c r="O210" i="1"/>
  <c r="W151" i="1"/>
  <c r="W155" i="1"/>
  <c r="W76" i="1"/>
  <c r="W94" i="1"/>
  <c r="Y89" i="1"/>
  <c r="O36" i="1"/>
  <c r="X127" i="1"/>
  <c r="W14" i="1"/>
  <c r="W63" i="1"/>
  <c r="Y47" i="1"/>
  <c r="W195" i="1"/>
  <c r="Y181" i="1"/>
  <c r="Y246" i="1"/>
  <c r="T249" i="1"/>
  <c r="N224" i="1"/>
  <c r="R230" i="1"/>
  <c r="Y148" i="1"/>
  <c r="Q32" i="1"/>
  <c r="P32" i="1"/>
  <c r="O32" i="1"/>
  <c r="R32" i="1"/>
  <c r="T32" i="1"/>
  <c r="S32" i="1"/>
  <c r="X32" i="1"/>
  <c r="Z32" i="1"/>
  <c r="R91" i="1"/>
  <c r="T91" i="1"/>
  <c r="S91" i="1"/>
  <c r="Q91" i="1"/>
  <c r="O91" i="1"/>
  <c r="Z91" i="1"/>
  <c r="Y18" i="1"/>
  <c r="Q266" i="1"/>
  <c r="S254" i="1"/>
  <c r="O255" i="1"/>
  <c r="N172" i="1"/>
  <c r="O176" i="1"/>
  <c r="T176" i="1"/>
  <c r="S176" i="1"/>
  <c r="P176" i="1"/>
  <c r="Z176" i="1"/>
  <c r="R176" i="1"/>
  <c r="N176" i="1"/>
  <c r="Q176" i="1"/>
  <c r="X176" i="1"/>
  <c r="R198" i="1"/>
  <c r="O198" i="1"/>
  <c r="N198" i="1"/>
  <c r="P198" i="1"/>
  <c r="X198" i="1"/>
  <c r="S198" i="1"/>
  <c r="Z198" i="1"/>
  <c r="Q198" i="1"/>
  <c r="T198" i="1"/>
  <c r="Y36" i="1"/>
  <c r="Y259" i="1"/>
  <c r="Y182" i="1"/>
  <c r="R156" i="1"/>
  <c r="Y134" i="1"/>
  <c r="W264" i="1"/>
  <c r="Y189" i="1"/>
  <c r="Z255" i="1"/>
  <c r="Y257" i="1"/>
  <c r="Y250" i="1"/>
  <c r="N223" i="1"/>
  <c r="Z206" i="1"/>
  <c r="X206" i="1"/>
  <c r="T206" i="1"/>
  <c r="O206" i="1"/>
  <c r="S206" i="1"/>
  <c r="P206" i="1"/>
  <c r="W186" i="1"/>
  <c r="Y211" i="1"/>
  <c r="W239" i="1"/>
  <c r="X177" i="1"/>
  <c r="Z177" i="1"/>
  <c r="T177" i="1"/>
  <c r="Q177" i="1"/>
  <c r="P177" i="1"/>
  <c r="W146" i="1"/>
  <c r="W221" i="1"/>
  <c r="Y227" i="1"/>
  <c r="Y171" i="1"/>
  <c r="O172" i="1"/>
  <c r="W220" i="1"/>
  <c r="W162" i="1"/>
  <c r="O136" i="1"/>
  <c r="N136" i="1"/>
  <c r="T136" i="1"/>
  <c r="Q136" i="1"/>
  <c r="R136" i="1"/>
  <c r="S136" i="1"/>
  <c r="P136" i="1"/>
  <c r="X136" i="1"/>
  <c r="P91" i="1"/>
  <c r="W23" i="1"/>
  <c r="W33" i="1"/>
  <c r="Y19" i="1"/>
  <c r="W222" i="1"/>
  <c r="W185" i="1"/>
  <c r="W217" i="1"/>
  <c r="S187" i="1"/>
  <c r="T187" i="1"/>
  <c r="X187" i="1"/>
  <c r="Q187" i="1"/>
  <c r="Z187" i="1"/>
  <c r="P187" i="1"/>
  <c r="W212" i="1"/>
  <c r="Y190" i="1"/>
  <c r="W89" i="1"/>
  <c r="W194" i="1"/>
  <c r="Y11" i="1"/>
  <c r="N266" i="1"/>
  <c r="P261" i="1"/>
  <c r="S261" i="1"/>
  <c r="Q261" i="1"/>
  <c r="O261" i="1"/>
  <c r="P230" i="1"/>
  <c r="R254" i="1"/>
  <c r="Q254" i="1"/>
  <c r="P254" i="1"/>
  <c r="X254" i="1"/>
  <c r="O79" i="1"/>
  <c r="T79" i="1"/>
  <c r="R79" i="1"/>
  <c r="Q79" i="1"/>
  <c r="P79" i="1"/>
  <c r="N79" i="1"/>
  <c r="Z79" i="1"/>
  <c r="X79" i="1"/>
  <c r="P266" i="1"/>
  <c r="Q244" i="1"/>
  <c r="W204" i="1"/>
  <c r="Y180" i="1"/>
  <c r="P215" i="1"/>
  <c r="Z215" i="1"/>
  <c r="X215" i="1"/>
  <c r="R215" i="1"/>
  <c r="T229" i="1"/>
  <c r="N156" i="1"/>
  <c r="W106" i="1"/>
  <c r="S119" i="1"/>
  <c r="O119" i="1"/>
  <c r="P119" i="1"/>
  <c r="N119" i="1"/>
  <c r="T119" i="1"/>
  <c r="R119" i="1"/>
  <c r="X119" i="1"/>
  <c r="Y31" i="1"/>
  <c r="Y46" i="1"/>
  <c r="Q237" i="1"/>
  <c r="P237" i="1"/>
  <c r="N237" i="1"/>
  <c r="T237" i="1"/>
  <c r="S237" i="1"/>
  <c r="R237" i="1"/>
  <c r="W242" i="1"/>
  <c r="Y94" i="1"/>
  <c r="Y152" i="1"/>
  <c r="Z119" i="1"/>
  <c r="Y17" i="1"/>
  <c r="Q215" i="1"/>
  <c r="X229" i="1"/>
  <c r="Y196" i="1"/>
  <c r="S212" i="1"/>
  <c r="Y160" i="1"/>
  <c r="W161" i="1"/>
  <c r="T212" i="1"/>
  <c r="X153" i="1"/>
  <c r="N153" i="1"/>
  <c r="P153" i="1"/>
  <c r="O153" i="1"/>
  <c r="S153" i="1"/>
  <c r="R153" i="1"/>
  <c r="Q153" i="1"/>
  <c r="R242" i="1"/>
  <c r="N242" i="1"/>
  <c r="Q242" i="1"/>
  <c r="R251" i="1"/>
  <c r="T260" i="1"/>
  <c r="O260" i="1"/>
  <c r="R260" i="1"/>
  <c r="Q260" i="1"/>
  <c r="P260" i="1"/>
  <c r="R263" i="1"/>
  <c r="P263" i="1"/>
  <c r="N260" i="1"/>
  <c r="X261" i="1"/>
  <c r="S218" i="1"/>
  <c r="R218" i="1"/>
  <c r="Q218" i="1"/>
  <c r="P218" i="1"/>
  <c r="O218" i="1"/>
  <c r="N218" i="1"/>
  <c r="X218" i="1"/>
  <c r="Z218" i="1"/>
  <c r="T247" i="1"/>
  <c r="P247" i="1"/>
  <c r="R247" i="1"/>
  <c r="X237" i="1"/>
  <c r="Z265" i="1"/>
  <c r="S265" i="1"/>
  <c r="P265" i="1"/>
  <c r="N265" i="1"/>
  <c r="Z223" i="1"/>
  <c r="T254" i="1"/>
  <c r="Q251" i="1"/>
  <c r="N206" i="1"/>
  <c r="N187" i="1"/>
  <c r="P224" i="1"/>
  <c r="N231" i="1"/>
  <c r="N177" i="1"/>
  <c r="X230" i="1"/>
  <c r="Y184" i="1"/>
  <c r="P227" i="1"/>
  <c r="X227" i="1"/>
  <c r="S172" i="1"/>
  <c r="Y145" i="1"/>
  <c r="Z242" i="1"/>
  <c r="Y162" i="1"/>
  <c r="Z210" i="1"/>
  <c r="X210" i="1"/>
  <c r="P210" i="1"/>
  <c r="T210" i="1"/>
  <c r="S210" i="1"/>
  <c r="R210" i="1"/>
  <c r="W157" i="1"/>
  <c r="Z144" i="1"/>
  <c r="X144" i="1"/>
  <c r="Q144" i="1"/>
  <c r="N144" i="1"/>
  <c r="O144" i="1"/>
  <c r="T144" i="1"/>
  <c r="S144" i="1"/>
  <c r="Y136" i="1"/>
  <c r="W90" i="1"/>
  <c r="N31" i="1"/>
  <c r="W16" i="1"/>
  <c r="Y256" i="1"/>
  <c r="Y221" i="1"/>
  <c r="W46" i="1"/>
  <c r="W29" i="1"/>
  <c r="Y251" i="1"/>
  <c r="W238" i="1"/>
  <c r="W202" i="1"/>
  <c r="Y45" i="1"/>
  <c r="P202" i="1"/>
  <c r="S202" i="1"/>
  <c r="R202" i="1"/>
  <c r="Q202" i="1"/>
  <c r="O202" i="1"/>
  <c r="Z202" i="1"/>
  <c r="Y203" i="1"/>
  <c r="W192" i="1"/>
  <c r="N255" i="1"/>
  <c r="R107" i="1"/>
  <c r="Q107" i="1"/>
  <c r="P107" i="1"/>
  <c r="O107" i="1"/>
  <c r="Z107" i="1"/>
  <c r="S107" i="1"/>
  <c r="T107" i="1"/>
  <c r="N107" i="1"/>
  <c r="X107" i="1"/>
  <c r="W231" i="1"/>
  <c r="T200" i="1"/>
  <c r="S200" i="1"/>
  <c r="P200" i="1"/>
  <c r="W133" i="1"/>
  <c r="W152" i="1"/>
  <c r="Y55" i="1"/>
  <c r="N91" i="1"/>
  <c r="N215" i="1"/>
  <c r="Y204" i="1"/>
  <c r="W219" i="1"/>
  <c r="P156" i="1"/>
  <c r="X138" i="1"/>
  <c r="T138" i="1"/>
  <c r="Q138" i="1"/>
  <c r="R138" i="1"/>
  <c r="P138" i="1"/>
  <c r="O138" i="1"/>
  <c r="S138" i="1"/>
  <c r="N138" i="1"/>
  <c r="N262" i="1"/>
  <c r="Z254" i="1"/>
  <c r="R255" i="1"/>
  <c r="R187" i="1"/>
  <c r="T240" i="1"/>
  <c r="Q240" i="1"/>
  <c r="O240" i="1"/>
  <c r="Y183" i="1"/>
  <c r="S252" i="1"/>
  <c r="P190" i="1"/>
  <c r="T175" i="1"/>
  <c r="Y137" i="1"/>
  <c r="Y260" i="1"/>
  <c r="W260" i="1"/>
  <c r="P258" i="1"/>
  <c r="W256" i="1"/>
  <c r="Y247" i="1"/>
  <c r="S232" i="1"/>
  <c r="X232" i="1"/>
  <c r="O232" i="1"/>
  <c r="Q232" i="1"/>
  <c r="P232" i="1"/>
  <c r="N232" i="1"/>
  <c r="Y217" i="1"/>
  <c r="P255" i="1"/>
  <c r="Y186" i="1"/>
  <c r="O187" i="1"/>
  <c r="Y239" i="1"/>
  <c r="R224" i="1"/>
  <c r="O177" i="1"/>
  <c r="Z230" i="1"/>
  <c r="T172" i="1"/>
  <c r="W193" i="1"/>
  <c r="W241" i="1"/>
  <c r="X122" i="1"/>
  <c r="T122" i="1"/>
  <c r="Q122" i="1"/>
  <c r="N122" i="1"/>
  <c r="Z131" i="1"/>
  <c r="R92" i="1"/>
  <c r="Q130" i="1"/>
  <c r="T130" i="1"/>
  <c r="X130" i="1"/>
  <c r="Z130" i="1"/>
  <c r="N130" i="1"/>
  <c r="R130" i="1"/>
  <c r="W196" i="1"/>
  <c r="Y219" i="1"/>
  <c r="Y191" i="1"/>
  <c r="O165" i="1"/>
  <c r="X216" i="1"/>
  <c r="Y150" i="1"/>
  <c r="P208" i="1"/>
  <c r="Q162" i="1"/>
  <c r="X178" i="1"/>
  <c r="T159" i="1"/>
  <c r="Q159" i="1"/>
  <c r="P159" i="1"/>
  <c r="W160" i="1"/>
  <c r="Y142" i="1"/>
  <c r="O164" i="1"/>
  <c r="N164" i="1"/>
  <c r="S124" i="1"/>
  <c r="R124" i="1"/>
  <c r="O124" i="1"/>
  <c r="Z124" i="1"/>
  <c r="X124" i="1"/>
  <c r="T124" i="1"/>
  <c r="P124" i="1"/>
  <c r="S152" i="1"/>
  <c r="P140" i="1"/>
  <c r="N148" i="1"/>
  <c r="S99" i="1"/>
  <c r="N108" i="1"/>
  <c r="T99" i="1"/>
  <c r="S62" i="1"/>
  <c r="Q62" i="1"/>
  <c r="P62" i="1"/>
  <c r="O62" i="1"/>
  <c r="N62" i="1"/>
  <c r="T62" i="1"/>
  <c r="X62" i="1"/>
  <c r="Y96" i="1"/>
  <c r="R80" i="1"/>
  <c r="N80" i="1"/>
  <c r="S80" i="1"/>
  <c r="X80" i="1"/>
  <c r="T80" i="1"/>
  <c r="Y59" i="1"/>
  <c r="N76" i="1"/>
  <c r="O60" i="1"/>
  <c r="W116" i="1"/>
  <c r="T60" i="1"/>
  <c r="Z60" i="1"/>
  <c r="S111" i="1"/>
  <c r="Y73" i="1"/>
  <c r="P127" i="1"/>
  <c r="Z25" i="1"/>
  <c r="P25" i="1"/>
  <c r="Q25" i="1"/>
  <c r="R25" i="1"/>
  <c r="Y117" i="1"/>
  <c r="X37" i="1"/>
  <c r="T37" i="1"/>
  <c r="P37" i="1"/>
  <c r="Z37" i="1"/>
  <c r="S25" i="1"/>
  <c r="T78" i="1"/>
  <c r="Y2" i="1"/>
  <c r="S56" i="1"/>
  <c r="Y7" i="1"/>
  <c r="Z35" i="1"/>
  <c r="Y75" i="1"/>
  <c r="X49" i="1"/>
  <c r="W45" i="1"/>
  <c r="W86" i="1"/>
  <c r="Y14" i="1"/>
  <c r="Y15" i="1"/>
  <c r="W42" i="1"/>
  <c r="R4" i="1"/>
  <c r="P4" i="1"/>
  <c r="T4" i="1"/>
  <c r="Q4" i="1"/>
  <c r="O4" i="1"/>
  <c r="O16" i="1"/>
  <c r="Q16" i="1"/>
  <c r="N16" i="1"/>
  <c r="P16" i="1"/>
  <c r="Y5" i="1"/>
  <c r="S19" i="1"/>
  <c r="R19" i="1"/>
  <c r="Q19" i="1"/>
  <c r="P19" i="1"/>
  <c r="N4" i="1"/>
  <c r="O35" i="1"/>
  <c r="W12" i="1"/>
  <c r="W65" i="1"/>
  <c r="W44" i="1"/>
  <c r="W59" i="1"/>
  <c r="Y57" i="1"/>
  <c r="T127" i="1"/>
  <c r="Y44" i="1"/>
  <c r="W57" i="1"/>
  <c r="N51" i="1"/>
  <c r="Q63" i="1"/>
  <c r="R63" i="1"/>
  <c r="T63" i="1"/>
  <c r="S63" i="1"/>
  <c r="Z16" i="1"/>
  <c r="T16" i="1"/>
  <c r="N19" i="1"/>
  <c r="N46" i="1"/>
  <c r="N78" i="1"/>
  <c r="P35" i="1"/>
  <c r="Y12" i="1"/>
  <c r="N56" i="1"/>
  <c r="R171" i="1"/>
  <c r="T171" i="1"/>
  <c r="S171" i="1"/>
  <c r="O171" i="1"/>
  <c r="N171" i="1"/>
  <c r="P165" i="1"/>
  <c r="R191" i="1"/>
  <c r="O208" i="1"/>
  <c r="Z216" i="1"/>
  <c r="X207" i="1"/>
  <c r="S170" i="1"/>
  <c r="S164" i="1"/>
  <c r="Z143" i="1"/>
  <c r="X143" i="1"/>
  <c r="O143" i="1"/>
  <c r="Q178" i="1"/>
  <c r="Y157" i="1"/>
  <c r="N199" i="1"/>
  <c r="Y121" i="1"/>
  <c r="W134" i="1"/>
  <c r="R131" i="1"/>
  <c r="P131" i="1"/>
  <c r="O131" i="1"/>
  <c r="N131" i="1"/>
  <c r="Y209" i="1"/>
  <c r="Y101" i="1"/>
  <c r="P44" i="1"/>
  <c r="N44" i="1"/>
  <c r="R44" i="1"/>
  <c r="S44" i="1"/>
  <c r="Y74" i="1"/>
  <c r="O81" i="1"/>
  <c r="Z52" i="1"/>
  <c r="N25" i="1"/>
  <c r="N127" i="1"/>
  <c r="O44" i="1"/>
  <c r="O51" i="1"/>
  <c r="T39" i="1"/>
  <c r="W38" i="1"/>
  <c r="N63" i="1"/>
  <c r="W34" i="1"/>
  <c r="S16" i="1"/>
  <c r="Y29" i="1"/>
  <c r="Y68" i="1"/>
  <c r="O19" i="1"/>
  <c r="T15" i="1"/>
  <c r="S15" i="1"/>
  <c r="Q35" i="1"/>
  <c r="X22" i="1"/>
  <c r="X11" i="1"/>
  <c r="W24" i="1"/>
  <c r="N49" i="1"/>
  <c r="O56" i="1"/>
  <c r="Y20" i="1"/>
  <c r="O257" i="1"/>
  <c r="X257" i="1"/>
  <c r="T257" i="1"/>
  <c r="S257" i="1"/>
  <c r="R257" i="1"/>
  <c r="R253" i="1"/>
  <c r="P253" i="1"/>
  <c r="T253" i="1"/>
  <c r="X253" i="1"/>
  <c r="Y238" i="1"/>
  <c r="X211" i="1"/>
  <c r="R211" i="1"/>
  <c r="Q211" i="1"/>
  <c r="P211" i="1"/>
  <c r="O211" i="1"/>
  <c r="R174" i="1"/>
  <c r="Z174" i="1"/>
  <c r="T174" i="1"/>
  <c r="S174" i="1"/>
  <c r="R227" i="1"/>
  <c r="O186" i="1"/>
  <c r="Y193" i="1"/>
  <c r="Y264" i="1"/>
  <c r="Q216" i="1"/>
  <c r="Y222" i="1"/>
  <c r="P207" i="1"/>
  <c r="W203" i="1"/>
  <c r="P143" i="1"/>
  <c r="R178" i="1"/>
  <c r="S159" i="1"/>
  <c r="N175" i="1"/>
  <c r="W163" i="1"/>
  <c r="W135" i="1"/>
  <c r="O199" i="1"/>
  <c r="Y161" i="1"/>
  <c r="W115" i="1"/>
  <c r="Q131" i="1"/>
  <c r="Z112" i="1"/>
  <c r="X112" i="1"/>
  <c r="N112" i="1"/>
  <c r="Q112" i="1"/>
  <c r="X148" i="1"/>
  <c r="O112" i="1"/>
  <c r="Q80" i="1"/>
  <c r="O59" i="1"/>
  <c r="S59" i="1"/>
  <c r="R59" i="1"/>
  <c r="Q59" i="1"/>
  <c r="P59" i="1"/>
  <c r="W71" i="1"/>
  <c r="X81" i="1"/>
  <c r="Z81" i="1"/>
  <c r="Y69" i="1"/>
  <c r="Q81" i="1"/>
  <c r="T89" i="1"/>
  <c r="N52" i="1"/>
  <c r="O127" i="1"/>
  <c r="W41" i="1"/>
  <c r="P51" i="1"/>
  <c r="W100" i="1"/>
  <c r="P63" i="1"/>
  <c r="S37" i="1"/>
  <c r="N15" i="1"/>
  <c r="Q78" i="1"/>
  <c r="X52" i="1"/>
  <c r="Z22" i="1"/>
  <c r="O49" i="1"/>
  <c r="P56" i="1"/>
  <c r="Y220" i="1"/>
  <c r="X208" i="1"/>
  <c r="Y185" i="1"/>
  <c r="S216" i="1"/>
  <c r="W167" i="1"/>
  <c r="Q207" i="1"/>
  <c r="N162" i="1"/>
  <c r="N151" i="1"/>
  <c r="O175" i="1"/>
  <c r="Y163" i="1"/>
  <c r="P137" i="1"/>
  <c r="P199" i="1"/>
  <c r="R219" i="1"/>
  <c r="Y128" i="1"/>
  <c r="Y155" i="1"/>
  <c r="Q123" i="1"/>
  <c r="O123" i="1"/>
  <c r="N123" i="1"/>
  <c r="S123" i="1"/>
  <c r="X123" i="1"/>
  <c r="Z123" i="1"/>
  <c r="T152" i="1"/>
  <c r="Y147" i="1"/>
  <c r="X131" i="1"/>
  <c r="P112" i="1"/>
  <c r="W129" i="1"/>
  <c r="Y109" i="1"/>
  <c r="S72" i="1"/>
  <c r="R30" i="1"/>
  <c r="N30" i="1"/>
  <c r="O30" i="1"/>
  <c r="Q30" i="1"/>
  <c r="P30" i="1"/>
  <c r="X126" i="1"/>
  <c r="Y71" i="1"/>
  <c r="R81" i="1"/>
  <c r="W73" i="1"/>
  <c r="Z111" i="1"/>
  <c r="O25" i="1"/>
  <c r="Y3" i="1"/>
  <c r="O52" i="1"/>
  <c r="R127" i="1"/>
  <c r="R39" i="1"/>
  <c r="X39" i="1"/>
  <c r="W6" i="1"/>
  <c r="P17" i="1"/>
  <c r="O17" i="1"/>
  <c r="X17" i="1"/>
  <c r="Q51" i="1"/>
  <c r="Y28" i="1"/>
  <c r="Y34" i="1"/>
  <c r="S18" i="1"/>
  <c r="T18" i="1"/>
  <c r="O15" i="1"/>
  <c r="S35" i="1"/>
  <c r="Q71" i="1"/>
  <c r="P49" i="1"/>
  <c r="Q56" i="1"/>
  <c r="Q194" i="1"/>
  <c r="Z194" i="1"/>
  <c r="R194" i="1"/>
  <c r="P179" i="1"/>
  <c r="X179" i="1"/>
  <c r="Z179" i="1"/>
  <c r="Q179" i="1"/>
  <c r="S179" i="1"/>
  <c r="R179" i="1"/>
  <c r="T162" i="1"/>
  <c r="W184" i="1"/>
  <c r="Z178" i="1"/>
  <c r="P175" i="1"/>
  <c r="P151" i="1"/>
  <c r="S151" i="1"/>
  <c r="R151" i="1"/>
  <c r="P123" i="1"/>
  <c r="N152" i="1"/>
  <c r="S131" i="1"/>
  <c r="R112" i="1"/>
  <c r="P108" i="1"/>
  <c r="Z76" i="1"/>
  <c r="P105" i="1"/>
  <c r="W104" i="1"/>
  <c r="T76" i="1"/>
  <c r="O55" i="1"/>
  <c r="T55" i="1"/>
  <c r="R55" i="1"/>
  <c r="Q55" i="1"/>
  <c r="P55" i="1"/>
  <c r="W61" i="1"/>
  <c r="X30" i="1"/>
  <c r="P76" i="1"/>
  <c r="T3" i="1"/>
  <c r="S3" i="1"/>
  <c r="Q3" i="1"/>
  <c r="O3" i="1"/>
  <c r="P3" i="1"/>
  <c r="N3" i="1"/>
  <c r="X3" i="1"/>
  <c r="O89" i="1"/>
  <c r="P52" i="1"/>
  <c r="P21" i="1"/>
  <c r="Z127" i="1"/>
  <c r="Z98" i="1"/>
  <c r="R51" i="1"/>
  <c r="X47" i="1"/>
  <c r="X51" i="1"/>
  <c r="X25" i="1"/>
  <c r="S4" i="1"/>
  <c r="W26" i="1"/>
  <c r="X78" i="1"/>
  <c r="T35" i="1"/>
  <c r="Z51" i="1"/>
  <c r="Q49" i="1"/>
  <c r="W66" i="1"/>
  <c r="Z56" i="1"/>
  <c r="R56" i="1"/>
  <c r="N35" i="1"/>
  <c r="S165" i="1"/>
  <c r="N208" i="1"/>
  <c r="Y205" i="1"/>
  <c r="T216" i="1"/>
  <c r="W158" i="1"/>
  <c r="X164" i="1"/>
  <c r="W145" i="1"/>
  <c r="Q175" i="1"/>
  <c r="W226" i="1"/>
  <c r="Z151" i="1"/>
  <c r="T140" i="1"/>
  <c r="X140" i="1"/>
  <c r="W149" i="1"/>
  <c r="O152" i="1"/>
  <c r="Z140" i="1"/>
  <c r="Z175" i="1"/>
  <c r="T131" i="1"/>
  <c r="T86" i="1"/>
  <c r="R86" i="1"/>
  <c r="Q86" i="1"/>
  <c r="P86" i="1"/>
  <c r="O86" i="1"/>
  <c r="N86" i="1"/>
  <c r="Y146" i="1"/>
  <c r="T148" i="1"/>
  <c r="T112" i="1"/>
  <c r="Z86" i="1"/>
  <c r="W54" i="1"/>
  <c r="Q60" i="1"/>
  <c r="Z126" i="1"/>
  <c r="Y87" i="1"/>
  <c r="W70" i="1"/>
  <c r="T93" i="1"/>
  <c r="T81" i="1"/>
  <c r="W69" i="1"/>
  <c r="N111" i="1"/>
  <c r="X93" i="1"/>
  <c r="T45" i="1"/>
  <c r="Y23" i="1"/>
  <c r="Q52" i="1"/>
  <c r="S127" i="1"/>
  <c r="N117" i="1"/>
  <c r="X117" i="1"/>
  <c r="O63" i="1"/>
  <c r="Q111" i="1"/>
  <c r="T19" i="1"/>
  <c r="Q15" i="1"/>
  <c r="Z78" i="1"/>
  <c r="R11" i="1"/>
  <c r="P11" i="1"/>
  <c r="Q11" i="1"/>
  <c r="Y66" i="1"/>
  <c r="T56" i="1"/>
  <c r="Q208" i="1"/>
  <c r="P170" i="1"/>
  <c r="O170" i="1"/>
  <c r="W142" i="1"/>
  <c r="W233" i="1"/>
  <c r="W159" i="1"/>
  <c r="Q164" i="1"/>
  <c r="Y226" i="1"/>
  <c r="T137" i="1"/>
  <c r="Q137" i="1"/>
  <c r="X137" i="1"/>
  <c r="S137" i="1"/>
  <c r="R137" i="1"/>
  <c r="O137" i="1"/>
  <c r="N137" i="1"/>
  <c r="X199" i="1"/>
  <c r="Y149" i="1"/>
  <c r="R170" i="1"/>
  <c r="S103" i="1"/>
  <c r="Q103" i="1"/>
  <c r="P103" i="1"/>
  <c r="O103" i="1"/>
  <c r="R103" i="1"/>
  <c r="W67" i="1"/>
  <c r="W74" i="1"/>
  <c r="Q93" i="1"/>
  <c r="P81" i="1"/>
  <c r="O111" i="1"/>
  <c r="W68" i="1"/>
  <c r="Q44" i="1"/>
  <c r="R52" i="1"/>
  <c r="Y82" i="1"/>
  <c r="R33" i="1"/>
  <c r="P33" i="1"/>
  <c r="T33" i="1"/>
  <c r="Z33" i="1"/>
  <c r="O117" i="1"/>
  <c r="S51" i="1"/>
  <c r="X50" i="1"/>
  <c r="W18" i="1"/>
  <c r="Y26" i="1"/>
  <c r="O78" i="1"/>
  <c r="W2" i="1"/>
  <c r="R49" i="1"/>
  <c r="N105" i="1"/>
  <c r="Z165" i="1"/>
  <c r="X165" i="1"/>
  <c r="R165" i="1"/>
  <c r="Q165" i="1"/>
  <c r="W150" i="1"/>
  <c r="Y208" i="1"/>
  <c r="Y158" i="1"/>
  <c r="Z170" i="1"/>
  <c r="R175" i="1"/>
  <c r="Y168" i="1"/>
  <c r="X114" i="1"/>
  <c r="T114" i="1"/>
  <c r="S114" i="1"/>
  <c r="R114" i="1"/>
  <c r="Q114" i="1"/>
  <c r="P114" i="1"/>
  <c r="O114" i="1"/>
  <c r="N114" i="1"/>
  <c r="Z114" i="1"/>
  <c r="R140" i="1"/>
  <c r="Y135" i="1"/>
  <c r="Y125" i="1"/>
  <c r="Y83" i="1"/>
  <c r="W75" i="1"/>
  <c r="T46" i="1"/>
  <c r="S46" i="1"/>
  <c r="R46" i="1"/>
  <c r="Q46" i="1"/>
  <c r="P46" i="1"/>
  <c r="O46" i="1"/>
  <c r="Q72" i="1"/>
  <c r="P72" i="1"/>
  <c r="N72" i="1"/>
  <c r="Z72" i="1"/>
  <c r="T72" i="1"/>
  <c r="X72" i="1"/>
  <c r="W58" i="1"/>
  <c r="S95" i="1"/>
  <c r="T95" i="1"/>
  <c r="Z93" i="1"/>
  <c r="W43" i="1"/>
  <c r="W20" i="1"/>
  <c r="Y6" i="1"/>
  <c r="Y64" i="1"/>
  <c r="S21" i="1"/>
  <c r="N21" i="1"/>
  <c r="X21" i="1"/>
  <c r="S47" i="1"/>
  <c r="Q47" i="1"/>
  <c r="X15" i="1"/>
  <c r="R78" i="1"/>
  <c r="X35" i="1"/>
  <c r="P22" i="1"/>
  <c r="R21" i="1"/>
  <c r="S49" i="1"/>
  <c r="X8" i="1"/>
  <c r="S139" i="1"/>
  <c r="Q139" i="1"/>
  <c r="Z139" i="1"/>
  <c r="X139" i="1"/>
  <c r="T139" i="1"/>
  <c r="R139" i="1"/>
  <c r="P139" i="1"/>
  <c r="Z207" i="1"/>
  <c r="Z164" i="1"/>
  <c r="N143" i="1"/>
  <c r="Z159" i="1"/>
  <c r="S175" i="1"/>
  <c r="W113" i="1"/>
  <c r="W128" i="1"/>
  <c r="Q152" i="1"/>
  <c r="N140" i="1"/>
  <c r="T128" i="1"/>
  <c r="S128" i="1"/>
  <c r="Q128" i="1"/>
  <c r="P128" i="1"/>
  <c r="O128" i="1"/>
  <c r="N128" i="1"/>
  <c r="X83" i="1"/>
  <c r="T83" i="1"/>
  <c r="S83" i="1"/>
  <c r="Q83" i="1"/>
  <c r="P83" i="1"/>
  <c r="O83" i="1"/>
  <c r="N83" i="1"/>
  <c r="W110" i="1"/>
  <c r="W105" i="1"/>
  <c r="Y116" i="1"/>
  <c r="Y90" i="1"/>
  <c r="Y70" i="1"/>
  <c r="Z80" i="1"/>
  <c r="O72" i="1"/>
  <c r="Q61" i="1"/>
  <c r="P61" i="1"/>
  <c r="O61" i="1"/>
  <c r="N61" i="1"/>
  <c r="X60" i="1"/>
  <c r="S52" i="1"/>
  <c r="O33" i="1"/>
  <c r="T44" i="1"/>
  <c r="Z50" i="1"/>
  <c r="N47" i="1"/>
  <c r="N17" i="1"/>
  <c r="S8" i="1"/>
  <c r="X4" i="1"/>
  <c r="Q22" i="1"/>
  <c r="S11" i="1"/>
  <c r="Y54" i="1"/>
  <c r="S22" i="1"/>
  <c r="N165" i="1"/>
  <c r="N139" i="1"/>
  <c r="T143" i="1"/>
  <c r="W168" i="1"/>
  <c r="W246" i="1"/>
  <c r="X125" i="1"/>
  <c r="T125" i="1"/>
  <c r="S125" i="1"/>
  <c r="P125" i="1"/>
  <c r="W102" i="1"/>
  <c r="W101" i="1"/>
  <c r="Y105" i="1"/>
  <c r="Z108" i="1"/>
  <c r="X108" i="1"/>
  <c r="R99" i="1"/>
  <c r="O99" i="1"/>
  <c r="Z99" i="1"/>
  <c r="N99" i="1"/>
  <c r="Y115" i="1"/>
  <c r="Y110" i="1"/>
  <c r="Z62" i="1"/>
  <c r="Q99" i="1"/>
  <c r="S45" i="1"/>
  <c r="Q45" i="1"/>
  <c r="P45" i="1"/>
  <c r="O45" i="1"/>
  <c r="N45" i="1"/>
  <c r="P60" i="1"/>
  <c r="Y61" i="1"/>
  <c r="N103" i="1"/>
  <c r="Z95" i="1"/>
  <c r="R93" i="1"/>
  <c r="W40" i="1"/>
  <c r="W9" i="1"/>
  <c r="W82" i="1"/>
  <c r="Y38" i="1"/>
  <c r="W13" i="1"/>
  <c r="X19" i="1"/>
  <c r="R22" i="1"/>
  <c r="T11" i="1"/>
  <c r="Y42" i="1"/>
  <c r="B7" i="5" l="1"/>
  <c r="B4" i="5"/>
  <c r="Y131" i="1"/>
  <c r="Y139" i="1"/>
  <c r="W80" i="1"/>
  <c r="W232" i="1"/>
  <c r="Y218" i="1"/>
  <c r="Y92" i="1"/>
  <c r="W108" i="1"/>
  <c r="Y123" i="1"/>
  <c r="Y216" i="1"/>
  <c r="W36" i="1"/>
  <c r="Y98" i="1"/>
  <c r="Y124" i="1"/>
  <c r="W123" i="1"/>
  <c r="W79" i="1"/>
  <c r="W153" i="1"/>
  <c r="Y79" i="1"/>
  <c r="W207" i="1"/>
  <c r="W249" i="1"/>
  <c r="W39" i="1"/>
  <c r="Y77" i="1"/>
  <c r="W148" i="1"/>
  <c r="B5" i="5"/>
  <c r="C5" i="5"/>
  <c r="W137" i="1"/>
  <c r="C3" i="5"/>
  <c r="Y60" i="1"/>
  <c r="W187" i="1"/>
  <c r="W84" i="1"/>
  <c r="Y140" i="1"/>
  <c r="Y249" i="1"/>
  <c r="Y108" i="1"/>
  <c r="W4" i="1"/>
  <c r="Y62" i="1"/>
  <c r="W179" i="1"/>
  <c r="Y266" i="1"/>
  <c r="W139" i="1"/>
  <c r="Y86" i="1"/>
  <c r="C6" i="5"/>
  <c r="B6" i="5"/>
  <c r="Y93" i="1"/>
  <c r="Y111" i="1"/>
  <c r="Y164" i="1"/>
  <c r="W35" i="1"/>
  <c r="W72" i="1"/>
  <c r="W261" i="1"/>
  <c r="W176" i="1"/>
  <c r="W156" i="1"/>
  <c r="Y178" i="1"/>
  <c r="W117" i="1"/>
  <c r="W31" i="1"/>
  <c r="C2" i="5"/>
  <c r="B2" i="5"/>
  <c r="C4" i="5"/>
  <c r="W211" i="1"/>
  <c r="B3" i="5"/>
  <c r="C7" i="5"/>
  <c r="Y175" i="1"/>
  <c r="W30" i="1"/>
  <c r="B10" i="5"/>
  <c r="W124" i="1"/>
  <c r="Y207" i="1"/>
  <c r="W216" i="1"/>
  <c r="W138" i="1"/>
  <c r="Y32" i="1"/>
  <c r="Y156" i="1"/>
  <c r="W255" i="1"/>
  <c r="W15" i="1"/>
  <c r="W21" i="1"/>
  <c r="Y51" i="1"/>
  <c r="W208" i="1"/>
  <c r="Y35" i="1"/>
  <c r="Y254" i="1"/>
  <c r="W107" i="1"/>
  <c r="Y215" i="1"/>
  <c r="Y176" i="1"/>
  <c r="W32" i="1"/>
  <c r="W224" i="1"/>
  <c r="Y48" i="1"/>
  <c r="W248" i="1"/>
  <c r="W11" i="1"/>
  <c r="W178" i="1"/>
  <c r="Y230" i="1"/>
  <c r="Y202" i="1"/>
  <c r="W230" i="1"/>
  <c r="Y198" i="1"/>
  <c r="W225" i="1"/>
  <c r="W252" i="1"/>
  <c r="W48" i="1"/>
  <c r="W141" i="1"/>
  <c r="W223" i="1"/>
  <c r="W22" i="1"/>
  <c r="Y16" i="1"/>
  <c r="Y37" i="1"/>
  <c r="Y130" i="1"/>
  <c r="W122" i="1"/>
  <c r="W210" i="1"/>
  <c r="Y242" i="1"/>
  <c r="Y223" i="1"/>
  <c r="W136" i="1"/>
  <c r="Y141" i="1"/>
  <c r="W201" i="1"/>
  <c r="W218" i="1"/>
  <c r="Y210" i="1"/>
  <c r="Y119" i="1"/>
  <c r="Y177" i="1"/>
  <c r="Y255" i="1"/>
  <c r="W198" i="1"/>
  <c r="W127" i="1"/>
  <c r="Y229" i="1"/>
  <c r="Y72" i="1"/>
  <c r="Y107" i="1"/>
  <c r="W177" i="1"/>
  <c r="W188" i="1"/>
  <c r="W244" i="1"/>
  <c r="Y172" i="1"/>
  <c r="W190" i="1"/>
  <c r="Y84" i="1"/>
  <c r="Y248" i="1"/>
  <c r="Y76" i="1"/>
  <c r="W215" i="1"/>
  <c r="W50" i="1"/>
  <c r="Y78" i="1"/>
  <c r="W25" i="1"/>
  <c r="W17" i="1"/>
  <c r="W81" i="1"/>
  <c r="Y165" i="1"/>
  <c r="Y127" i="1"/>
  <c r="Y52" i="1"/>
  <c r="W143" i="1"/>
  <c r="Y159" i="1"/>
  <c r="Y114" i="1"/>
  <c r="W199" i="1"/>
  <c r="W78" i="1"/>
  <c r="W131" i="1"/>
  <c r="W52" i="1"/>
  <c r="W112" i="1"/>
  <c r="W253" i="1"/>
  <c r="Y143" i="1"/>
  <c r="W49" i="1"/>
  <c r="W37" i="1"/>
  <c r="Y252" i="1"/>
  <c r="W114" i="1"/>
  <c r="W257" i="1"/>
  <c r="W19" i="1"/>
  <c r="W125" i="1"/>
  <c r="Y81" i="1"/>
  <c r="Y194" i="1"/>
  <c r="W130" i="1"/>
  <c r="Y95" i="1"/>
  <c r="Y80" i="1"/>
  <c r="W164" i="1"/>
  <c r="Y112" i="1"/>
  <c r="W144" i="1"/>
  <c r="Y265" i="1"/>
  <c r="W229" i="1"/>
  <c r="W119" i="1"/>
  <c r="Y244" i="1"/>
  <c r="W165" i="1"/>
  <c r="W140" i="1"/>
  <c r="Y22" i="1"/>
  <c r="Y99" i="1"/>
  <c r="Y50" i="1"/>
  <c r="W60" i="1"/>
  <c r="W83" i="1"/>
  <c r="Y33" i="1"/>
  <c r="C10" i="5"/>
  <c r="Y151" i="1"/>
  <c r="W62" i="1"/>
  <c r="Y144" i="1"/>
  <c r="W227" i="1"/>
  <c r="W206" i="1"/>
  <c r="Y91" i="1"/>
  <c r="Y212" i="1"/>
  <c r="W251" i="1"/>
  <c r="W77" i="1"/>
  <c r="W169" i="1"/>
  <c r="Y170" i="1"/>
  <c r="Y126" i="1"/>
  <c r="W8" i="1"/>
  <c r="W51" i="1"/>
  <c r="W93" i="1"/>
  <c r="Y56" i="1"/>
  <c r="W47" i="1"/>
  <c r="W3" i="1"/>
  <c r="Y179" i="1"/>
  <c r="W126" i="1"/>
  <c r="Y174" i="1"/>
  <c r="Y25" i="1"/>
  <c r="W237" i="1"/>
  <c r="W254" i="1"/>
  <c r="Y187" i="1"/>
  <c r="Y206" i="1"/>
  <c r="W182" i="1"/>
  <c r="Y120" i="1"/>
  <c r="W92" i="1"/>
  <c r="B13" i="5" l="1"/>
  <c r="AP234" i="1" s="1"/>
  <c r="B12" i="5"/>
  <c r="AP97" i="1"/>
  <c r="AP100" i="1"/>
  <c r="AP43" i="1"/>
  <c r="AP27" i="1"/>
  <c r="AP10" i="1"/>
  <c r="AP65" i="1"/>
  <c r="AP53" i="1"/>
  <c r="AP173" i="1"/>
  <c r="AP113" i="1"/>
  <c r="AP133" i="1"/>
  <c r="AP166" i="1"/>
  <c r="AP13" i="1"/>
  <c r="AP129" i="1"/>
  <c r="AP40" i="1"/>
  <c r="AP58" i="1"/>
  <c r="AP41" i="1"/>
  <c r="AP167" i="1"/>
  <c r="AP213" i="1"/>
  <c r="AP106" i="1"/>
  <c r="AP243" i="1"/>
  <c r="AP68" i="1"/>
  <c r="AP118" i="1"/>
  <c r="AP88" i="1"/>
  <c r="AP233" i="1"/>
  <c r="AP8" i="1"/>
  <c r="AP21" i="1"/>
  <c r="AP262" i="1"/>
  <c r="AP49" i="1"/>
  <c r="AP197" i="1"/>
  <c r="AP183" i="1"/>
  <c r="AP219" i="1"/>
  <c r="AP2" i="1"/>
  <c r="AP14" i="1"/>
  <c r="AP264" i="1"/>
  <c r="AP128" i="1"/>
  <c r="AP83" i="1"/>
  <c r="AP70" i="1"/>
  <c r="AP222" i="1"/>
  <c r="AP155" i="1"/>
  <c r="AP85" i="1"/>
  <c r="AP149" i="1"/>
  <c r="AP66" i="1"/>
  <c r="AP116" i="1"/>
  <c r="AP154" i="1"/>
  <c r="AP263" i="1"/>
  <c r="AP235" i="1"/>
  <c r="AP30" i="1"/>
  <c r="AP122" i="1"/>
  <c r="AP47" i="1"/>
  <c r="AP148" i="1"/>
  <c r="AP253" i="1"/>
  <c r="AP180" i="1"/>
  <c r="AP204" i="1"/>
  <c r="AP137" i="1"/>
  <c r="AP71" i="1"/>
  <c r="AP3" i="1"/>
  <c r="AP208" i="1"/>
  <c r="AP102" i="1"/>
  <c r="AP110" i="1"/>
  <c r="AP38" i="1"/>
  <c r="AP232" i="1"/>
  <c r="AP201" i="1"/>
  <c r="AP153" i="1"/>
  <c r="AP89" i="1"/>
  <c r="AP36" i="1"/>
  <c r="AP251" i="1"/>
  <c r="AP239" i="1"/>
  <c r="AP7" i="1"/>
  <c r="AP54" i="1"/>
  <c r="AP163" i="1"/>
  <c r="AP74" i="1"/>
  <c r="AP24" i="1"/>
  <c r="AP109" i="1"/>
  <c r="AP115" i="1"/>
  <c r="AP205" i="1"/>
  <c r="AP4" i="1"/>
  <c r="AP18" i="1"/>
  <c r="AP31" i="1"/>
  <c r="AP152" i="1"/>
  <c r="AP162" i="1"/>
  <c r="AP217" i="1"/>
  <c r="AP96" i="1"/>
  <c r="AP220" i="1"/>
  <c r="AP23" i="1"/>
  <c r="AP158" i="1"/>
  <c r="AP135" i="1"/>
  <c r="AP5" i="1"/>
  <c r="AP57" i="1"/>
  <c r="AP12" i="1"/>
  <c r="AP191" i="1"/>
  <c r="AP142" i="1"/>
  <c r="AP73" i="1"/>
  <c r="AP117" i="1"/>
  <c r="AP121" i="1"/>
  <c r="AP26" i="1"/>
  <c r="AP146" i="1"/>
  <c r="AP6" i="1"/>
  <c r="AP209" i="1"/>
  <c r="AP39" i="1"/>
  <c r="AP224" i="1"/>
  <c r="AP181" i="1"/>
  <c r="AP134" i="1"/>
  <c r="AP189" i="1"/>
  <c r="AP250" i="1"/>
  <c r="AP227" i="1"/>
  <c r="AP145" i="1"/>
  <c r="AP55" i="1"/>
  <c r="AP247" i="1"/>
  <c r="AP59" i="1"/>
  <c r="AP168" i="1"/>
  <c r="AP258" i="1"/>
  <c r="AP199" i="1"/>
  <c r="AP195" i="1"/>
  <c r="AP260" i="1"/>
  <c r="AP193" i="1"/>
  <c r="AP259" i="1"/>
  <c r="AP171" i="1"/>
  <c r="AP46" i="1"/>
  <c r="AP17" i="1"/>
  <c r="AP15" i="1"/>
  <c r="AP138" i="1"/>
  <c r="AP63" i="1"/>
  <c r="AP188" i="1"/>
  <c r="AP256" i="1"/>
  <c r="AP238" i="1"/>
  <c r="AP237" i="1"/>
  <c r="AP104" i="1"/>
  <c r="AP169" i="1"/>
  <c r="AP103" i="1"/>
  <c r="AP196" i="1"/>
  <c r="AP184" i="1"/>
  <c r="AP136" i="1"/>
  <c r="AP161" i="1"/>
  <c r="AP226" i="1"/>
  <c r="AP82" i="1"/>
  <c r="AP125" i="1"/>
  <c r="AP105" i="1"/>
  <c r="AP42" i="1"/>
  <c r="AP246" i="1"/>
  <c r="AP19" i="1"/>
  <c r="AP203" i="1"/>
  <c r="AP186" i="1"/>
  <c r="AP34" i="1"/>
  <c r="AP94" i="1"/>
  <c r="AP157" i="1"/>
  <c r="AP257" i="1"/>
  <c r="AP11" i="1"/>
  <c r="AP160" i="1"/>
  <c r="AP64" i="1"/>
  <c r="AP221" i="1"/>
  <c r="AP214" i="1"/>
  <c r="AP9" i="1"/>
  <c r="AP236" i="1"/>
  <c r="AP147" i="1"/>
  <c r="AP90" i="1"/>
  <c r="AP185" i="1"/>
  <c r="AP61" i="1"/>
  <c r="AP261" i="1"/>
  <c r="AP29" i="1"/>
  <c r="AP190" i="1"/>
  <c r="AP67" i="1"/>
  <c r="AP69" i="1"/>
  <c r="AP192" i="1"/>
  <c r="AP225" i="1"/>
  <c r="AP182" i="1"/>
  <c r="AP200" i="1"/>
  <c r="AP231" i="1"/>
  <c r="AP45" i="1"/>
  <c r="AP44" i="1"/>
  <c r="AP241" i="1"/>
  <c r="AP211" i="1"/>
  <c r="AP101" i="1"/>
  <c r="AP245" i="1"/>
  <c r="AP20" i="1"/>
  <c r="AP28" i="1"/>
  <c r="AP87" i="1"/>
  <c r="AP240" i="1"/>
  <c r="AP150" i="1"/>
  <c r="AP75" i="1"/>
  <c r="AP131" i="1"/>
  <c r="AP98" i="1"/>
  <c r="AP175" i="1"/>
  <c r="AP198" i="1"/>
  <c r="AP223" i="1"/>
  <c r="AP177" i="1"/>
  <c r="AP127" i="1"/>
  <c r="AP187" i="1"/>
  <c r="AP99" i="1"/>
  <c r="AP179" i="1"/>
  <c r="AP151" i="1"/>
  <c r="AP119" i="1"/>
  <c r="AP159" i="1"/>
  <c r="AP112" i="1"/>
  <c r="AP51" i="1"/>
  <c r="AP174" i="1"/>
  <c r="AP92" i="1"/>
  <c r="AP123" i="1"/>
  <c r="AP108" i="1"/>
  <c r="AP178" i="1"/>
  <c r="AP32" i="1"/>
  <c r="AP35" i="1"/>
  <c r="AP202" i="1"/>
  <c r="AP194" i="1"/>
  <c r="AP164" i="1"/>
  <c r="AP95" i="1"/>
  <c r="AP244" i="1"/>
  <c r="AP144" i="1"/>
  <c r="AP62" i="1"/>
  <c r="AP91" i="1"/>
  <c r="AP25" i="1"/>
  <c r="AP37" i="1"/>
  <c r="AP124" i="1"/>
  <c r="AP249" i="1"/>
  <c r="AP266" i="1"/>
  <c r="AP111" i="1"/>
  <c r="AP207" i="1"/>
  <c r="AP48" i="1"/>
  <c r="AP229" i="1"/>
  <c r="AP107" i="1"/>
  <c r="AP126" i="1"/>
  <c r="AP120" i="1"/>
  <c r="AP255" i="1"/>
  <c r="AP252" i="1"/>
  <c r="AP50" i="1"/>
  <c r="AP84" i="1"/>
  <c r="AP265" i="1"/>
  <c r="AP254" i="1"/>
  <c r="AP86" i="1"/>
  <c r="AP210" i="1"/>
  <c r="AP176" i="1"/>
  <c r="AP80" i="1"/>
  <c r="AP143" i="1"/>
  <c r="AP206" i="1"/>
  <c r="AP230" i="1"/>
  <c r="AP22" i="1"/>
  <c r="AP33" i="1"/>
  <c r="AP218" i="1"/>
  <c r="AP139" i="1"/>
  <c r="AP79" i="1"/>
  <c r="AP216" i="1"/>
  <c r="AP77" i="1"/>
  <c r="AP215" i="1"/>
  <c r="AP16" i="1"/>
  <c r="AP130" i="1"/>
  <c r="AP76" i="1"/>
  <c r="AP52" i="1"/>
  <c r="AP242" i="1"/>
  <c r="AP72" i="1"/>
  <c r="AP78" i="1"/>
  <c r="AP165" i="1"/>
  <c r="AP114" i="1"/>
  <c r="AP56" i="1"/>
  <c r="AP172" i="1"/>
  <c r="AP212" i="1"/>
  <c r="AP170" i="1"/>
  <c r="AP140" i="1"/>
  <c r="AP60" i="1"/>
  <c r="AP248" i="1"/>
  <c r="AP81" i="1"/>
  <c r="AP93" i="1"/>
  <c r="AP156" i="1"/>
  <c r="AP141" i="1"/>
  <c r="AO234" i="1"/>
  <c r="AO132" i="1"/>
  <c r="AO27" i="1"/>
  <c r="AO166" i="1"/>
  <c r="AO53" i="1"/>
  <c r="AO173" i="1"/>
  <c r="AO10" i="1"/>
  <c r="AO5" i="1"/>
  <c r="AO109" i="1"/>
  <c r="AO7" i="1"/>
  <c r="AO28" i="1"/>
  <c r="AO228" i="1"/>
  <c r="AO118" i="1"/>
  <c r="AO243" i="1"/>
  <c r="AO213" i="1"/>
  <c r="AO197" i="1"/>
  <c r="AO97" i="1"/>
  <c r="AO85" i="1"/>
  <c r="AO87" i="1"/>
  <c r="AO175" i="1"/>
  <c r="AO266" i="1"/>
  <c r="AO265" i="1"/>
  <c r="AO63" i="1"/>
  <c r="AO221" i="1"/>
  <c r="AO235" i="1"/>
  <c r="AO157" i="1"/>
  <c r="AO71" i="1"/>
  <c r="AO167" i="1"/>
  <c r="AO129" i="1"/>
  <c r="AO105" i="1"/>
  <c r="AO82" i="1"/>
  <c r="AO74" i="1"/>
  <c r="AO101" i="1"/>
  <c r="AO113" i="1"/>
  <c r="AO163" i="1"/>
  <c r="AO103" i="1"/>
  <c r="AO191" i="1"/>
  <c r="AO14" i="1"/>
  <c r="AO120" i="1"/>
  <c r="AO202" i="1"/>
  <c r="AO111" i="1"/>
  <c r="AO38" i="1"/>
  <c r="AO233" i="1"/>
  <c r="AO159" i="1"/>
  <c r="AO75" i="1"/>
  <c r="AO20" i="1"/>
  <c r="AO246" i="1"/>
  <c r="AO145" i="1"/>
  <c r="AO259" i="1"/>
  <c r="AO245" i="1"/>
  <c r="AO155" i="1"/>
  <c r="AO16" i="1"/>
  <c r="AO160" i="1"/>
  <c r="AO12" i="1"/>
  <c r="AO57" i="1"/>
  <c r="AO26" i="1"/>
  <c r="AO40" i="1"/>
  <c r="AO209" i="1"/>
  <c r="AO33" i="1"/>
  <c r="AO185" i="1"/>
  <c r="AO46" i="1"/>
  <c r="AO256" i="1"/>
  <c r="AO193" i="1"/>
  <c r="AO34" i="1"/>
  <c r="AO13" i="1"/>
  <c r="AO149" i="1"/>
  <c r="AO45" i="1"/>
  <c r="AO203" i="1"/>
  <c r="AO168" i="1"/>
  <c r="AO91" i="1"/>
  <c r="AO214" i="1"/>
  <c r="AO56" i="1"/>
  <c r="AO205" i="1"/>
  <c r="AO98" i="1"/>
  <c r="AO76" i="1"/>
  <c r="AO161" i="1"/>
  <c r="AO116" i="1"/>
  <c r="AO196" i="1"/>
  <c r="AO258" i="1"/>
  <c r="AO55" i="1"/>
  <c r="AO99" i="1"/>
  <c r="AO238" i="1"/>
  <c r="AO42" i="1"/>
  <c r="AO263" i="1"/>
  <c r="AO64" i="1"/>
  <c r="AO147" i="1"/>
  <c r="AO180" i="1"/>
  <c r="AO195" i="1"/>
  <c r="AO217" i="1"/>
  <c r="AO89" i="1"/>
  <c r="AO106" i="1"/>
  <c r="AO86" i="1"/>
  <c r="AO59" i="1"/>
  <c r="AO88" i="1"/>
  <c r="AO183" i="1"/>
  <c r="AO186" i="1"/>
  <c r="AO212" i="1"/>
  <c r="AO219" i="1"/>
  <c r="AO24" i="1"/>
  <c r="AO184" i="1"/>
  <c r="AO171" i="1"/>
  <c r="AO174" i="1"/>
  <c r="AO189" i="1"/>
  <c r="AO154" i="1"/>
  <c r="AO264" i="1"/>
  <c r="AO100" i="1"/>
  <c r="AO162" i="1"/>
  <c r="AO242" i="1"/>
  <c r="AO90" i="1"/>
  <c r="AO142" i="1"/>
  <c r="AO65" i="1"/>
  <c r="AO240" i="1"/>
  <c r="AO236" i="1"/>
  <c r="AO121" i="1"/>
  <c r="AO170" i="1"/>
  <c r="AO247" i="1"/>
  <c r="AO151" i="1"/>
  <c r="AO146" i="1"/>
  <c r="AO194" i="1"/>
  <c r="AO204" i="1"/>
  <c r="AO29" i="1"/>
  <c r="AO2" i="1"/>
  <c r="AO133" i="1"/>
  <c r="AO241" i="1"/>
  <c r="AO73" i="1"/>
  <c r="AO9" i="1"/>
  <c r="AO172" i="1"/>
  <c r="AO61" i="1"/>
  <c r="AO94" i="1"/>
  <c r="AO152" i="1"/>
  <c r="AO260" i="1"/>
  <c r="AO115" i="1"/>
  <c r="AO6" i="1"/>
  <c r="AO69" i="1"/>
  <c r="AO67" i="1"/>
  <c r="AO18" i="1"/>
  <c r="AO96" i="1"/>
  <c r="AO102" i="1"/>
  <c r="AO192" i="1"/>
  <c r="AO110" i="1"/>
  <c r="AO41" i="1"/>
  <c r="AO222" i="1"/>
  <c r="AO181" i="1"/>
  <c r="AO95" i="1"/>
  <c r="AO104" i="1"/>
  <c r="AO66" i="1"/>
  <c r="AO54" i="1"/>
  <c r="AO226" i="1"/>
  <c r="AO58" i="1"/>
  <c r="AO262" i="1"/>
  <c r="AO220" i="1"/>
  <c r="AO134" i="1"/>
  <c r="AO128" i="1"/>
  <c r="AO250" i="1"/>
  <c r="AO23" i="1"/>
  <c r="AO158" i="1"/>
  <c r="AO231" i="1"/>
  <c r="AO68" i="1"/>
  <c r="AO239" i="1"/>
  <c r="AO44" i="1"/>
  <c r="AO135" i="1"/>
  <c r="AO200" i="1"/>
  <c r="AO70" i="1"/>
  <c r="AO150" i="1"/>
  <c r="AO43" i="1"/>
  <c r="AO232" i="1"/>
  <c r="AO153" i="1"/>
  <c r="AO187" i="1"/>
  <c r="AO72" i="1"/>
  <c r="AO107" i="1"/>
  <c r="AO19" i="1"/>
  <c r="AO3" i="1"/>
  <c r="AO190" i="1"/>
  <c r="AO206" i="1"/>
  <c r="AO165" i="1"/>
  <c r="AO237" i="1"/>
  <c r="AO252" i="1"/>
  <c r="AO156" i="1"/>
  <c r="AO164" i="1"/>
  <c r="AO83" i="1"/>
  <c r="AO62" i="1"/>
  <c r="AO179" i="1"/>
  <c r="AO21" i="1"/>
  <c r="AO114" i="1"/>
  <c r="AO51" i="1"/>
  <c r="AO32" i="1"/>
  <c r="AO50" i="1"/>
  <c r="AO251" i="1"/>
  <c r="AO176" i="1"/>
  <c r="AO138" i="1"/>
  <c r="AO208" i="1"/>
  <c r="AO136" i="1"/>
  <c r="AO52" i="1"/>
  <c r="AO119" i="1"/>
  <c r="AO140" i="1"/>
  <c r="AO93" i="1"/>
  <c r="AO17" i="1"/>
  <c r="AO257" i="1"/>
  <c r="AO201" i="1"/>
  <c r="AO37" i="1"/>
  <c r="AO148" i="1"/>
  <c r="AO211" i="1"/>
  <c r="AO124" i="1"/>
  <c r="AO48" i="1"/>
  <c r="AO188" i="1"/>
  <c r="AO131" i="1"/>
  <c r="AO125" i="1"/>
  <c r="AO8" i="1"/>
  <c r="AO4" i="1"/>
  <c r="AO198" i="1"/>
  <c r="AO112" i="1"/>
  <c r="AO79" i="1"/>
  <c r="AO11" i="1"/>
  <c r="AO223" i="1"/>
  <c r="AO39" i="1"/>
  <c r="AO216" i="1"/>
  <c r="AO15" i="1"/>
  <c r="AO224" i="1"/>
  <c r="AO254" i="1"/>
  <c r="AO80" i="1"/>
  <c r="AO261" i="1"/>
  <c r="AO30" i="1"/>
  <c r="AO255" i="1"/>
  <c r="AO178" i="1"/>
  <c r="AO22" i="1"/>
  <c r="AO25" i="1"/>
  <c r="AO229" i="1"/>
  <c r="AO210" i="1"/>
  <c r="AO218" i="1"/>
  <c r="AO177" i="1"/>
  <c r="AO92" i="1"/>
  <c r="AO225" i="1"/>
  <c r="AO78" i="1"/>
  <c r="AO144" i="1"/>
  <c r="AO130" i="1"/>
  <c r="AO47" i="1"/>
  <c r="AO207" i="1"/>
  <c r="AO169" i="1"/>
  <c r="AO182" i="1"/>
  <c r="AO199" i="1"/>
  <c r="AO249" i="1"/>
  <c r="AO123" i="1"/>
  <c r="AO108" i="1"/>
  <c r="AO141" i="1"/>
  <c r="AO244" i="1"/>
  <c r="AO215" i="1"/>
  <c r="AO137" i="1"/>
  <c r="AO84" i="1"/>
  <c r="AO35" i="1"/>
  <c r="AO117" i="1"/>
  <c r="AO248" i="1"/>
  <c r="AO230" i="1"/>
  <c r="AO49" i="1"/>
  <c r="AO60" i="1"/>
  <c r="AO126" i="1"/>
  <c r="AO77" i="1"/>
  <c r="AO139" i="1"/>
  <c r="AO31" i="1"/>
  <c r="AO122" i="1"/>
  <c r="AO143" i="1"/>
  <c r="AO227" i="1"/>
  <c r="AO81" i="1"/>
  <c r="AO127" i="1"/>
  <c r="AO253" i="1"/>
  <c r="AO36" i="1"/>
  <c r="AP228" i="1" l="1"/>
  <c r="AP132" i="1"/>
  <c r="C8" i="5"/>
  <c r="B8" i="5"/>
  <c r="C9" i="5"/>
  <c r="B9" i="5"/>
  <c r="AQ252" i="1" l="1"/>
  <c r="AQ230" i="1"/>
  <c r="AQ265" i="1"/>
  <c r="AQ167" i="1"/>
  <c r="AQ69" i="1"/>
  <c r="AQ179" i="1"/>
  <c r="AQ5" i="1"/>
  <c r="AQ110" i="1"/>
  <c r="AQ17" i="1"/>
  <c r="AQ49" i="1"/>
  <c r="AQ98" i="1"/>
  <c r="AQ246" i="1"/>
  <c r="AQ266" i="1"/>
  <c r="AQ121" i="1"/>
  <c r="AQ82" i="1"/>
  <c r="AQ74" i="1"/>
  <c r="AQ113" i="1"/>
  <c r="AQ37" i="1"/>
  <c r="AQ91" i="1"/>
  <c r="AQ213" i="1"/>
  <c r="AQ33" i="1"/>
  <c r="AQ11" i="1"/>
  <c r="AQ218" i="1"/>
  <c r="AQ15" i="1"/>
  <c r="AQ89" i="1"/>
  <c r="AQ7" i="1"/>
  <c r="AQ97" i="1"/>
  <c r="AQ114" i="1"/>
  <c r="AQ264" i="1"/>
  <c r="AQ200" i="1"/>
  <c r="AQ149" i="1"/>
  <c r="AQ87" i="1"/>
  <c r="AQ221" i="1"/>
  <c r="AQ207" i="1"/>
  <c r="AQ189" i="1"/>
  <c r="AQ61" i="1"/>
  <c r="AQ103" i="1"/>
  <c r="AQ25" i="1"/>
  <c r="AQ195" i="1"/>
  <c r="AQ3" i="1"/>
  <c r="AQ187" i="1"/>
  <c r="AQ233" i="1"/>
  <c r="AQ178" i="1"/>
  <c r="AQ105" i="1"/>
  <c r="AQ222" i="1"/>
  <c r="AQ211" i="1"/>
  <c r="AQ56" i="1"/>
  <c r="AQ231" i="1"/>
  <c r="AQ34" i="1"/>
  <c r="AQ48" i="1"/>
  <c r="AQ159" i="1"/>
  <c r="AQ23" i="1"/>
  <c r="AQ26" i="1"/>
  <c r="AQ95" i="1"/>
  <c r="AQ224" i="1"/>
  <c r="AQ88" i="1"/>
  <c r="AQ9" i="1"/>
  <c r="AQ216" i="1"/>
  <c r="AQ197" i="1"/>
  <c r="AQ174" i="1"/>
  <c r="AQ176" i="1"/>
  <c r="AQ258" i="1"/>
  <c r="AQ47" i="1"/>
  <c r="AQ163" i="1"/>
  <c r="AQ71" i="1"/>
  <c r="AQ182" i="1"/>
  <c r="AQ250" i="1"/>
  <c r="AQ93" i="1"/>
  <c r="AQ27" i="1"/>
  <c r="AQ205" i="1"/>
  <c r="AQ94" i="1"/>
  <c r="AQ245" i="1"/>
  <c r="AQ196" i="1"/>
  <c r="AQ51" i="1"/>
  <c r="AQ79" i="1"/>
  <c r="AQ77" i="1"/>
  <c r="AQ215" i="1"/>
  <c r="AQ151" i="1"/>
  <c r="AQ106" i="1"/>
  <c r="AQ86" i="1"/>
  <c r="AQ185" i="1"/>
  <c r="AQ201" i="1"/>
  <c r="AQ75" i="1"/>
  <c r="AQ20" i="1"/>
  <c r="AQ225" i="1"/>
  <c r="AQ58" i="1"/>
  <c r="AQ259" i="1"/>
  <c r="AQ143" i="1"/>
  <c r="AQ199" i="1"/>
  <c r="AQ64" i="1"/>
  <c r="AQ138" i="1"/>
  <c r="AQ198" i="1"/>
  <c r="AQ161" i="1"/>
  <c r="AQ59" i="1"/>
  <c r="AQ144" i="1"/>
  <c r="AQ208" i="1"/>
  <c r="AQ181" i="1"/>
  <c r="AQ29" i="1"/>
  <c r="AQ4" i="1"/>
  <c r="AQ214" i="1"/>
  <c r="AQ38" i="1"/>
  <c r="AQ206" i="1"/>
  <c r="AQ249" i="1"/>
  <c r="AQ204" i="1"/>
  <c r="AQ41" i="1"/>
  <c r="AQ170" i="1"/>
  <c r="AQ243" i="1"/>
  <c r="AQ171" i="1"/>
  <c r="AQ158" i="1"/>
  <c r="AQ85" i="1"/>
  <c r="AQ219" i="1"/>
  <c r="AQ60" i="1"/>
  <c r="AQ145" i="1"/>
  <c r="AQ19" i="1"/>
  <c r="AQ100" i="1"/>
  <c r="AQ92" i="1"/>
  <c r="AQ40" i="1"/>
  <c r="AQ107" i="1"/>
  <c r="AQ263" i="1"/>
  <c r="AQ254" i="1"/>
  <c r="AQ162" i="1"/>
  <c r="AQ154" i="1"/>
  <c r="AQ39" i="1"/>
  <c r="AQ31" i="1"/>
  <c r="AQ209" i="1"/>
  <c r="AQ70" i="1"/>
  <c r="AQ112" i="1"/>
  <c r="AQ236" i="1"/>
  <c r="AQ32" i="1"/>
  <c r="AQ188" i="1"/>
  <c r="AQ63" i="1"/>
  <c r="AQ227" i="1"/>
  <c r="AQ73" i="1"/>
  <c r="AQ184" i="1"/>
  <c r="AQ54" i="1"/>
  <c r="AQ257" i="1"/>
  <c r="AQ24" i="1"/>
  <c r="AQ226" i="1"/>
  <c r="AQ240" i="1"/>
  <c r="AQ234" i="1"/>
  <c r="AQ129" i="1"/>
  <c r="AQ132" i="1"/>
  <c r="AQ172" i="1"/>
  <c r="AQ67" i="1"/>
  <c r="AQ126" i="1"/>
  <c r="AQ139" i="1"/>
  <c r="AQ22" i="1"/>
  <c r="AQ147" i="1"/>
  <c r="AQ21" i="1"/>
  <c r="AQ104" i="1"/>
  <c r="AQ146" i="1"/>
  <c r="AQ2" i="1"/>
  <c r="AQ169" i="1"/>
  <c r="AQ228" i="1"/>
  <c r="AQ72" i="1"/>
  <c r="AQ90" i="1"/>
  <c r="AQ180" i="1"/>
  <c r="AQ131" i="1"/>
  <c r="AQ175" i="1"/>
  <c r="AQ193" i="1"/>
  <c r="AQ119" i="1"/>
  <c r="AQ125" i="1"/>
  <c r="AQ142" i="1"/>
  <c r="AQ173" i="1"/>
  <c r="AQ190" i="1"/>
  <c r="AQ127" i="1"/>
  <c r="AQ66" i="1"/>
  <c r="AQ108" i="1"/>
  <c r="AQ150" i="1"/>
  <c r="AQ117" i="1"/>
  <c r="AQ241" i="1"/>
  <c r="AQ44" i="1"/>
  <c r="AQ135" i="1"/>
  <c r="AQ57" i="1"/>
  <c r="AQ248" i="1"/>
  <c r="AQ65" i="1"/>
  <c r="AQ123" i="1"/>
  <c r="AQ220" i="1"/>
  <c r="AQ232" i="1"/>
  <c r="AQ194" i="1"/>
  <c r="AQ78" i="1"/>
  <c r="AQ124" i="1"/>
  <c r="AQ235" i="1"/>
  <c r="AQ183" i="1"/>
  <c r="AQ30" i="1"/>
  <c r="AQ137" i="1"/>
  <c r="AQ238" i="1"/>
  <c r="AQ45" i="1"/>
  <c r="AQ156" i="1"/>
  <c r="AQ96" i="1"/>
  <c r="AQ229" i="1"/>
  <c r="AQ62" i="1"/>
  <c r="AQ122" i="1"/>
  <c r="AQ6" i="1"/>
  <c r="AQ237" i="1"/>
  <c r="AQ251" i="1"/>
  <c r="AQ13" i="1"/>
  <c r="AQ256" i="1"/>
  <c r="AQ253" i="1"/>
  <c r="AQ12" i="1"/>
  <c r="AQ42" i="1"/>
  <c r="AQ14" i="1"/>
  <c r="AQ53" i="1"/>
  <c r="AQ128" i="1"/>
  <c r="AQ76" i="1"/>
  <c r="AQ43" i="1"/>
  <c r="AQ177" i="1"/>
  <c r="AQ255" i="1"/>
  <c r="AQ164" i="1"/>
  <c r="AQ120" i="1"/>
  <c r="AQ55" i="1"/>
  <c r="AQ111" i="1"/>
  <c r="AQ102" i="1"/>
  <c r="AQ262" i="1"/>
  <c r="AQ83" i="1"/>
  <c r="AQ8" i="1"/>
  <c r="AQ141" i="1"/>
  <c r="AQ118" i="1"/>
  <c r="AQ168" i="1"/>
  <c r="AQ136" i="1"/>
  <c r="AQ10" i="1"/>
  <c r="AQ247" i="1"/>
  <c r="AQ217" i="1"/>
  <c r="AQ152" i="1"/>
  <c r="AQ244" i="1"/>
  <c r="AQ68" i="1"/>
  <c r="AQ191" i="1"/>
  <c r="AQ223" i="1"/>
  <c r="AQ84" i="1"/>
  <c r="AQ210" i="1"/>
  <c r="AQ28" i="1"/>
  <c r="AQ99" i="1"/>
  <c r="AQ81" i="1"/>
  <c r="AQ239" i="1"/>
  <c r="AQ130" i="1"/>
  <c r="AQ116" i="1"/>
  <c r="AQ166" i="1"/>
  <c r="AQ35" i="1"/>
  <c r="AQ133" i="1"/>
  <c r="AQ242" i="1"/>
  <c r="AQ153" i="1"/>
  <c r="AQ212" i="1"/>
  <c r="AQ192" i="1"/>
  <c r="AQ80" i="1"/>
  <c r="AQ157" i="1"/>
  <c r="AQ160" i="1"/>
  <c r="AQ186" i="1"/>
  <c r="AQ140" i="1"/>
  <c r="AQ46" i="1"/>
  <c r="AQ261" i="1"/>
  <c r="AQ260" i="1"/>
  <c r="AQ109" i="1"/>
  <c r="AQ50" i="1"/>
  <c r="AQ155" i="1"/>
  <c r="AQ134" i="1"/>
  <c r="AQ115" i="1"/>
  <c r="AQ16" i="1"/>
  <c r="AQ148" i="1"/>
  <c r="AQ202" i="1"/>
  <c r="AQ165" i="1"/>
  <c r="AQ101" i="1"/>
  <c r="AQ203" i="1"/>
  <c r="AQ52" i="1"/>
  <c r="AQ18" i="1"/>
  <c r="AQ36" i="1"/>
  <c r="AR120" i="1" l="1"/>
  <c r="AR109" i="1"/>
  <c r="AR152" i="1"/>
  <c r="AR35" i="1"/>
  <c r="AR228" i="1"/>
  <c r="AR205" i="1"/>
  <c r="AR217" i="1"/>
  <c r="AR169" i="1"/>
  <c r="AR97" i="1"/>
  <c r="AR247" i="1"/>
  <c r="AR2" i="1"/>
  <c r="AR246" i="1"/>
  <c r="AR177" i="1"/>
  <c r="AR185" i="1"/>
  <c r="AR89" i="1"/>
  <c r="AR43" i="1"/>
  <c r="AR59" i="1"/>
  <c r="AR15" i="1"/>
  <c r="AR49" i="1"/>
  <c r="AR101" i="1"/>
  <c r="AR186" i="1"/>
  <c r="AR81" i="1"/>
  <c r="AR168" i="1"/>
  <c r="AR76" i="1"/>
  <c r="AR229" i="1"/>
  <c r="AR123" i="1"/>
  <c r="AR142" i="1"/>
  <c r="AR21" i="1"/>
  <c r="AR54" i="1"/>
  <c r="AR162" i="1"/>
  <c r="AR243" i="1"/>
  <c r="AR161" i="1"/>
  <c r="AR106" i="1"/>
  <c r="AR71" i="1"/>
  <c r="AR159" i="1"/>
  <c r="AR103" i="1"/>
  <c r="AR218" i="1"/>
  <c r="AR17" i="1"/>
  <c r="AR60" i="1"/>
  <c r="AR219" i="1"/>
  <c r="AR208" i="1"/>
  <c r="AR146" i="1"/>
  <c r="AR136" i="1"/>
  <c r="AR128" i="1"/>
  <c r="AR170" i="1"/>
  <c r="AR198" i="1"/>
  <c r="AR151" i="1"/>
  <c r="AR163" i="1"/>
  <c r="AR48" i="1"/>
  <c r="AR61" i="1"/>
  <c r="AR11" i="1"/>
  <c r="AR110" i="1"/>
  <c r="AR29" i="1"/>
  <c r="AR75" i="1"/>
  <c r="AR201" i="1"/>
  <c r="AR144" i="1"/>
  <c r="AR257" i="1"/>
  <c r="AR141" i="1"/>
  <c r="AR41" i="1"/>
  <c r="AR138" i="1"/>
  <c r="AR215" i="1"/>
  <c r="AR47" i="1"/>
  <c r="AR34" i="1"/>
  <c r="AR189" i="1"/>
  <c r="AR33" i="1"/>
  <c r="AR5" i="1"/>
  <c r="AR70" i="1"/>
  <c r="AR181" i="1"/>
  <c r="AR31" i="1"/>
  <c r="AR39" i="1"/>
  <c r="AR154" i="1"/>
  <c r="AR45" i="1"/>
  <c r="AR64" i="1"/>
  <c r="AR77" i="1"/>
  <c r="AR258" i="1"/>
  <c r="AR231" i="1"/>
  <c r="AR207" i="1"/>
  <c r="AR213" i="1"/>
  <c r="AR179" i="1"/>
  <c r="AR20" i="1"/>
  <c r="AR209" i="1"/>
  <c r="AR3" i="1"/>
  <c r="AR24" i="1"/>
  <c r="AR171" i="1"/>
  <c r="AR42" i="1"/>
  <c r="AR79" i="1"/>
  <c r="AR176" i="1"/>
  <c r="AR56" i="1"/>
  <c r="AR221" i="1"/>
  <c r="AR91" i="1"/>
  <c r="AR69" i="1"/>
  <c r="AR124" i="1"/>
  <c r="AR88" i="1"/>
  <c r="AR36" i="1"/>
  <c r="AR237" i="1"/>
  <c r="AR27" i="1"/>
  <c r="AR18" i="1"/>
  <c r="AR194" i="1"/>
  <c r="AR95" i="1"/>
  <c r="AR46" i="1"/>
  <c r="AR122" i="1"/>
  <c r="AR195" i="1"/>
  <c r="AR140" i="1"/>
  <c r="AR62" i="1"/>
  <c r="AR182" i="1"/>
  <c r="AR160" i="1"/>
  <c r="AR65" i="1"/>
  <c r="AR254" i="1"/>
  <c r="AR53" i="1"/>
  <c r="AR73" i="1"/>
  <c r="AR80" i="1"/>
  <c r="AR57" i="1"/>
  <c r="AR107" i="1"/>
  <c r="AR83" i="1"/>
  <c r="AR63" i="1"/>
  <c r="AR212" i="1"/>
  <c r="AR137" i="1"/>
  <c r="AR44" i="1"/>
  <c r="AR131" i="1"/>
  <c r="AR67" i="1"/>
  <c r="AR188" i="1"/>
  <c r="AR92" i="1"/>
  <c r="AR206" i="1"/>
  <c r="AR143" i="1"/>
  <c r="AR51" i="1"/>
  <c r="AR174" i="1"/>
  <c r="AR211" i="1"/>
  <c r="AR87" i="1"/>
  <c r="AR37" i="1"/>
  <c r="AR167" i="1"/>
  <c r="AR234" i="1"/>
  <c r="AR121" i="1"/>
  <c r="AR164" i="1"/>
  <c r="AR240" i="1"/>
  <c r="AR266" i="1"/>
  <c r="AR255" i="1"/>
  <c r="AR226" i="1"/>
  <c r="AR7" i="1"/>
  <c r="AR10" i="1"/>
  <c r="AR158" i="1"/>
  <c r="AR98" i="1"/>
  <c r="AR220" i="1"/>
  <c r="AR86" i="1"/>
  <c r="AR165" i="1"/>
  <c r="AR96" i="1"/>
  <c r="AR184" i="1"/>
  <c r="AR28" i="1"/>
  <c r="AR119" i="1"/>
  <c r="AR148" i="1"/>
  <c r="AR14" i="1"/>
  <c r="AR227" i="1"/>
  <c r="AR192" i="1"/>
  <c r="AR238" i="1"/>
  <c r="AR126" i="1"/>
  <c r="AR249" i="1"/>
  <c r="AR262" i="1"/>
  <c r="AR153" i="1"/>
  <c r="AR191" i="1"/>
  <c r="AR102" i="1"/>
  <c r="AR253" i="1"/>
  <c r="AR30" i="1"/>
  <c r="AR241" i="1"/>
  <c r="AR180" i="1"/>
  <c r="AR172" i="1"/>
  <c r="AR32" i="1"/>
  <c r="AR100" i="1"/>
  <c r="AR38" i="1"/>
  <c r="AR259" i="1"/>
  <c r="AR196" i="1"/>
  <c r="AR197" i="1"/>
  <c r="AR222" i="1"/>
  <c r="AR149" i="1"/>
  <c r="AR113" i="1"/>
  <c r="AR265" i="1"/>
  <c r="AR251" i="1"/>
  <c r="AR114" i="1"/>
  <c r="AR166" i="1"/>
  <c r="AR66" i="1"/>
  <c r="AR224" i="1"/>
  <c r="AR261" i="1"/>
  <c r="AR6" i="1"/>
  <c r="AR85" i="1"/>
  <c r="AR130" i="1"/>
  <c r="AR190" i="1"/>
  <c r="AR26" i="1"/>
  <c r="AR239" i="1"/>
  <c r="AR173" i="1"/>
  <c r="AR25" i="1"/>
  <c r="AR118" i="1"/>
  <c r="AR147" i="1"/>
  <c r="AR157" i="1"/>
  <c r="AR156" i="1"/>
  <c r="AR22" i="1"/>
  <c r="AR210" i="1"/>
  <c r="AR193" i="1"/>
  <c r="AR204" i="1"/>
  <c r="AR84" i="1"/>
  <c r="AR175" i="1"/>
  <c r="AR199" i="1"/>
  <c r="AR223" i="1"/>
  <c r="AR155" i="1"/>
  <c r="AR68" i="1"/>
  <c r="AR111" i="1"/>
  <c r="AR256" i="1"/>
  <c r="AR183" i="1"/>
  <c r="AR117" i="1"/>
  <c r="AR90" i="1"/>
  <c r="AR132" i="1"/>
  <c r="AR236" i="1"/>
  <c r="AR19" i="1"/>
  <c r="AR214" i="1"/>
  <c r="AR58" i="1"/>
  <c r="AR245" i="1"/>
  <c r="AR216" i="1"/>
  <c r="AR105" i="1"/>
  <c r="AR200" i="1"/>
  <c r="AR74" i="1"/>
  <c r="AR230" i="1"/>
  <c r="AR108" i="1"/>
  <c r="AR233" i="1"/>
  <c r="AR260" i="1"/>
  <c r="AR78" i="1"/>
  <c r="AR187" i="1"/>
  <c r="AR116" i="1"/>
  <c r="AR127" i="1"/>
  <c r="AR93" i="1"/>
  <c r="AR52" i="1"/>
  <c r="AR232" i="1"/>
  <c r="AR250" i="1"/>
  <c r="AR203" i="1"/>
  <c r="AR104" i="1"/>
  <c r="AR23" i="1"/>
  <c r="AR99" i="1"/>
  <c r="AR125" i="1"/>
  <c r="AR202" i="1"/>
  <c r="AR248" i="1"/>
  <c r="AR263" i="1"/>
  <c r="AR8" i="1"/>
  <c r="AR139" i="1"/>
  <c r="AR16" i="1"/>
  <c r="AR135" i="1"/>
  <c r="AR40" i="1"/>
  <c r="AR115" i="1"/>
  <c r="AR12" i="1"/>
  <c r="AR134" i="1"/>
  <c r="AR242" i="1"/>
  <c r="AR50" i="1"/>
  <c r="AR133" i="1"/>
  <c r="AR244" i="1"/>
  <c r="AR55" i="1"/>
  <c r="AR13" i="1"/>
  <c r="AR235" i="1"/>
  <c r="AR150" i="1"/>
  <c r="AR72" i="1"/>
  <c r="AR129" i="1"/>
  <c r="AR112" i="1"/>
  <c r="AR145" i="1"/>
  <c r="AR4" i="1"/>
  <c r="AR225" i="1"/>
  <c r="AR94" i="1"/>
  <c r="AR9" i="1"/>
  <c r="AR178" i="1"/>
  <c r="AR264" i="1"/>
  <c r="AR82" i="1"/>
  <c r="AR252" i="1"/>
  <c r="D13" i="5" l="1"/>
  <c r="D4" i="5"/>
  <c r="D12" i="5"/>
  <c r="D7" i="5"/>
  <c r="D10" i="5"/>
  <c r="E10" i="5" s="1"/>
  <c r="D3" i="5"/>
  <c r="D6" i="5"/>
  <c r="E6" i="5" s="1"/>
  <c r="D5" i="5"/>
  <c r="E5" i="5" s="1"/>
  <c r="D2" i="5"/>
  <c r="E2" i="5" s="1"/>
  <c r="AC126" i="1" l="1"/>
  <c r="AC66" i="1"/>
  <c r="AC223" i="1"/>
  <c r="AC255" i="1"/>
  <c r="AJ28" i="1"/>
  <c r="AJ133" i="1"/>
  <c r="AJ204" i="1"/>
  <c r="AJ69" i="1"/>
  <c r="AJ73" i="1"/>
  <c r="AJ5" i="1"/>
  <c r="AJ197" i="1"/>
  <c r="AJ13" i="1"/>
  <c r="AJ154" i="1"/>
  <c r="AJ142" i="1"/>
  <c r="AJ245" i="1"/>
  <c r="AJ106" i="1"/>
  <c r="AJ115" i="1"/>
  <c r="AJ242" i="1"/>
  <c r="AJ227" i="1"/>
  <c r="AJ178" i="1"/>
  <c r="AJ182" i="1"/>
  <c r="AJ213" i="1"/>
  <c r="AJ221" i="1"/>
  <c r="AJ7" i="1"/>
  <c r="AJ126" i="1"/>
  <c r="AJ203" i="1"/>
  <c r="AJ74" i="1"/>
  <c r="AJ150" i="1"/>
  <c r="AJ147" i="1"/>
  <c r="AJ67" i="1"/>
  <c r="AJ94" i="1"/>
  <c r="AJ121" i="1"/>
  <c r="AJ226" i="1"/>
  <c r="AJ10" i="1"/>
  <c r="AJ22" i="1"/>
  <c r="AJ191" i="1"/>
  <c r="AJ168" i="1"/>
  <c r="AJ64" i="1"/>
  <c r="AJ194" i="1"/>
  <c r="AJ209" i="1"/>
  <c r="AJ12" i="1"/>
  <c r="AJ166" i="1"/>
  <c r="AJ71" i="1"/>
  <c r="AJ8" i="1"/>
  <c r="AJ41" i="1"/>
  <c r="AJ38" i="1"/>
  <c r="AJ29" i="1"/>
  <c r="AJ52" i="1"/>
  <c r="AJ88" i="1"/>
  <c r="AJ250" i="1"/>
  <c r="AJ224" i="1"/>
  <c r="AJ243" i="1"/>
  <c r="AJ184" i="1"/>
  <c r="AJ193" i="1"/>
  <c r="AJ155" i="1"/>
  <c r="AJ116" i="1"/>
  <c r="AJ129" i="1"/>
  <c r="AJ34" i="1"/>
  <c r="AJ21" i="1"/>
  <c r="AJ97" i="1"/>
  <c r="AJ14" i="1"/>
  <c r="AJ98" i="1"/>
  <c r="AJ82" i="1"/>
  <c r="AJ214" i="1"/>
  <c r="AJ232" i="1"/>
  <c r="AJ228" i="1"/>
  <c r="AJ241" i="1"/>
  <c r="AJ180" i="1"/>
  <c r="AJ25" i="1"/>
  <c r="AJ51" i="1"/>
  <c r="AJ66" i="1"/>
  <c r="AJ27" i="1"/>
  <c r="AJ167" i="1"/>
  <c r="AJ146" i="1"/>
  <c r="AJ2" i="1"/>
  <c r="AJ163" i="1"/>
  <c r="AJ104" i="1"/>
  <c r="AJ24" i="1"/>
  <c r="AJ109" i="1"/>
  <c r="AJ30" i="1"/>
  <c r="AJ135" i="1"/>
  <c r="AJ43" i="1"/>
  <c r="AJ101" i="1"/>
  <c r="AJ105" i="1"/>
  <c r="AJ239" i="1"/>
  <c r="AJ236" i="1"/>
  <c r="AJ49" i="1"/>
  <c r="AJ256" i="1"/>
  <c r="AJ234" i="1"/>
  <c r="AJ218" i="1"/>
  <c r="AJ202" i="1"/>
  <c r="AJ258" i="1"/>
  <c r="AJ117" i="1"/>
  <c r="AJ252" i="1"/>
  <c r="AJ264" i="1"/>
  <c r="AJ195" i="1"/>
  <c r="AJ170" i="1"/>
  <c r="AJ215" i="1"/>
  <c r="AJ165" i="1"/>
  <c r="AJ259" i="1"/>
  <c r="AJ123" i="1"/>
  <c r="AJ6" i="1"/>
  <c r="AJ220" i="1"/>
  <c r="AJ118" i="1"/>
  <c r="AJ189" i="1"/>
  <c r="AJ96" i="1"/>
  <c r="AJ235" i="1"/>
  <c r="AJ246" i="1"/>
  <c r="AJ58" i="1"/>
  <c r="AJ217" i="1"/>
  <c r="AJ158" i="1"/>
  <c r="AJ265" i="1"/>
  <c r="AJ9" i="1"/>
  <c r="AJ90" i="1"/>
  <c r="AJ47" i="1"/>
  <c r="AJ211" i="1"/>
  <c r="AJ61" i="1"/>
  <c r="AJ208" i="1"/>
  <c r="AJ196" i="1"/>
  <c r="AJ231" i="1"/>
  <c r="AJ149" i="1"/>
  <c r="AJ183" i="1"/>
  <c r="AJ151" i="1"/>
  <c r="AJ207" i="1"/>
  <c r="AJ54" i="1"/>
  <c r="AJ53" i="1"/>
  <c r="AJ102" i="1"/>
  <c r="AJ222" i="1"/>
  <c r="AJ134" i="1"/>
  <c r="AJ103" i="1"/>
  <c r="AJ173" i="1"/>
  <c r="AJ42" i="1"/>
  <c r="AJ233" i="1"/>
  <c r="AJ110" i="1"/>
  <c r="AJ185" i="1"/>
  <c r="AJ50" i="1"/>
  <c r="AJ70" i="1"/>
  <c r="AJ145" i="1"/>
  <c r="AJ40" i="1"/>
  <c r="AJ57" i="1"/>
  <c r="AJ20" i="1"/>
  <c r="AJ108" i="1"/>
  <c r="AJ23" i="1"/>
  <c r="AJ100" i="1"/>
  <c r="AJ75" i="1"/>
  <c r="AJ113" i="1"/>
  <c r="AJ219" i="1"/>
  <c r="AJ188" i="1"/>
  <c r="AJ26" i="1"/>
  <c r="AJ192" i="1"/>
  <c r="AJ205" i="1"/>
  <c r="AJ59" i="1"/>
  <c r="AJ111" i="1"/>
  <c r="AJ263" i="1"/>
  <c r="AJ186" i="1"/>
  <c r="AJ65" i="1"/>
  <c r="AJ164" i="1"/>
  <c r="AJ17" i="1"/>
  <c r="AJ132" i="1"/>
  <c r="AJ85" i="1"/>
  <c r="AJ181" i="1"/>
  <c r="AJ255" i="1"/>
  <c r="AJ153" i="1"/>
  <c r="AJ161" i="1"/>
  <c r="AJ199" i="1"/>
  <c r="AJ160" i="1"/>
  <c r="AJ157" i="1"/>
  <c r="AJ179" i="1"/>
  <c r="AJ68" i="1"/>
  <c r="AJ238" i="1"/>
  <c r="AJ87" i="1"/>
  <c r="AJ86" i="1"/>
  <c r="AJ139" i="1"/>
  <c r="AJ169" i="1"/>
  <c r="AJ32" i="1"/>
  <c r="AJ143" i="1"/>
  <c r="AJ99" i="1"/>
  <c r="AJ83" i="1"/>
  <c r="AJ225" i="1"/>
  <c r="AJ33" i="1"/>
  <c r="AJ174" i="1"/>
  <c r="AJ175" i="1"/>
  <c r="AJ128" i="1"/>
  <c r="AJ95" i="1"/>
  <c r="AJ251" i="1"/>
  <c r="AJ31" i="1"/>
  <c r="AJ187" i="1"/>
  <c r="AJ130" i="1"/>
  <c r="AJ216" i="1"/>
  <c r="AJ107" i="1"/>
  <c r="AJ81" i="1"/>
  <c r="AJ172" i="1"/>
  <c r="AJ19" i="1"/>
  <c r="AJ136" i="1"/>
  <c r="AJ240" i="1"/>
  <c r="AJ162" i="1"/>
  <c r="AJ89" i="1"/>
  <c r="AJ138" i="1"/>
  <c r="AJ125" i="1"/>
  <c r="AJ35" i="1"/>
  <c r="AJ120" i="1"/>
  <c r="AJ127" i="1"/>
  <c r="AJ198" i="1"/>
  <c r="AJ210" i="1"/>
  <c r="AJ248" i="1"/>
  <c r="AJ37" i="1"/>
  <c r="AJ190" i="1"/>
  <c r="AJ55" i="1"/>
  <c r="AJ60" i="1"/>
  <c r="AJ78" i="1"/>
  <c r="AJ230" i="1"/>
  <c r="AJ262" i="1"/>
  <c r="AJ156" i="1"/>
  <c r="AJ46" i="1"/>
  <c r="AJ119" i="1"/>
  <c r="AJ3" i="1"/>
  <c r="AJ266" i="1"/>
  <c r="AJ44" i="1"/>
  <c r="AJ48" i="1"/>
  <c r="AJ253" i="1"/>
  <c r="AJ36" i="1"/>
  <c r="AJ257" i="1"/>
  <c r="AJ131" i="1"/>
  <c r="AJ254" i="1"/>
  <c r="AJ144" i="1"/>
  <c r="AJ79" i="1"/>
  <c r="AJ261" i="1"/>
  <c r="AJ140" i="1"/>
  <c r="AJ200" i="1"/>
  <c r="AJ45" i="1"/>
  <c r="AJ56" i="1"/>
  <c r="AJ15" i="1"/>
  <c r="AJ141" i="1"/>
  <c r="AJ148" i="1"/>
  <c r="AJ159" i="1"/>
  <c r="AJ16" i="1"/>
  <c r="AJ11" i="1"/>
  <c r="AJ114" i="1"/>
  <c r="AJ124" i="1"/>
  <c r="AJ62" i="1"/>
  <c r="AJ247" i="1"/>
  <c r="AJ72" i="1"/>
  <c r="AJ249" i="1"/>
  <c r="AJ112" i="1"/>
  <c r="AJ137" i="1"/>
  <c r="AJ229" i="1"/>
  <c r="AJ237" i="1"/>
  <c r="AJ152" i="1"/>
  <c r="AJ84" i="1"/>
  <c r="AJ171" i="1"/>
  <c r="AJ212" i="1"/>
  <c r="AJ122" i="1"/>
  <c r="AJ201" i="1"/>
  <c r="AJ177" i="1"/>
  <c r="AJ176" i="1"/>
  <c r="AJ76" i="1"/>
  <c r="AJ93" i="1"/>
  <c r="AJ63" i="1"/>
  <c r="AJ206" i="1"/>
  <c r="AJ18" i="1"/>
  <c r="AJ39" i="1"/>
  <c r="AJ80" i="1"/>
  <c r="AJ92" i="1"/>
  <c r="AJ4" i="1"/>
  <c r="AJ223" i="1"/>
  <c r="AJ260" i="1"/>
  <c r="AJ91" i="1"/>
  <c r="AJ244" i="1"/>
  <c r="AJ77" i="1"/>
  <c r="E3" i="5"/>
  <c r="AC102" i="1" s="1"/>
  <c r="AG234" i="1"/>
  <c r="AG146" i="1"/>
  <c r="AG254" i="1"/>
  <c r="AG11" i="1"/>
  <c r="AG257" i="1"/>
  <c r="E7" i="5"/>
  <c r="AG213" i="1" s="1"/>
  <c r="AF234" i="1"/>
  <c r="AF180" i="1"/>
  <c r="AF101" i="1"/>
  <c r="AF135" i="1"/>
  <c r="AF133" i="1"/>
  <c r="AF5" i="1"/>
  <c r="AF154" i="1"/>
  <c r="AF90" i="1"/>
  <c r="AF13" i="1"/>
  <c r="AF73" i="1"/>
  <c r="AF129" i="1"/>
  <c r="AF28" i="1"/>
  <c r="AF183" i="1"/>
  <c r="AF74" i="1"/>
  <c r="AF43" i="1"/>
  <c r="AF88" i="1"/>
  <c r="AF6" i="1"/>
  <c r="AF158" i="1"/>
  <c r="AF150" i="1"/>
  <c r="AF204" i="1"/>
  <c r="AF100" i="1"/>
  <c r="AF115" i="1"/>
  <c r="AF116" i="1"/>
  <c r="AF96" i="1"/>
  <c r="AF243" i="1"/>
  <c r="AF203" i="1"/>
  <c r="AF3" i="1"/>
  <c r="AF164" i="1"/>
  <c r="AF122" i="1"/>
  <c r="AF205" i="1"/>
  <c r="AF17" i="1"/>
  <c r="AF160" i="1"/>
  <c r="AF181" i="1"/>
  <c r="AF167" i="1"/>
  <c r="AF142" i="1"/>
  <c r="AF147" i="1"/>
  <c r="AF34" i="1"/>
  <c r="AF193" i="1"/>
  <c r="AF233" i="1"/>
  <c r="AF14" i="1"/>
  <c r="AF40" i="1"/>
  <c r="AF64" i="1"/>
  <c r="AF221" i="1"/>
  <c r="AF256" i="1"/>
  <c r="AF236" i="1"/>
  <c r="AF157" i="1"/>
  <c r="AF212" i="1"/>
  <c r="AF235" i="1"/>
  <c r="AF105" i="1"/>
  <c r="AF109" i="1"/>
  <c r="AF149" i="1"/>
  <c r="AF76" i="1"/>
  <c r="AF155" i="1"/>
  <c r="AF146" i="1"/>
  <c r="AF94" i="1"/>
  <c r="AF214" i="1"/>
  <c r="AF189" i="1"/>
  <c r="AF143" i="1"/>
  <c r="AF231" i="1"/>
  <c r="AF232" i="1"/>
  <c r="AF188" i="1"/>
  <c r="AF226" i="1"/>
  <c r="AF220" i="1"/>
  <c r="AF144" i="1"/>
  <c r="AF83" i="1"/>
  <c r="AF87" i="1"/>
  <c r="AF35" i="1"/>
  <c r="AF68" i="1"/>
  <c r="AF106" i="1"/>
  <c r="AF185" i="1"/>
  <c r="AF110" i="1"/>
  <c r="AF42" i="1"/>
  <c r="AF29" i="1"/>
  <c r="AF264" i="1"/>
  <c r="AF196" i="1"/>
  <c r="AF70" i="1"/>
  <c r="AF2" i="1"/>
  <c r="AF118" i="1"/>
  <c r="AF41" i="1"/>
  <c r="AF121" i="1"/>
  <c r="AF177" i="1"/>
  <c r="AF45" i="1"/>
  <c r="AF72" i="1"/>
  <c r="AF24" i="1"/>
  <c r="AF186" i="1"/>
  <c r="AF134" i="1"/>
  <c r="AF54" i="1"/>
  <c r="AF195" i="1"/>
  <c r="AF16" i="1"/>
  <c r="AF85" i="1"/>
  <c r="AF145" i="1"/>
  <c r="AF113" i="1"/>
  <c r="AF23" i="1"/>
  <c r="AF128" i="1"/>
  <c r="AF61" i="1"/>
  <c r="AF50" i="1"/>
  <c r="AF222" i="1"/>
  <c r="AF228" i="1"/>
  <c r="AF82" i="1"/>
  <c r="AF95" i="1"/>
  <c r="AF9" i="1"/>
  <c r="AF69" i="1"/>
  <c r="AF58" i="1"/>
  <c r="AF98" i="1"/>
  <c r="AF166" i="1"/>
  <c r="AF184" i="1"/>
  <c r="AF126" i="1"/>
  <c r="AF47" i="1"/>
  <c r="AF162" i="1"/>
  <c r="AF265" i="1"/>
  <c r="AF168" i="1"/>
  <c r="AF261" i="1"/>
  <c r="AF75" i="1"/>
  <c r="AF102" i="1"/>
  <c r="AF239" i="1"/>
  <c r="AF245" i="1"/>
  <c r="AF207" i="1"/>
  <c r="AF60" i="1"/>
  <c r="AF192" i="1"/>
  <c r="AF15" i="1"/>
  <c r="AF8" i="1"/>
  <c r="AF66" i="1"/>
  <c r="AF152" i="1"/>
  <c r="AF53" i="1"/>
  <c r="AF37" i="1"/>
  <c r="AF7" i="1"/>
  <c r="AF123" i="1"/>
  <c r="AF197" i="1"/>
  <c r="AF173" i="1"/>
  <c r="AF57" i="1"/>
  <c r="AF238" i="1"/>
  <c r="AF199" i="1"/>
  <c r="AF250" i="1"/>
  <c r="AF108" i="1"/>
  <c r="AF89" i="1"/>
  <c r="AF132" i="1"/>
  <c r="AF26" i="1"/>
  <c r="AF10" i="1"/>
  <c r="AF18" i="1"/>
  <c r="AF111" i="1"/>
  <c r="AF77" i="1"/>
  <c r="AF206" i="1"/>
  <c r="AF161" i="1"/>
  <c r="AF27" i="1"/>
  <c r="AF208" i="1"/>
  <c r="AF117" i="1"/>
  <c r="AF125" i="1"/>
  <c r="AF159" i="1"/>
  <c r="AF20" i="1"/>
  <c r="AF209" i="1"/>
  <c r="AF241" i="1"/>
  <c r="AF65" i="1"/>
  <c r="AF148" i="1"/>
  <c r="AF246" i="1"/>
  <c r="AF213" i="1"/>
  <c r="AF38" i="1"/>
  <c r="AF12" i="1"/>
  <c r="AF104" i="1"/>
  <c r="AF71" i="1"/>
  <c r="AF266" i="1"/>
  <c r="AF217" i="1"/>
  <c r="AF200" i="1"/>
  <c r="AF97" i="1"/>
  <c r="AF216" i="1"/>
  <c r="AF163" i="1"/>
  <c r="AF258" i="1"/>
  <c r="AF62" i="1"/>
  <c r="AF67" i="1"/>
  <c r="AF259" i="1"/>
  <c r="AF247" i="1"/>
  <c r="AF172" i="1"/>
  <c r="AF251" i="1"/>
  <c r="AF253" i="1"/>
  <c r="AF21" i="1"/>
  <c r="AF52" i="1"/>
  <c r="AF153" i="1"/>
  <c r="AF137" i="1"/>
  <c r="AF174" i="1"/>
  <c r="AF151" i="1"/>
  <c r="AF138" i="1"/>
  <c r="AF4" i="1"/>
  <c r="AF127" i="1"/>
  <c r="AF120" i="1"/>
  <c r="AF249" i="1"/>
  <c r="AF201" i="1"/>
  <c r="AF131" i="1"/>
  <c r="AF99" i="1"/>
  <c r="AF169" i="1"/>
  <c r="AF86" i="1"/>
  <c r="AF179" i="1"/>
  <c r="AF11" i="1"/>
  <c r="AF19" i="1"/>
  <c r="AF170" i="1"/>
  <c r="AF210" i="1"/>
  <c r="AF215" i="1"/>
  <c r="AF114" i="1"/>
  <c r="AF51" i="1"/>
  <c r="AF30" i="1"/>
  <c r="AF224" i="1"/>
  <c r="AF136" i="1"/>
  <c r="AF46" i="1"/>
  <c r="AF119" i="1"/>
  <c r="AF107" i="1"/>
  <c r="AF252" i="1"/>
  <c r="AF240" i="1"/>
  <c r="AF130" i="1"/>
  <c r="AF230" i="1"/>
  <c r="AF227" i="1"/>
  <c r="AF223" i="1"/>
  <c r="AF171" i="1"/>
  <c r="AF255" i="1"/>
  <c r="AF103" i="1"/>
  <c r="AF176" i="1"/>
  <c r="AF262" i="1"/>
  <c r="AF211" i="1"/>
  <c r="AF80" i="1"/>
  <c r="AF248" i="1"/>
  <c r="AF244" i="1"/>
  <c r="AF31" i="1"/>
  <c r="AF39" i="1"/>
  <c r="AF92" i="1"/>
  <c r="AF202" i="1"/>
  <c r="AF22" i="1"/>
  <c r="AF229" i="1"/>
  <c r="AF175" i="1"/>
  <c r="AF165" i="1"/>
  <c r="AF81" i="1"/>
  <c r="AF140" i="1"/>
  <c r="AF33" i="1"/>
  <c r="AF93" i="1"/>
  <c r="AF219" i="1"/>
  <c r="AF257" i="1"/>
  <c r="AF44" i="1"/>
  <c r="AF91" i="1"/>
  <c r="AF263" i="1"/>
  <c r="AF25" i="1"/>
  <c r="AF254" i="1"/>
  <c r="AF187" i="1"/>
  <c r="AF48" i="1"/>
  <c r="AF218" i="1"/>
  <c r="AF182" i="1"/>
  <c r="AF56" i="1"/>
  <c r="AF156" i="1"/>
  <c r="AF55" i="1"/>
  <c r="AF139" i="1"/>
  <c r="AF36" i="1"/>
  <c r="AF32" i="1"/>
  <c r="AF260" i="1"/>
  <c r="AF112" i="1"/>
  <c r="AF178" i="1"/>
  <c r="AF225" i="1"/>
  <c r="AF63" i="1"/>
  <c r="AF198" i="1"/>
  <c r="AF194" i="1"/>
  <c r="AF237" i="1"/>
  <c r="AF141" i="1"/>
  <c r="AF124" i="1"/>
  <c r="AF79" i="1"/>
  <c r="AF191" i="1"/>
  <c r="AF242" i="1"/>
  <c r="AF59" i="1"/>
  <c r="AF190" i="1"/>
  <c r="AF49" i="1"/>
  <c r="AF84" i="1"/>
  <c r="AF78" i="1"/>
  <c r="AS197" i="1"/>
  <c r="AS132" i="1"/>
  <c r="AS10" i="1"/>
  <c r="AS53" i="1"/>
  <c r="AS228" i="1"/>
  <c r="AS173" i="1"/>
  <c r="AS109" i="1"/>
  <c r="AS7" i="1"/>
  <c r="AS243" i="1"/>
  <c r="AS5" i="1"/>
  <c r="AS97" i="1"/>
  <c r="AS100" i="1"/>
  <c r="AS28" i="1"/>
  <c r="AS27" i="1"/>
  <c r="AS87" i="1"/>
  <c r="AS118" i="1"/>
  <c r="AS166" i="1"/>
  <c r="AS234" i="1"/>
  <c r="AS85" i="1"/>
  <c r="AS213" i="1"/>
  <c r="AS116" i="1"/>
  <c r="AS235" i="1"/>
  <c r="AS96" i="1"/>
  <c r="AS181" i="1"/>
  <c r="AS155" i="1"/>
  <c r="AS222" i="1"/>
  <c r="AS160" i="1"/>
  <c r="AS111" i="1"/>
  <c r="AS135" i="1"/>
  <c r="AS104" i="1"/>
  <c r="AS26" i="1"/>
  <c r="AS158" i="1"/>
  <c r="AS68" i="1"/>
  <c r="AS58" i="1"/>
  <c r="AS154" i="1"/>
  <c r="AS200" i="1"/>
  <c r="AS209" i="1"/>
  <c r="AS239" i="1"/>
  <c r="AS167" i="1"/>
  <c r="AS54" i="1"/>
  <c r="AS43" i="1"/>
  <c r="AS101" i="1"/>
  <c r="AS193" i="1"/>
  <c r="AS75" i="1"/>
  <c r="AS189" i="1"/>
  <c r="AS56" i="1"/>
  <c r="AS33" i="1"/>
  <c r="AS256" i="1"/>
  <c r="AS71" i="1"/>
  <c r="AS129" i="1"/>
  <c r="AS159" i="1"/>
  <c r="AS20" i="1"/>
  <c r="AS105" i="1"/>
  <c r="AS82" i="1"/>
  <c r="AS219" i="1"/>
  <c r="AS86" i="1"/>
  <c r="AS59" i="1"/>
  <c r="AS246" i="1"/>
  <c r="AS40" i="1"/>
  <c r="AS149" i="1"/>
  <c r="AS258" i="1"/>
  <c r="AS205" i="1"/>
  <c r="AS65" i="1"/>
  <c r="AS99" i="1"/>
  <c r="AS259" i="1"/>
  <c r="AS16" i="1"/>
  <c r="AS202" i="1"/>
  <c r="AS57" i="1"/>
  <c r="AS34" i="1"/>
  <c r="AS145" i="1"/>
  <c r="AS74" i="1"/>
  <c r="AS13" i="1"/>
  <c r="AS12" i="1"/>
  <c r="AS113" i="1"/>
  <c r="AS236" i="1"/>
  <c r="AS121" i="1"/>
  <c r="AS55" i="1"/>
  <c r="AS64" i="1"/>
  <c r="AS180" i="1"/>
  <c r="AS245" i="1"/>
  <c r="AS185" i="1"/>
  <c r="AS89" i="1"/>
  <c r="AS263" i="1"/>
  <c r="AS147" i="1"/>
  <c r="AS183" i="1"/>
  <c r="AS76" i="1"/>
  <c r="AS46" i="1"/>
  <c r="AS171" i="1"/>
  <c r="AS98" i="1"/>
  <c r="AS162" i="1"/>
  <c r="AS161" i="1"/>
  <c r="AS238" i="1"/>
  <c r="AS240" i="1"/>
  <c r="AS174" i="1"/>
  <c r="AS204" i="1"/>
  <c r="AS242" i="1"/>
  <c r="AS24" i="1"/>
  <c r="AS196" i="1"/>
  <c r="AS163" i="1"/>
  <c r="AS212" i="1"/>
  <c r="AS247" i="1"/>
  <c r="AS103" i="1"/>
  <c r="AS195" i="1"/>
  <c r="AS186" i="1"/>
  <c r="AS95" i="1"/>
  <c r="AS217" i="1"/>
  <c r="AS194" i="1"/>
  <c r="AS106" i="1"/>
  <c r="AS260" i="1"/>
  <c r="AS42" i="1"/>
  <c r="AS203" i="1"/>
  <c r="AS184" i="1"/>
  <c r="AS69" i="1"/>
  <c r="AS168" i="1"/>
  <c r="AS262" i="1"/>
  <c r="AS250" i="1"/>
  <c r="AS94" i="1"/>
  <c r="AS214" i="1"/>
  <c r="AS6" i="1"/>
  <c r="AS142" i="1"/>
  <c r="AS90" i="1"/>
  <c r="AS44" i="1"/>
  <c r="AS128" i="1"/>
  <c r="AS61" i="1"/>
  <c r="AS45" i="1"/>
  <c r="AS66" i="1"/>
  <c r="AS38" i="1"/>
  <c r="AS172" i="1"/>
  <c r="AS266" i="1"/>
  <c r="AS192" i="1"/>
  <c r="AS152" i="1"/>
  <c r="AS115" i="1"/>
  <c r="AS102" i="1"/>
  <c r="AS9" i="1"/>
  <c r="AS175" i="1"/>
  <c r="AS134" i="1"/>
  <c r="AS67" i="1"/>
  <c r="AS91" i="1"/>
  <c r="AS88" i="1"/>
  <c r="AS170" i="1"/>
  <c r="AS120" i="1"/>
  <c r="AS146" i="1"/>
  <c r="AS73" i="1"/>
  <c r="AS110" i="1"/>
  <c r="AS41" i="1"/>
  <c r="AS226" i="1"/>
  <c r="AS264" i="1"/>
  <c r="AS220" i="1"/>
  <c r="AS157" i="1"/>
  <c r="AS150" i="1"/>
  <c r="AS23" i="1"/>
  <c r="AS133" i="1"/>
  <c r="AS191" i="1"/>
  <c r="AS221" i="1"/>
  <c r="AS231" i="1"/>
  <c r="AS241" i="1"/>
  <c r="AS2" i="1"/>
  <c r="AS70" i="1"/>
  <c r="AS14" i="1"/>
  <c r="AS18" i="1"/>
  <c r="AS265" i="1"/>
  <c r="AS151" i="1"/>
  <c r="AS63" i="1"/>
  <c r="AS29" i="1"/>
  <c r="AS233" i="1"/>
  <c r="AS207" i="1"/>
  <c r="AS211" i="1"/>
  <c r="AS21" i="1"/>
  <c r="AS131" i="1"/>
  <c r="AS253" i="1"/>
  <c r="AS114" i="1"/>
  <c r="AS51" i="1"/>
  <c r="AS125" i="1"/>
  <c r="AS4" i="1"/>
  <c r="AS237" i="1"/>
  <c r="AS210" i="1"/>
  <c r="AS119" i="1"/>
  <c r="AS165" i="1"/>
  <c r="AS252" i="1"/>
  <c r="AS164" i="1"/>
  <c r="AS254" i="1"/>
  <c r="AS187" i="1"/>
  <c r="AS255" i="1"/>
  <c r="AS48" i="1"/>
  <c r="AS22" i="1"/>
  <c r="AS25" i="1"/>
  <c r="AS199" i="1"/>
  <c r="AS229" i="1"/>
  <c r="AS93" i="1"/>
  <c r="AS218" i="1"/>
  <c r="AS190" i="1"/>
  <c r="AS178" i="1"/>
  <c r="AS225" i="1"/>
  <c r="AS251" i="1"/>
  <c r="AS84" i="1"/>
  <c r="AS117" i="1"/>
  <c r="AS144" i="1"/>
  <c r="AS257" i="1"/>
  <c r="AS92" i="1"/>
  <c r="AS137" i="1"/>
  <c r="AS156" i="1"/>
  <c r="AS248" i="1"/>
  <c r="AS81" i="1"/>
  <c r="AS130" i="1"/>
  <c r="AS223" i="1"/>
  <c r="AS224" i="1"/>
  <c r="AS19" i="1"/>
  <c r="AS3" i="1"/>
  <c r="AS232" i="1"/>
  <c r="AS179" i="1"/>
  <c r="AS261" i="1"/>
  <c r="AS78" i="1"/>
  <c r="AS136" i="1"/>
  <c r="AS49" i="1"/>
  <c r="AS36" i="1"/>
  <c r="AS47" i="1"/>
  <c r="AS80" i="1"/>
  <c r="AS83" i="1"/>
  <c r="AS79" i="1"/>
  <c r="AS31" i="1"/>
  <c r="AS62" i="1"/>
  <c r="AS148" i="1"/>
  <c r="AS124" i="1"/>
  <c r="AS138" i="1"/>
  <c r="AS32" i="1"/>
  <c r="AS177" i="1"/>
  <c r="AS188" i="1"/>
  <c r="AS50" i="1"/>
  <c r="AS52" i="1"/>
  <c r="AS140" i="1"/>
  <c r="AS8" i="1"/>
  <c r="AS30" i="1"/>
  <c r="AS141" i="1"/>
  <c r="AS126" i="1"/>
  <c r="AS206" i="1"/>
  <c r="AS39" i="1"/>
  <c r="AS215" i="1"/>
  <c r="AS182" i="1"/>
  <c r="AS201" i="1"/>
  <c r="AS143" i="1"/>
  <c r="AS153" i="1"/>
  <c r="AS72" i="1"/>
  <c r="AS108" i="1"/>
  <c r="AS123" i="1"/>
  <c r="AS249" i="1"/>
  <c r="AS35" i="1"/>
  <c r="AS176" i="1"/>
  <c r="AS208" i="1"/>
  <c r="AS230" i="1"/>
  <c r="AS198" i="1"/>
  <c r="AS17" i="1"/>
  <c r="AS11" i="1"/>
  <c r="AS122" i="1"/>
  <c r="AS244" i="1"/>
  <c r="AS112" i="1"/>
  <c r="AS77" i="1"/>
  <c r="AS60" i="1"/>
  <c r="AS227" i="1"/>
  <c r="AS37" i="1"/>
  <c r="AS127" i="1"/>
  <c r="AS216" i="1"/>
  <c r="AS15" i="1"/>
  <c r="AS107" i="1"/>
  <c r="AS169" i="1"/>
  <c r="AS139" i="1"/>
  <c r="AD74" i="1"/>
  <c r="AD96" i="1"/>
  <c r="AD192" i="1"/>
  <c r="AD231" i="1"/>
  <c r="AD130" i="1"/>
  <c r="AD160" i="1"/>
  <c r="AD264" i="1"/>
  <c r="AD25" i="1"/>
  <c r="AD218" i="1"/>
  <c r="AD92" i="1"/>
  <c r="AD253" i="1"/>
  <c r="AD200" i="1"/>
  <c r="AD35" i="1"/>
  <c r="AB213" i="1"/>
  <c r="AB167" i="1"/>
  <c r="AB43" i="1"/>
  <c r="AB221" i="1"/>
  <c r="AB14" i="1"/>
  <c r="AB160" i="1"/>
  <c r="AB74" i="1"/>
  <c r="AB158" i="1"/>
  <c r="AB106" i="1"/>
  <c r="AB53" i="1"/>
  <c r="AB204" i="1"/>
  <c r="AB26" i="1"/>
  <c r="AB58" i="1"/>
  <c r="AB88" i="1"/>
  <c r="AB104" i="1"/>
  <c r="AB197" i="1"/>
  <c r="AB256" i="1"/>
  <c r="AB154" i="1"/>
  <c r="AB181" i="1"/>
  <c r="AB135" i="1"/>
  <c r="AB101" i="1"/>
  <c r="AB163" i="1"/>
  <c r="AB220" i="1"/>
  <c r="AB183" i="1"/>
  <c r="AB234" i="1"/>
  <c r="AB217" i="1"/>
  <c r="AB69" i="1"/>
  <c r="AB36" i="1"/>
  <c r="AB245" i="1"/>
  <c r="AB247" i="1"/>
  <c r="AB126" i="1"/>
  <c r="AB121" i="1"/>
  <c r="AB28" i="1"/>
  <c r="AB184" i="1"/>
  <c r="AB42" i="1"/>
  <c r="AB115" i="1"/>
  <c r="AB191" i="1"/>
  <c r="AB13" i="1"/>
  <c r="AB93" i="1"/>
  <c r="AB50" i="1"/>
  <c r="AB98" i="1"/>
  <c r="AB233" i="1"/>
  <c r="AB129" i="1"/>
  <c r="AB102" i="1"/>
  <c r="AB64" i="1"/>
  <c r="AB149" i="1"/>
  <c r="AB174" i="1"/>
  <c r="AB250" i="1"/>
  <c r="AB227" i="1"/>
  <c r="AB150" i="1"/>
  <c r="AB96" i="1"/>
  <c r="AB34" i="1"/>
  <c r="AB27" i="1"/>
  <c r="AB6" i="1"/>
  <c r="AB65" i="1"/>
  <c r="AB185" i="1"/>
  <c r="AB10" i="1"/>
  <c r="AB55" i="1"/>
  <c r="AB168" i="1"/>
  <c r="AB214" i="1"/>
  <c r="AB194" i="1"/>
  <c r="AB207" i="1"/>
  <c r="AB8" i="1"/>
  <c r="AB41" i="1"/>
  <c r="AB222" i="1"/>
  <c r="AB33" i="1"/>
  <c r="AB186" i="1"/>
  <c r="AB205" i="1"/>
  <c r="AB145" i="1"/>
  <c r="AB87" i="1"/>
  <c r="AB246" i="1"/>
  <c r="AB179" i="1"/>
  <c r="AB109" i="1"/>
  <c r="AB261" i="1"/>
  <c r="AB251" i="1"/>
  <c r="AB228" i="1"/>
  <c r="AB113" i="1"/>
  <c r="AB124" i="1"/>
  <c r="AB170" i="1"/>
  <c r="AB85" i="1"/>
  <c r="AB39" i="1"/>
  <c r="AB75" i="1"/>
  <c r="AB5" i="1"/>
  <c r="AB157" i="1"/>
  <c r="AB81" i="1"/>
  <c r="AB116" i="1"/>
  <c r="AB92" i="1"/>
  <c r="AB70" i="1"/>
  <c r="AB29" i="1"/>
  <c r="AB209" i="1"/>
  <c r="AB142" i="1"/>
  <c r="AB239" i="1"/>
  <c r="AB23" i="1"/>
  <c r="AB243" i="1"/>
  <c r="AB263" i="1"/>
  <c r="AB125" i="1"/>
  <c r="AB89" i="1"/>
  <c r="AB9" i="1"/>
  <c r="AB54" i="1"/>
  <c r="AB71" i="1"/>
  <c r="AB7" i="1"/>
  <c r="AB264" i="1"/>
  <c r="AB94" i="1"/>
  <c r="AB82" i="1"/>
  <c r="AB68" i="1"/>
  <c r="AB161" i="1"/>
  <c r="AB18" i="1"/>
  <c r="AB11" i="1"/>
  <c r="AB48" i="1"/>
  <c r="AB259" i="1"/>
  <c r="AB238" i="1"/>
  <c r="AB203" i="1"/>
  <c r="AB180" i="1"/>
  <c r="AB32" i="1"/>
  <c r="AB241" i="1"/>
  <c r="AB95" i="1"/>
  <c r="AB67" i="1"/>
  <c r="AB66" i="1"/>
  <c r="AB146" i="1"/>
  <c r="AB254" i="1"/>
  <c r="AB97" i="1"/>
  <c r="AB216" i="1"/>
  <c r="AB166" i="1"/>
  <c r="AB235" i="1"/>
  <c r="AB178" i="1"/>
  <c r="AB12" i="1"/>
  <c r="AB73" i="1"/>
  <c r="AB147" i="1"/>
  <c r="AB20" i="1"/>
  <c r="AB59" i="1"/>
  <c r="AB37" i="1"/>
  <c r="AB24" i="1"/>
  <c r="AB253" i="1"/>
  <c r="AB193" i="1"/>
  <c r="AB90" i="1"/>
  <c r="AB134" i="1"/>
  <c r="AB22" i="1"/>
  <c r="AB200" i="1"/>
  <c r="AB110" i="1"/>
  <c r="AB192" i="1"/>
  <c r="AB195" i="1"/>
  <c r="AB118" i="1"/>
  <c r="AB257" i="1"/>
  <c r="AB40" i="1"/>
  <c r="AB155" i="1"/>
  <c r="AB226" i="1"/>
  <c r="AB211" i="1"/>
  <c r="AB60" i="1"/>
  <c r="AB196" i="1"/>
  <c r="AB57" i="1"/>
  <c r="AB133" i="1"/>
  <c r="AB219" i="1"/>
  <c r="AB189" i="1"/>
  <c r="AB210" i="1"/>
  <c r="AB100" i="1"/>
  <c r="AB159" i="1"/>
  <c r="AB132" i="1"/>
  <c r="AB173" i="1"/>
  <c r="AB2" i="1"/>
  <c r="AB38" i="1"/>
  <c r="AB215" i="1"/>
  <c r="AB255" i="1"/>
  <c r="AB30" i="1"/>
  <c r="AB202" i="1"/>
  <c r="AB266" i="1"/>
  <c r="AB84" i="1"/>
  <c r="AB131" i="1"/>
  <c r="AB112" i="1"/>
  <c r="AB35" i="1"/>
  <c r="AB49" i="1"/>
  <c r="AB143" i="1"/>
  <c r="AB249" i="1"/>
  <c r="AB244" i="1"/>
  <c r="AB138" i="1"/>
  <c r="AB83" i="1"/>
  <c r="AB175" i="1"/>
  <c r="AB140" i="1"/>
  <c r="AB236" i="1"/>
  <c r="AB177" i="1"/>
  <c r="AB242" i="1"/>
  <c r="AB51" i="1"/>
  <c r="AB44" i="1"/>
  <c r="AB212" i="1"/>
  <c r="AB111" i="1"/>
  <c r="AB120" i="1"/>
  <c r="AB122" i="1"/>
  <c r="AB76" i="1"/>
  <c r="AB265" i="1"/>
  <c r="AB165" i="1"/>
  <c r="AB136" i="1"/>
  <c r="AB252" i="1"/>
  <c r="AB169" i="1"/>
  <c r="AB127" i="1"/>
  <c r="AB144" i="1"/>
  <c r="AB240" i="1"/>
  <c r="AB137" i="1"/>
  <c r="AB46" i="1"/>
  <c r="AB260" i="1"/>
  <c r="AB208" i="1"/>
  <c r="AB107" i="1"/>
  <c r="AB79" i="1"/>
  <c r="AB164" i="1"/>
  <c r="AB188" i="1"/>
  <c r="AB198" i="1"/>
  <c r="AB21" i="1"/>
  <c r="AB99" i="1"/>
  <c r="AB171" i="1"/>
  <c r="AB223" i="1"/>
  <c r="AB47" i="1"/>
  <c r="AB224" i="1"/>
  <c r="AB19" i="1"/>
  <c r="AB119" i="1"/>
  <c r="AB86" i="1"/>
  <c r="AB108" i="1"/>
  <c r="AB232" i="1"/>
  <c r="AB61" i="1"/>
  <c r="AB123" i="1"/>
  <c r="AB114" i="1"/>
  <c r="AB63" i="1"/>
  <c r="AB230" i="1"/>
  <c r="AB72" i="1"/>
  <c r="AB218" i="1"/>
  <c r="AB78" i="1"/>
  <c r="AB15" i="1"/>
  <c r="AB190" i="1"/>
  <c r="AB199" i="1"/>
  <c r="AB182" i="1"/>
  <c r="AB172" i="1"/>
  <c r="AB17" i="1"/>
  <c r="AB151" i="1"/>
  <c r="AB258" i="1"/>
  <c r="AB248" i="1"/>
  <c r="AB237" i="1"/>
  <c r="AB25" i="1"/>
  <c r="AB156" i="1"/>
  <c r="AB141" i="1"/>
  <c r="AB16" i="1"/>
  <c r="AB148" i="1"/>
  <c r="AB206" i="1"/>
  <c r="AB176" i="1"/>
  <c r="AB130" i="1"/>
  <c r="AB262" i="1"/>
  <c r="AB103" i="1"/>
  <c r="AB153" i="1"/>
  <c r="AB4" i="1"/>
  <c r="AB62" i="1"/>
  <c r="AB31" i="1"/>
  <c r="AB139" i="1"/>
  <c r="AB225" i="1"/>
  <c r="AB201" i="1"/>
  <c r="AB231" i="1"/>
  <c r="AB229" i="1"/>
  <c r="AB105" i="1"/>
  <c r="AB128" i="1"/>
  <c r="AB56" i="1"/>
  <c r="AB152" i="1"/>
  <c r="AB117" i="1"/>
  <c r="AB91" i="1"/>
  <c r="AB45" i="1"/>
  <c r="AB52" i="1"/>
  <c r="AB187" i="1"/>
  <c r="AB3" i="1"/>
  <c r="AB77" i="1"/>
  <c r="AB162" i="1"/>
  <c r="AB80" i="1"/>
  <c r="AE234" i="1"/>
  <c r="AE180" i="1"/>
  <c r="AE101" i="1"/>
  <c r="AE58" i="1"/>
  <c r="AE65" i="1"/>
  <c r="AE115" i="1"/>
  <c r="AE157" i="1"/>
  <c r="AE43" i="1"/>
  <c r="AE68" i="1"/>
  <c r="AE197" i="1"/>
  <c r="AE10" i="1"/>
  <c r="AE150" i="1"/>
  <c r="AE13" i="1"/>
  <c r="AE28" i="1"/>
  <c r="AE74" i="1"/>
  <c r="AE113" i="1"/>
  <c r="AE132" i="1"/>
  <c r="AE213" i="1"/>
  <c r="AE154" i="1"/>
  <c r="AE69" i="1"/>
  <c r="AE231" i="1"/>
  <c r="AE7" i="1"/>
  <c r="AE97" i="1"/>
  <c r="AE96" i="1"/>
  <c r="AE90" i="1"/>
  <c r="AE118" i="1"/>
  <c r="AE14" i="1"/>
  <c r="AE203" i="1"/>
  <c r="AE108" i="1"/>
  <c r="AE243" i="1"/>
  <c r="AE227" i="1"/>
  <c r="AE205" i="1"/>
  <c r="AE201" i="1"/>
  <c r="AE89" i="1"/>
  <c r="AE39" i="1"/>
  <c r="AE212" i="1"/>
  <c r="AE124" i="1"/>
  <c r="AE37" i="1"/>
  <c r="AE26" i="1"/>
  <c r="AE149" i="1"/>
  <c r="AE57" i="1"/>
  <c r="AE222" i="1"/>
  <c r="AE42" i="1"/>
  <c r="AE196" i="1"/>
  <c r="AE18" i="1"/>
  <c r="AE38" i="1"/>
  <c r="AE5" i="1"/>
  <c r="AE54" i="1"/>
  <c r="AE156" i="1"/>
  <c r="AE143" i="1"/>
  <c r="AE250" i="1"/>
  <c r="AE85" i="1"/>
  <c r="AE135" i="1"/>
  <c r="AE226" i="1"/>
  <c r="AE23" i="1"/>
  <c r="AE246" i="1"/>
  <c r="AE66" i="1"/>
  <c r="AE106" i="1"/>
  <c r="AE73" i="1"/>
  <c r="AE67" i="1"/>
  <c r="AE117" i="1"/>
  <c r="AE236" i="1"/>
  <c r="AE230" i="1"/>
  <c r="AE127" i="1"/>
  <c r="AE102" i="1"/>
  <c r="AE134" i="1"/>
  <c r="AE53" i="1"/>
  <c r="AE27" i="1"/>
  <c r="AE239" i="1"/>
  <c r="AE183" i="1"/>
  <c r="AE133" i="1"/>
  <c r="AE94" i="1"/>
  <c r="AE168" i="1"/>
  <c r="AE158" i="1"/>
  <c r="AE146" i="1"/>
  <c r="AE173" i="1"/>
  <c r="AE155" i="1"/>
  <c r="AE64" i="1"/>
  <c r="AE195" i="1"/>
  <c r="AE233" i="1"/>
  <c r="AE161" i="1"/>
  <c r="AE257" i="1"/>
  <c r="AE170" i="1"/>
  <c r="AE238" i="1"/>
  <c r="AE171" i="1"/>
  <c r="AE199" i="1"/>
  <c r="AE104" i="1"/>
  <c r="AE255" i="1"/>
  <c r="AE95" i="1"/>
  <c r="AE151" i="1"/>
  <c r="AE221" i="1"/>
  <c r="AE140" i="1"/>
  <c r="AE217" i="1"/>
  <c r="AE228" i="1"/>
  <c r="AE77" i="1"/>
  <c r="AE24" i="1"/>
  <c r="AE219" i="1"/>
  <c r="AE191" i="1"/>
  <c r="AE110" i="1"/>
  <c r="AE12" i="1"/>
  <c r="AE214" i="1"/>
  <c r="AE263" i="1"/>
  <c r="AE200" i="1"/>
  <c r="AE21" i="1"/>
  <c r="AE169" i="1"/>
  <c r="AE160" i="1"/>
  <c r="AE192" i="1"/>
  <c r="AE220" i="1"/>
  <c r="AE147" i="1"/>
  <c r="AE235" i="1"/>
  <c r="AE206" i="1"/>
  <c r="AE34" i="1"/>
  <c r="AE166" i="1"/>
  <c r="AE100" i="1"/>
  <c r="AE174" i="1"/>
  <c r="AE185" i="1"/>
  <c r="AE126" i="1"/>
  <c r="AE129" i="1"/>
  <c r="AE253" i="1"/>
  <c r="AE247" i="1"/>
  <c r="AE193" i="1"/>
  <c r="AE184" i="1"/>
  <c r="AE209" i="1"/>
  <c r="AE88" i="1"/>
  <c r="AE41" i="1"/>
  <c r="AE109" i="1"/>
  <c r="AE20" i="1"/>
  <c r="AE87" i="1"/>
  <c r="AE75" i="1"/>
  <c r="AE116" i="1"/>
  <c r="AE186" i="1"/>
  <c r="AE76" i="1"/>
  <c r="AE148" i="1"/>
  <c r="AE210" i="1"/>
  <c r="AE82" i="1"/>
  <c r="AE121" i="1"/>
  <c r="AE70" i="1"/>
  <c r="AE264" i="1"/>
  <c r="AE6" i="1"/>
  <c r="AE105" i="1"/>
  <c r="AE259" i="1"/>
  <c r="AE181" i="1"/>
  <c r="AE189" i="1"/>
  <c r="AE163" i="1"/>
  <c r="AE142" i="1"/>
  <c r="AE33" i="1"/>
  <c r="AE8" i="1"/>
  <c r="AE167" i="1"/>
  <c r="AE245" i="1"/>
  <c r="AE145" i="1"/>
  <c r="AE40" i="1"/>
  <c r="AE204" i="1"/>
  <c r="AE125" i="1"/>
  <c r="AE98" i="1"/>
  <c r="AE119" i="1"/>
  <c r="AE265" i="1"/>
  <c r="AE241" i="1"/>
  <c r="AE29" i="1"/>
  <c r="AE50" i="1"/>
  <c r="AE2" i="1"/>
  <c r="AE256" i="1"/>
  <c r="AE17" i="1"/>
  <c r="AE9" i="1"/>
  <c r="AE254" i="1"/>
  <c r="AE138" i="1"/>
  <c r="AE55" i="1"/>
  <c r="AE165" i="1"/>
  <c r="AE60" i="1"/>
  <c r="AE153" i="1"/>
  <c r="AE120" i="1"/>
  <c r="AE249" i="1"/>
  <c r="AE232" i="1"/>
  <c r="AE45" i="1"/>
  <c r="AE208" i="1"/>
  <c r="AE62" i="1"/>
  <c r="AE49" i="1"/>
  <c r="AE252" i="1"/>
  <c r="AE144" i="1"/>
  <c r="AE46" i="1"/>
  <c r="AE137" i="1"/>
  <c r="AE225" i="1"/>
  <c r="AE80" i="1"/>
  <c r="AE56" i="1"/>
  <c r="AE261" i="1"/>
  <c r="AE248" i="1"/>
  <c r="AE229" i="1"/>
  <c r="AE130" i="1"/>
  <c r="AE211" i="1"/>
  <c r="AE47" i="1"/>
  <c r="AE207" i="1"/>
  <c r="AE86" i="1"/>
  <c r="AE258" i="1"/>
  <c r="AE242" i="1"/>
  <c r="AE31" i="1"/>
  <c r="AE48" i="1"/>
  <c r="AE123" i="1"/>
  <c r="AE16" i="1"/>
  <c r="AE240" i="1"/>
  <c r="AE176" i="1"/>
  <c r="AE223" i="1"/>
  <c r="AE182" i="1"/>
  <c r="AE190" i="1"/>
  <c r="AE72" i="1"/>
  <c r="AE136" i="1"/>
  <c r="AE103" i="1"/>
  <c r="AE3" i="1"/>
  <c r="AE32" i="1"/>
  <c r="AE172" i="1"/>
  <c r="AE141" i="1"/>
  <c r="AE131" i="1"/>
  <c r="AE84" i="1"/>
  <c r="AE15" i="1"/>
  <c r="AE92" i="1"/>
  <c r="AE187" i="1"/>
  <c r="AE11" i="1"/>
  <c r="AE218" i="1"/>
  <c r="AE128" i="1"/>
  <c r="AE194" i="1"/>
  <c r="AE36" i="1"/>
  <c r="AE139" i="1"/>
  <c r="AE260" i="1"/>
  <c r="AE78" i="1"/>
  <c r="AE114" i="1"/>
  <c r="AE152" i="1"/>
  <c r="AE112" i="1"/>
  <c r="AE107" i="1"/>
  <c r="AE63" i="1"/>
  <c r="AE59" i="1"/>
  <c r="AE251" i="1"/>
  <c r="AE35" i="1"/>
  <c r="AE224" i="1"/>
  <c r="AE198" i="1"/>
  <c r="AE162" i="1"/>
  <c r="AE159" i="1"/>
  <c r="AE71" i="1"/>
  <c r="AE164" i="1"/>
  <c r="AE91" i="1"/>
  <c r="AE83" i="1"/>
  <c r="AE30" i="1"/>
  <c r="AE215" i="1"/>
  <c r="AE175" i="1"/>
  <c r="AE122" i="1"/>
  <c r="AE99" i="1"/>
  <c r="AE178" i="1"/>
  <c r="AE19" i="1"/>
  <c r="AE216" i="1"/>
  <c r="AE25" i="1"/>
  <c r="AE188" i="1"/>
  <c r="AE111" i="1"/>
  <c r="AE52" i="1"/>
  <c r="AE202" i="1"/>
  <c r="AE51" i="1"/>
  <c r="AE179" i="1"/>
  <c r="AE44" i="1"/>
  <c r="AE262" i="1"/>
  <c r="AE93" i="1"/>
  <c r="AE177" i="1"/>
  <c r="AE266" i="1"/>
  <c r="AE22" i="1"/>
  <c r="AE4" i="1"/>
  <c r="AE81" i="1"/>
  <c r="AE237" i="1"/>
  <c r="AE61" i="1"/>
  <c r="AE79" i="1"/>
  <c r="AE244" i="1"/>
  <c r="E4" i="5"/>
  <c r="AD28" i="1" s="1"/>
  <c r="AT234" i="1"/>
  <c r="AT113" i="1"/>
  <c r="AT88" i="1"/>
  <c r="AT58" i="1"/>
  <c r="AT27" i="1"/>
  <c r="AT43" i="1"/>
  <c r="AT167" i="1"/>
  <c r="AT53" i="1"/>
  <c r="AT97" i="1"/>
  <c r="AT173" i="1"/>
  <c r="AT10" i="1"/>
  <c r="AT13" i="1"/>
  <c r="AT132" i="1"/>
  <c r="AT129" i="1"/>
  <c r="AT133" i="1"/>
  <c r="AT166" i="1"/>
  <c r="AT41" i="1"/>
  <c r="AT40" i="1"/>
  <c r="AT213" i="1"/>
  <c r="AT65" i="1"/>
  <c r="AT106" i="1"/>
  <c r="AT118" i="1"/>
  <c r="AT100" i="1"/>
  <c r="AT243" i="1"/>
  <c r="AT232" i="1"/>
  <c r="AT235" i="1"/>
  <c r="AT261" i="1"/>
  <c r="AT253" i="1"/>
  <c r="AT94" i="1"/>
  <c r="AT239" i="1"/>
  <c r="AT7" i="1"/>
  <c r="AT101" i="1"/>
  <c r="AT24" i="1"/>
  <c r="AT61" i="1"/>
  <c r="AT82" i="1"/>
  <c r="AT168" i="1"/>
  <c r="AT42" i="1"/>
  <c r="AT146" i="1"/>
  <c r="AT67" i="1"/>
  <c r="AT246" i="1"/>
  <c r="AT200" i="1"/>
  <c r="AT4" i="1"/>
  <c r="AT236" i="1"/>
  <c r="AT89" i="1"/>
  <c r="AT36" i="1"/>
  <c r="AT162" i="1"/>
  <c r="AT251" i="1"/>
  <c r="AT147" i="1"/>
  <c r="AT70" i="1"/>
  <c r="AT54" i="1"/>
  <c r="AT6" i="1"/>
  <c r="AT116" i="1"/>
  <c r="AT226" i="1"/>
  <c r="AT104" i="1"/>
  <c r="AT227" i="1"/>
  <c r="AT152" i="1"/>
  <c r="AT197" i="1"/>
  <c r="AT96" i="1"/>
  <c r="AT2" i="1"/>
  <c r="AT14" i="1"/>
  <c r="AT5" i="1"/>
  <c r="AT57" i="1"/>
  <c r="AT220" i="1"/>
  <c r="AT163" i="1"/>
  <c r="AT71" i="1"/>
  <c r="AT3" i="1"/>
  <c r="AT135" i="1"/>
  <c r="AT83" i="1"/>
  <c r="AT15" i="1"/>
  <c r="AT12" i="1"/>
  <c r="AT38" i="1"/>
  <c r="AT161" i="1"/>
  <c r="AT185" i="1"/>
  <c r="AT153" i="1"/>
  <c r="AT30" i="1"/>
  <c r="AT122" i="1"/>
  <c r="AT47" i="1"/>
  <c r="AT134" i="1"/>
  <c r="AT189" i="1"/>
  <c r="AT250" i="1"/>
  <c r="AT55" i="1"/>
  <c r="AT137" i="1"/>
  <c r="AT191" i="1"/>
  <c r="AT142" i="1"/>
  <c r="AT59" i="1"/>
  <c r="AT73" i="1"/>
  <c r="AT74" i="1"/>
  <c r="AT155" i="1"/>
  <c r="AT109" i="1"/>
  <c r="AT26" i="1"/>
  <c r="AT85" i="1"/>
  <c r="AT23" i="1"/>
  <c r="AT115" i="1"/>
  <c r="AT20" i="1"/>
  <c r="AT68" i="1"/>
  <c r="AT66" i="1"/>
  <c r="AT158" i="1"/>
  <c r="AT222" i="1"/>
  <c r="AT125" i="1"/>
  <c r="AT238" i="1"/>
  <c r="AT87" i="1"/>
  <c r="AT245" i="1"/>
  <c r="AT225" i="1"/>
  <c r="AT201" i="1"/>
  <c r="AT258" i="1"/>
  <c r="AT199" i="1"/>
  <c r="AT195" i="1"/>
  <c r="AT224" i="1"/>
  <c r="AT63" i="1"/>
  <c r="AT181" i="1"/>
  <c r="AT18" i="1"/>
  <c r="AT31" i="1"/>
  <c r="AT145" i="1"/>
  <c r="AT256" i="1"/>
  <c r="AT247" i="1"/>
  <c r="AT217" i="1"/>
  <c r="AT103" i="1"/>
  <c r="AT196" i="1"/>
  <c r="AT260" i="1"/>
  <c r="AT117" i="1"/>
  <c r="AT121" i="1"/>
  <c r="AT237" i="1"/>
  <c r="AT169" i="1"/>
  <c r="AT259" i="1"/>
  <c r="AT209" i="1"/>
  <c r="AT138" i="1"/>
  <c r="AT188" i="1"/>
  <c r="AT171" i="1"/>
  <c r="AT19" i="1"/>
  <c r="AT46" i="1"/>
  <c r="AT17" i="1"/>
  <c r="AT203" i="1"/>
  <c r="AT69" i="1"/>
  <c r="AT28" i="1"/>
  <c r="AT205" i="1"/>
  <c r="AT149" i="1"/>
  <c r="AT64" i="1"/>
  <c r="AT240" i="1"/>
  <c r="AT192" i="1"/>
  <c r="AT39" i="1"/>
  <c r="AT154" i="1"/>
  <c r="AT263" i="1"/>
  <c r="AT214" i="1"/>
  <c r="AT110" i="1"/>
  <c r="AT8" i="1"/>
  <c r="AT262" i="1"/>
  <c r="AT180" i="1"/>
  <c r="AT160" i="1"/>
  <c r="AT9" i="1"/>
  <c r="AT105" i="1"/>
  <c r="AT90" i="1"/>
  <c r="AT75" i="1"/>
  <c r="AT11" i="1"/>
  <c r="AT128" i="1"/>
  <c r="AT136" i="1"/>
  <c r="AT148" i="1"/>
  <c r="AT228" i="1"/>
  <c r="AT219" i="1"/>
  <c r="AT29" i="1"/>
  <c r="AT34" i="1"/>
  <c r="AT233" i="1"/>
  <c r="AT208" i="1"/>
  <c r="AT182" i="1"/>
  <c r="AT184" i="1"/>
  <c r="AT183" i="1"/>
  <c r="AT186" i="1"/>
  <c r="AT157" i="1"/>
  <c r="AT231" i="1"/>
  <c r="AT257" i="1"/>
  <c r="AT241" i="1"/>
  <c r="AT21" i="1"/>
  <c r="AT211" i="1"/>
  <c r="AT221" i="1"/>
  <c r="AT102" i="1"/>
  <c r="AT45" i="1"/>
  <c r="AT44" i="1"/>
  <c r="AT193" i="1"/>
  <c r="AT150" i="1"/>
  <c r="AT264" i="1"/>
  <c r="AT190" i="1"/>
  <c r="AT204" i="1"/>
  <c r="AT49" i="1"/>
  <c r="AT92" i="1"/>
  <c r="AT123" i="1"/>
  <c r="AT108" i="1"/>
  <c r="AT86" i="1"/>
  <c r="AT111" i="1"/>
  <c r="AT35" i="1"/>
  <c r="AT176" i="1"/>
  <c r="AT229" i="1"/>
  <c r="AT126" i="1"/>
  <c r="AT187" i="1"/>
  <c r="AT252" i="1"/>
  <c r="AT76" i="1"/>
  <c r="AT151" i="1"/>
  <c r="AT114" i="1"/>
  <c r="AT80" i="1"/>
  <c r="AT170" i="1"/>
  <c r="AT249" i="1"/>
  <c r="AT266" i="1"/>
  <c r="AT48" i="1"/>
  <c r="AT107" i="1"/>
  <c r="AT127" i="1"/>
  <c r="AT120" i="1"/>
  <c r="AT159" i="1"/>
  <c r="AT215" i="1"/>
  <c r="AT244" i="1"/>
  <c r="AT206" i="1"/>
  <c r="AT172" i="1"/>
  <c r="AT33" i="1"/>
  <c r="AT98" i="1"/>
  <c r="AT223" i="1"/>
  <c r="AT210" i="1"/>
  <c r="AT248" i="1"/>
  <c r="AT131" i="1"/>
  <c r="AT178" i="1"/>
  <c r="AT202" i="1"/>
  <c r="AT198" i="1"/>
  <c r="AT255" i="1"/>
  <c r="AT143" i="1"/>
  <c r="AT194" i="1"/>
  <c r="AT179" i="1"/>
  <c r="AT50" i="1"/>
  <c r="AT164" i="1"/>
  <c r="AT52" i="1"/>
  <c r="AT60" i="1"/>
  <c r="AT81" i="1"/>
  <c r="AT37" i="1"/>
  <c r="AT175" i="1"/>
  <c r="AT218" i="1"/>
  <c r="AT124" i="1"/>
  <c r="AT207" i="1"/>
  <c r="AT32" i="1"/>
  <c r="AT95" i="1"/>
  <c r="AT99" i="1"/>
  <c r="AT130" i="1"/>
  <c r="AT144" i="1"/>
  <c r="AT56" i="1"/>
  <c r="AT91" i="1"/>
  <c r="AT62" i="1"/>
  <c r="AT265" i="1"/>
  <c r="AT139" i="1"/>
  <c r="AT79" i="1"/>
  <c r="AT93" i="1"/>
  <c r="AT242" i="1"/>
  <c r="AT141" i="1"/>
  <c r="AT119" i="1"/>
  <c r="AT72" i="1"/>
  <c r="AT78" i="1"/>
  <c r="AT165" i="1"/>
  <c r="AT216" i="1"/>
  <c r="AT77" i="1"/>
  <c r="AT156" i="1"/>
  <c r="AT51" i="1"/>
  <c r="AT112" i="1"/>
  <c r="AT212" i="1"/>
  <c r="AT25" i="1"/>
  <c r="AT84" i="1"/>
  <c r="AT22" i="1"/>
  <c r="AT174" i="1"/>
  <c r="AT177" i="1"/>
  <c r="AT140" i="1"/>
  <c r="AT254" i="1"/>
  <c r="AT230" i="1"/>
  <c r="AT16" i="1"/>
  <c r="AD103" i="1" l="1"/>
  <c r="AD225" i="1"/>
  <c r="AD190" i="1"/>
  <c r="AD52" i="1"/>
  <c r="AD220" i="1"/>
  <c r="AD164" i="1"/>
  <c r="AD15" i="1"/>
  <c r="AD29" i="1"/>
  <c r="AD64" i="1"/>
  <c r="AD118" i="1"/>
  <c r="AD90" i="1"/>
  <c r="AG110" i="1"/>
  <c r="AC217" i="1"/>
  <c r="AD170" i="1"/>
  <c r="AD176" i="1"/>
  <c r="AD33" i="1"/>
  <c r="AD266" i="1"/>
  <c r="AD173" i="1"/>
  <c r="AD169" i="1"/>
  <c r="AD236" i="1"/>
  <c r="AD209" i="1"/>
  <c r="AD71" i="1"/>
  <c r="AD133" i="1"/>
  <c r="AD101" i="1"/>
  <c r="AG70" i="1"/>
  <c r="AC98" i="1"/>
  <c r="AD112" i="1"/>
  <c r="AD254" i="1"/>
  <c r="AD237" i="1"/>
  <c r="AD240" i="1"/>
  <c r="AD216" i="1"/>
  <c r="AD65" i="1"/>
  <c r="AD115" i="1"/>
  <c r="AD34" i="1"/>
  <c r="AD242" i="1"/>
  <c r="AD233" i="1"/>
  <c r="AD180" i="1"/>
  <c r="AG107" i="1"/>
  <c r="AG94" i="1"/>
  <c r="AC129" i="1"/>
  <c r="AG182" i="1"/>
  <c r="AC216" i="1"/>
  <c r="AD120" i="1"/>
  <c r="AD182" i="1"/>
  <c r="AD2" i="1"/>
  <c r="AD14" i="1"/>
  <c r="AD212" i="1"/>
  <c r="AD247" i="1"/>
  <c r="AD108" i="1"/>
  <c r="AD17" i="1"/>
  <c r="AD153" i="1"/>
  <c r="AD194" i="1"/>
  <c r="AD88" i="1"/>
  <c r="AD41" i="1"/>
  <c r="AD47" i="1"/>
  <c r="AD87" i="1"/>
  <c r="AD204" i="1"/>
  <c r="AG159" i="1"/>
  <c r="AG50" i="1"/>
  <c r="AC251" i="1"/>
  <c r="AD59" i="1"/>
  <c r="AD18" i="1"/>
  <c r="AD53" i="1"/>
  <c r="AD7" i="1"/>
  <c r="AD230" i="1"/>
  <c r="AD138" i="1"/>
  <c r="AD48" i="1"/>
  <c r="AD255" i="1"/>
  <c r="AD189" i="1"/>
  <c r="AD152" i="1"/>
  <c r="AD228" i="1"/>
  <c r="AD129" i="1"/>
  <c r="AD222" i="1"/>
  <c r="AD99" i="1"/>
  <c r="AG4" i="1"/>
  <c r="AG132" i="1"/>
  <c r="AC159" i="1"/>
  <c r="AD154" i="1"/>
  <c r="AD4" i="1"/>
  <c r="AD137" i="1"/>
  <c r="AD245" i="1"/>
  <c r="AD122" i="1"/>
  <c r="AD93" i="1"/>
  <c r="AD110" i="1"/>
  <c r="AD185" i="1"/>
  <c r="AD132" i="1"/>
  <c r="AG218" i="1"/>
  <c r="AC89" i="1"/>
  <c r="AC181" i="1"/>
  <c r="AD258" i="1"/>
  <c r="AD178" i="1"/>
  <c r="AD68" i="1"/>
  <c r="AD44" i="1"/>
  <c r="AD119" i="1"/>
  <c r="AD40" i="1"/>
  <c r="AD114" i="1"/>
  <c r="AD32" i="1"/>
  <c r="AD207" i="1"/>
  <c r="AD227" i="1"/>
  <c r="AD261" i="1"/>
  <c r="AD82" i="1"/>
  <c r="AD161" i="1"/>
  <c r="AD250" i="1"/>
  <c r="AD75" i="1"/>
  <c r="AD104" i="1"/>
  <c r="AD102" i="1"/>
  <c r="AG85" i="1"/>
  <c r="AC52" i="1"/>
  <c r="AC145" i="1"/>
  <c r="AD30" i="1"/>
  <c r="AD23" i="1"/>
  <c r="AD10" i="1"/>
  <c r="AD56" i="1"/>
  <c r="AD124" i="1"/>
  <c r="AD63" i="1"/>
  <c r="AD42" i="1"/>
  <c r="AD86" i="1"/>
  <c r="AD46" i="1"/>
  <c r="AD81" i="1"/>
  <c r="AD61" i="1"/>
  <c r="AD62" i="1"/>
  <c r="AD221" i="1"/>
  <c r="AD217" i="1"/>
  <c r="AD39" i="1"/>
  <c r="AD100" i="1"/>
  <c r="AD78" i="1"/>
  <c r="AD24" i="1"/>
  <c r="AG188" i="1"/>
  <c r="AC78" i="1"/>
  <c r="AC162" i="1"/>
  <c r="AD16" i="1"/>
  <c r="AD36" i="1"/>
  <c r="AD243" i="1"/>
  <c r="AD213" i="1"/>
  <c r="AD151" i="1"/>
  <c r="AD210" i="1"/>
  <c r="AD199" i="1"/>
  <c r="AD187" i="1"/>
  <c r="AD89" i="1"/>
  <c r="AD111" i="1"/>
  <c r="AD203" i="1"/>
  <c r="AD195" i="1"/>
  <c r="AD66" i="1"/>
  <c r="AD50" i="1"/>
  <c r="AD97" i="1"/>
  <c r="AG78" i="1"/>
  <c r="AC3" i="1"/>
  <c r="AC13" i="1"/>
  <c r="AD172" i="1"/>
  <c r="AD156" i="1"/>
  <c r="AD144" i="1"/>
  <c r="AD11" i="1"/>
  <c r="AD188" i="1"/>
  <c r="AD186" i="1"/>
  <c r="AD72" i="1"/>
  <c r="AD49" i="1"/>
  <c r="AD263" i="1"/>
  <c r="AD232" i="1"/>
  <c r="AD73" i="1"/>
  <c r="AD20" i="1"/>
  <c r="AD251" i="1"/>
  <c r="AD214" i="1"/>
  <c r="AD38" i="1"/>
  <c r="AD238" i="1"/>
  <c r="AD94" i="1"/>
  <c r="AG100" i="1"/>
  <c r="AC31" i="1"/>
  <c r="AC74" i="1"/>
  <c r="AG25" i="1"/>
  <c r="AG216" i="1"/>
  <c r="AG92" i="1"/>
  <c r="AG80" i="1"/>
  <c r="AG32" i="1"/>
  <c r="AG261" i="1"/>
  <c r="AG125" i="1"/>
  <c r="AG155" i="1"/>
  <c r="AG262" i="1"/>
  <c r="AG246" i="1"/>
  <c r="AG220" i="1"/>
  <c r="AG227" i="1"/>
  <c r="AG88" i="1"/>
  <c r="AG189" i="1"/>
  <c r="AG186" i="1"/>
  <c r="AG105" i="1"/>
  <c r="AG96" i="1"/>
  <c r="AG247" i="1"/>
  <c r="AG27" i="1"/>
  <c r="AC35" i="1"/>
  <c r="AC91" i="1"/>
  <c r="AC84" i="1"/>
  <c r="AC123" i="1"/>
  <c r="AC138" i="1"/>
  <c r="AC248" i="1"/>
  <c r="AC99" i="1"/>
  <c r="AC68" i="1"/>
  <c r="AC57" i="1"/>
  <c r="AC201" i="1"/>
  <c r="AC191" i="1"/>
  <c r="AC23" i="1"/>
  <c r="AC173" i="1"/>
  <c r="AC64" i="1"/>
  <c r="AC34" i="1"/>
  <c r="AC87" i="1"/>
  <c r="AC47" i="1"/>
  <c r="AC24" i="1"/>
  <c r="AC43" i="1"/>
  <c r="AG127" i="1"/>
  <c r="AG139" i="1"/>
  <c r="AG63" i="1"/>
  <c r="AG104" i="1"/>
  <c r="AG20" i="1"/>
  <c r="AG221" i="1"/>
  <c r="AG38" i="1"/>
  <c r="AG163" i="1"/>
  <c r="AC169" i="1"/>
  <c r="AC141" i="1"/>
  <c r="AC60" i="1"/>
  <c r="AC18" i="1"/>
  <c r="AC69" i="1"/>
  <c r="AC214" i="1"/>
  <c r="AC265" i="1"/>
  <c r="AC75" i="1"/>
  <c r="AC166" i="1"/>
  <c r="AC195" i="1"/>
  <c r="D9" i="5"/>
  <c r="E9" i="5" s="1"/>
  <c r="AI206" i="1" s="1"/>
  <c r="AG141" i="1"/>
  <c r="AG120" i="1"/>
  <c r="AG179" i="1"/>
  <c r="AG97" i="1"/>
  <c r="AG250" i="1"/>
  <c r="AG73" i="1"/>
  <c r="AC81" i="1"/>
  <c r="AC61" i="1"/>
  <c r="AC200" i="1"/>
  <c r="AG59" i="1"/>
  <c r="AG172" i="1"/>
  <c r="AG45" i="1"/>
  <c r="AG252" i="1"/>
  <c r="AG46" i="1"/>
  <c r="AG123" i="1"/>
  <c r="AG84" i="1"/>
  <c r="AG147" i="1"/>
  <c r="AG113" i="1"/>
  <c r="AG30" i="1"/>
  <c r="AG118" i="1"/>
  <c r="AG60" i="1"/>
  <c r="AG211" i="1"/>
  <c r="AG157" i="1"/>
  <c r="AG185" i="1"/>
  <c r="AG167" i="1"/>
  <c r="AG222" i="1"/>
  <c r="AG225" i="1"/>
  <c r="AG168" i="1"/>
  <c r="AC218" i="1"/>
  <c r="AC131" i="1"/>
  <c r="AC51" i="1"/>
  <c r="AC164" i="1"/>
  <c r="AC165" i="1"/>
  <c r="AC208" i="1"/>
  <c r="AC16" i="1"/>
  <c r="AC29" i="1"/>
  <c r="AC20" i="1"/>
  <c r="AC241" i="1"/>
  <c r="AC39" i="1"/>
  <c r="AC250" i="1"/>
  <c r="AC215" i="1"/>
  <c r="AC252" i="1"/>
  <c r="AC197" i="1"/>
  <c r="AD159" i="1"/>
  <c r="AD140" i="1"/>
  <c r="AD262" i="1"/>
  <c r="AD123" i="1"/>
  <c r="AD202" i="1"/>
  <c r="AD248" i="1"/>
  <c r="AD83" i="1"/>
  <c r="AD177" i="1"/>
  <c r="AD134" i="1"/>
  <c r="AD95" i="1"/>
  <c r="AD205" i="1"/>
  <c r="AD184" i="1"/>
  <c r="AD98" i="1"/>
  <c r="AD80" i="1"/>
  <c r="AD13" i="1"/>
  <c r="AD113" i="1"/>
  <c r="AD57" i="1"/>
  <c r="AD168" i="1"/>
  <c r="AD43" i="1"/>
  <c r="AG56" i="1"/>
  <c r="AG224" i="1"/>
  <c r="AG77" i="1"/>
  <c r="AG111" i="1"/>
  <c r="AG151" i="1"/>
  <c r="AG16" i="1"/>
  <c r="AG99" i="1"/>
  <c r="AG64" i="1"/>
  <c r="AG140" i="1"/>
  <c r="AG34" i="1"/>
  <c r="AG161" i="1"/>
  <c r="AG199" i="1"/>
  <c r="AG219" i="1"/>
  <c r="AG66" i="1"/>
  <c r="AG12" i="1"/>
  <c r="AG75" i="1"/>
  <c r="AG245" i="1"/>
  <c r="AG183" i="1"/>
  <c r="AG106" i="1"/>
  <c r="AC119" i="1"/>
  <c r="AC103" i="1"/>
  <c r="AC260" i="1"/>
  <c r="AC187" i="1"/>
  <c r="AC86" i="1"/>
  <c r="AC111" i="1"/>
  <c r="AC25" i="1"/>
  <c r="AC220" i="1"/>
  <c r="AC222" i="1"/>
  <c r="AC40" i="1"/>
  <c r="AC253" i="1"/>
  <c r="AC256" i="1"/>
  <c r="AC105" i="1"/>
  <c r="AC110" i="1"/>
  <c r="AC71" i="1"/>
  <c r="AC27" i="1"/>
  <c r="AC209" i="1"/>
  <c r="AC163" i="1"/>
  <c r="AC234" i="1"/>
  <c r="AC249" i="1"/>
  <c r="AG237" i="1"/>
  <c r="AG91" i="1"/>
  <c r="AG49" i="1"/>
  <c r="AG152" i="1"/>
  <c r="AG136" i="1"/>
  <c r="AG144" i="1"/>
  <c r="AG223" i="1"/>
  <c r="AG79" i="1"/>
  <c r="AG69" i="1"/>
  <c r="AG55" i="1"/>
  <c r="AG98" i="1"/>
  <c r="AG17" i="1"/>
  <c r="AG9" i="1"/>
  <c r="AG6" i="1"/>
  <c r="AG23" i="1"/>
  <c r="AG42" i="1"/>
  <c r="AG10" i="1"/>
  <c r="AG204" i="1"/>
  <c r="AG116" i="1"/>
  <c r="AC120" i="1"/>
  <c r="AC266" i="1"/>
  <c r="AC144" i="1"/>
  <c r="AC136" i="1"/>
  <c r="AC72" i="1"/>
  <c r="AC156" i="1"/>
  <c r="AC117" i="1"/>
  <c r="AC22" i="1"/>
  <c r="AC205" i="1"/>
  <c r="AC106" i="1"/>
  <c r="AC196" i="1"/>
  <c r="AC95" i="1"/>
  <c r="AC183" i="1"/>
  <c r="AC157" i="1"/>
  <c r="AC115" i="1"/>
  <c r="AC226" i="1"/>
  <c r="AC149" i="1"/>
  <c r="AC161" i="1"/>
  <c r="AC189" i="1"/>
  <c r="AC264" i="1"/>
  <c r="AG62" i="1"/>
  <c r="AG201" i="1"/>
  <c r="AG124" i="1"/>
  <c r="AG198" i="1"/>
  <c r="AG44" i="1"/>
  <c r="AG8" i="1"/>
  <c r="AG255" i="1"/>
  <c r="AG226" i="1"/>
  <c r="AG71" i="1"/>
  <c r="AG173" i="1"/>
  <c r="AG162" i="1"/>
  <c r="AG195" i="1"/>
  <c r="AG207" i="1"/>
  <c r="AG108" i="1"/>
  <c r="AG24" i="1"/>
  <c r="AG126" i="1"/>
  <c r="AG90" i="1"/>
  <c r="AG65" i="1"/>
  <c r="AG53" i="1"/>
  <c r="AC182" i="1"/>
  <c r="AC176" i="1"/>
  <c r="AC152" i="1"/>
  <c r="AC153" i="1"/>
  <c r="AC83" i="1"/>
  <c r="AC17" i="1"/>
  <c r="AC63" i="1"/>
  <c r="AC213" i="1"/>
  <c r="AC167" i="1"/>
  <c r="AC113" i="1"/>
  <c r="AC207" i="1"/>
  <c r="AC247" i="1"/>
  <c r="AC239" i="1"/>
  <c r="AC73" i="1"/>
  <c r="AC90" i="1"/>
  <c r="AC185" i="1"/>
  <c r="AC192" i="1"/>
  <c r="AC158" i="1"/>
  <c r="AC154" i="1"/>
  <c r="AC227" i="1"/>
  <c r="AG103" i="1"/>
  <c r="AG175" i="1"/>
  <c r="AG33" i="1"/>
  <c r="AG260" i="1"/>
  <c r="AG67" i="1"/>
  <c r="AG81" i="1"/>
  <c r="AG178" i="1"/>
  <c r="AG129" i="1"/>
  <c r="AG228" i="1"/>
  <c r="AG133" i="1"/>
  <c r="AC190" i="1"/>
  <c r="AC237" i="1"/>
  <c r="AC30" i="1"/>
  <c r="AC44" i="1"/>
  <c r="AC225" i="1"/>
  <c r="AC244" i="1"/>
  <c r="AC258" i="1"/>
  <c r="AC246" i="1"/>
  <c r="AC93" i="1"/>
  <c r="AC233" i="1"/>
  <c r="AC146" i="1"/>
  <c r="AC243" i="1"/>
  <c r="AC8" i="1"/>
  <c r="AC109" i="1"/>
  <c r="AC38" i="1"/>
  <c r="AC188" i="1"/>
  <c r="AC26" i="1"/>
  <c r="AC160" i="1"/>
  <c r="AC100" i="1"/>
  <c r="AG18" i="1"/>
  <c r="AG57" i="1"/>
  <c r="AG93" i="1"/>
  <c r="AC128" i="1"/>
  <c r="AC230" i="1"/>
  <c r="AC116" i="1"/>
  <c r="AG138" i="1"/>
  <c r="AG40" i="1"/>
  <c r="AG82" i="1"/>
  <c r="AC48" i="1"/>
  <c r="AC180" i="1"/>
  <c r="AC53" i="1"/>
  <c r="AG266" i="1"/>
  <c r="AG165" i="1"/>
  <c r="AG117" i="1"/>
  <c r="AG41" i="1"/>
  <c r="AG235" i="1"/>
  <c r="AC49" i="1"/>
  <c r="AC133" i="1"/>
  <c r="AD208" i="1"/>
  <c r="AD139" i="1"/>
  <c r="AD131" i="1"/>
  <c r="AD148" i="1"/>
  <c r="AD126" i="1"/>
  <c r="AD158" i="1"/>
  <c r="AG174" i="1"/>
  <c r="AG214" i="1"/>
  <c r="AD3" i="1"/>
  <c r="AD265" i="1"/>
  <c r="AD127" i="1"/>
  <c r="AD229" i="1"/>
  <c r="AD84" i="1"/>
  <c r="AD21" i="1"/>
  <c r="AD60" i="1"/>
  <c r="AD252" i="1"/>
  <c r="AD162" i="1"/>
  <c r="AD149" i="1"/>
  <c r="AD150" i="1"/>
  <c r="AD146" i="1"/>
  <c r="AD193" i="1"/>
  <c r="AD219" i="1"/>
  <c r="AD167" i="1"/>
  <c r="AD116" i="1"/>
  <c r="AD157" i="1"/>
  <c r="AD235" i="1"/>
  <c r="AD241" i="1"/>
  <c r="AG72" i="1"/>
  <c r="AG249" i="1"/>
  <c r="AG95" i="1"/>
  <c r="AG190" i="1"/>
  <c r="AG229" i="1"/>
  <c r="AG240" i="1"/>
  <c r="AG22" i="1"/>
  <c r="AG14" i="1"/>
  <c r="AG217" i="1"/>
  <c r="AG2" i="1"/>
  <c r="AG197" i="1"/>
  <c r="AG238" i="1"/>
  <c r="AG239" i="1"/>
  <c r="AG158" i="1"/>
  <c r="AG248" i="1"/>
  <c r="AG209" i="1"/>
  <c r="AG160" i="1"/>
  <c r="AG150" i="1"/>
  <c r="AG13" i="1"/>
  <c r="AC211" i="1"/>
  <c r="AC92" i="1"/>
  <c r="AC262" i="1"/>
  <c r="AC36" i="1"/>
  <c r="AC202" i="1"/>
  <c r="AC171" i="1"/>
  <c r="AC199" i="1"/>
  <c r="AC151" i="1"/>
  <c r="AC178" i="1"/>
  <c r="AC41" i="1"/>
  <c r="AC155" i="1"/>
  <c r="AC50" i="1"/>
  <c r="AC70" i="1"/>
  <c r="AC54" i="1"/>
  <c r="AC5" i="1"/>
  <c r="AC245" i="1"/>
  <c r="AC7" i="1"/>
  <c r="AC101" i="1"/>
  <c r="AC150" i="1"/>
  <c r="AG258" i="1"/>
  <c r="AG112" i="1"/>
  <c r="AG145" i="1"/>
  <c r="AC210" i="1"/>
  <c r="AC104" i="1"/>
  <c r="AG170" i="1"/>
  <c r="AG231" i="1"/>
  <c r="AG242" i="1"/>
  <c r="AC206" i="1"/>
  <c r="AC259" i="1"/>
  <c r="AC236" i="1"/>
  <c r="AC235" i="1"/>
  <c r="AG37" i="1"/>
  <c r="AG251" i="1"/>
  <c r="AG54" i="1"/>
  <c r="AG143" i="1"/>
  <c r="AG87" i="1"/>
  <c r="AC33" i="1"/>
  <c r="AC14" i="1"/>
  <c r="AD19" i="1"/>
  <c r="AD215" i="1"/>
  <c r="AD27" i="1"/>
  <c r="AD201" i="1"/>
  <c r="AG36" i="1"/>
  <c r="AD128" i="1"/>
  <c r="AD175" i="1"/>
  <c r="AD179" i="1"/>
  <c r="AD136" i="1"/>
  <c r="AD37" i="1"/>
  <c r="AD45" i="1"/>
  <c r="AD141" i="1"/>
  <c r="AD244" i="1"/>
  <c r="AD70" i="1"/>
  <c r="AD54" i="1"/>
  <c r="AD257" i="1"/>
  <c r="AD142" i="1"/>
  <c r="AD174" i="1"/>
  <c r="AD239" i="1"/>
  <c r="AD26" i="1"/>
  <c r="AD147" i="1"/>
  <c r="AD196" i="1"/>
  <c r="AD256" i="1"/>
  <c r="AD58" i="1"/>
  <c r="AG128" i="1"/>
  <c r="AG187" i="1"/>
  <c r="AG114" i="1"/>
  <c r="AG164" i="1"/>
  <c r="AG176" i="1"/>
  <c r="AG119" i="1"/>
  <c r="AG48" i="1"/>
  <c r="AG194" i="1"/>
  <c r="AG192" i="1"/>
  <c r="AG184" i="1"/>
  <c r="AG233" i="1"/>
  <c r="AG177" i="1"/>
  <c r="AG109" i="1"/>
  <c r="AG68" i="1"/>
  <c r="AG43" i="1"/>
  <c r="AG86" i="1"/>
  <c r="AG76" i="1"/>
  <c r="AG28" i="1"/>
  <c r="AG74" i="1"/>
  <c r="AC212" i="1"/>
  <c r="AC186" i="1"/>
  <c r="AC114" i="1"/>
  <c r="AC261" i="1"/>
  <c r="AC170" i="1"/>
  <c r="AC77" i="1"/>
  <c r="AC137" i="1"/>
  <c r="AC204" i="1"/>
  <c r="AC76" i="1"/>
  <c r="AC2" i="1"/>
  <c r="AC82" i="1"/>
  <c r="AC238" i="1"/>
  <c r="AC231" i="1"/>
  <c r="AC9" i="1"/>
  <c r="AC11" i="1"/>
  <c r="AC263" i="1"/>
  <c r="AC10" i="1"/>
  <c r="AC28" i="1"/>
  <c r="AC135" i="1"/>
  <c r="AC32" i="1"/>
  <c r="AC88" i="1"/>
  <c r="AG169" i="1"/>
  <c r="AG243" i="1"/>
  <c r="AG29" i="1"/>
  <c r="AG135" i="1"/>
  <c r="AC15" i="1"/>
  <c r="AC257" i="1"/>
  <c r="AC184" i="1"/>
  <c r="AC224" i="1"/>
  <c r="AC121" i="1"/>
  <c r="AG236" i="1"/>
  <c r="AG15" i="1"/>
  <c r="AG196" i="1"/>
  <c r="AG148" i="1"/>
  <c r="AG61" i="1"/>
  <c r="AC143" i="1"/>
  <c r="AC107" i="1"/>
  <c r="AC19" i="1"/>
  <c r="AC42" i="1"/>
  <c r="AC148" i="1"/>
  <c r="AC193" i="1"/>
  <c r="AC134" i="1"/>
  <c r="AC122" i="1"/>
  <c r="AC219" i="1"/>
  <c r="AC65" i="1"/>
  <c r="AD55" i="1"/>
  <c r="AD79" i="1"/>
  <c r="AD106" i="1"/>
  <c r="AD226" i="1"/>
  <c r="AD191" i="1"/>
  <c r="AD171" i="1"/>
  <c r="AD85" i="1"/>
  <c r="AG202" i="1"/>
  <c r="AG83" i="1"/>
  <c r="AG131" i="1"/>
  <c r="AG52" i="1"/>
  <c r="AG203" i="1"/>
  <c r="AD211" i="1"/>
  <c r="AD143" i="1"/>
  <c r="AD249" i="1"/>
  <c r="AD76" i="1"/>
  <c r="AD223" i="1"/>
  <c r="AD51" i="1"/>
  <c r="AD91" i="1"/>
  <c r="AD31" i="1"/>
  <c r="AD9" i="1"/>
  <c r="AD69" i="1"/>
  <c r="AD163" i="1"/>
  <c r="AD6" i="1"/>
  <c r="AD8" i="1"/>
  <c r="AD12" i="1"/>
  <c r="AD145" i="1"/>
  <c r="AD67" i="1"/>
  <c r="AD259" i="1"/>
  <c r="AD234" i="1"/>
  <c r="AD135" i="1"/>
  <c r="AG47" i="1"/>
  <c r="AG171" i="1"/>
  <c r="AG19" i="1"/>
  <c r="AG206" i="1"/>
  <c r="AG3" i="1"/>
  <c r="AG232" i="1"/>
  <c r="AG200" i="1"/>
  <c r="AG263" i="1"/>
  <c r="AG191" i="1"/>
  <c r="AG256" i="1"/>
  <c r="AG101" i="1"/>
  <c r="AG205" i="1"/>
  <c r="AG142" i="1"/>
  <c r="AG89" i="1"/>
  <c r="AG26" i="1"/>
  <c r="AG166" i="1"/>
  <c r="AG253" i="1"/>
  <c r="AG58" i="1"/>
  <c r="AG134" i="1"/>
  <c r="AC112" i="1"/>
  <c r="AC46" i="1"/>
  <c r="AC59" i="1"/>
  <c r="AC4" i="1"/>
  <c r="AC62" i="1"/>
  <c r="AC124" i="1"/>
  <c r="AC229" i="1"/>
  <c r="AC80" i="1"/>
  <c r="AC254" i="1"/>
  <c r="AC221" i="1"/>
  <c r="AC118" i="1"/>
  <c r="AC228" i="1"/>
  <c r="AC203" i="1"/>
  <c r="AC179" i="1"/>
  <c r="AC147" i="1"/>
  <c r="AC6" i="1"/>
  <c r="AC96" i="1"/>
  <c r="AC142" i="1"/>
  <c r="AC85" i="1"/>
  <c r="AG153" i="1"/>
  <c r="AG156" i="1"/>
  <c r="AG181" i="1"/>
  <c r="AG102" i="1"/>
  <c r="AC198" i="1"/>
  <c r="AC67" i="1"/>
  <c r="AG21" i="1"/>
  <c r="AG264" i="1"/>
  <c r="AG241" i="1"/>
  <c r="AC79" i="1"/>
  <c r="AC172" i="1"/>
  <c r="AC58" i="1"/>
  <c r="AC12" i="1"/>
  <c r="AG31" i="1"/>
  <c r="AG5" i="1"/>
  <c r="AG230" i="1"/>
  <c r="AG154" i="1"/>
  <c r="AC45" i="1"/>
  <c r="AC177" i="1"/>
  <c r="AC174" i="1"/>
  <c r="AC168" i="1"/>
  <c r="AD198" i="1"/>
  <c r="AD5" i="1"/>
  <c r="AG7" i="1"/>
  <c r="AD224" i="1"/>
  <c r="AD22" i="1"/>
  <c r="AD107" i="1"/>
  <c r="AD125" i="1"/>
  <c r="AD260" i="1"/>
  <c r="AD165" i="1"/>
  <c r="AD206" i="1"/>
  <c r="AD105" i="1"/>
  <c r="AD183" i="1"/>
  <c r="AD121" i="1"/>
  <c r="AD166" i="1"/>
  <c r="AD117" i="1"/>
  <c r="AD246" i="1"/>
  <c r="AD181" i="1"/>
  <c r="AD155" i="1"/>
  <c r="AD109" i="1"/>
  <c r="AD77" i="1"/>
  <c r="AD197" i="1"/>
  <c r="D8" i="5"/>
  <c r="AG265" i="1"/>
  <c r="AG212" i="1"/>
  <c r="AG137" i="1"/>
  <c r="AG35" i="1"/>
  <c r="AG51" i="1"/>
  <c r="AG244" i="1"/>
  <c r="AG210" i="1"/>
  <c r="AG149" i="1"/>
  <c r="AG208" i="1"/>
  <c r="AG130" i="1"/>
  <c r="AG39" i="1"/>
  <c r="AG215" i="1"/>
  <c r="AG115" i="1"/>
  <c r="AG193" i="1"/>
  <c r="AG121" i="1"/>
  <c r="AG259" i="1"/>
  <c r="AG122" i="1"/>
  <c r="AG180" i="1"/>
  <c r="AC175" i="1"/>
  <c r="AC127" i="1"/>
  <c r="AC232" i="1"/>
  <c r="AC55" i="1"/>
  <c r="AC240" i="1"/>
  <c r="AC56" i="1"/>
  <c r="AC242" i="1"/>
  <c r="AC194" i="1"/>
  <c r="AC108" i="1"/>
  <c r="AC94" i="1"/>
  <c r="AC37" i="1"/>
  <c r="AC139" i="1"/>
  <c r="AC125" i="1"/>
  <c r="AC140" i="1"/>
  <c r="AC130" i="1"/>
  <c r="AC21" i="1"/>
  <c r="AC132" i="1"/>
  <c r="AC97" i="1"/>
  <c r="E8" i="5" l="1"/>
  <c r="AH67" i="1" s="1"/>
  <c r="AI239" i="1"/>
  <c r="AI33" i="1"/>
  <c r="AH74" i="1"/>
  <c r="G74" i="1" s="1"/>
  <c r="AI234" i="1"/>
  <c r="AI153" i="1"/>
  <c r="AI144" i="1"/>
  <c r="AI131" i="1"/>
  <c r="AI92" i="1"/>
  <c r="AI217" i="1"/>
  <c r="AH125" i="1"/>
  <c r="AI116" i="1"/>
  <c r="AH141" i="1"/>
  <c r="G141" i="1" s="1"/>
  <c r="AI261" i="1"/>
  <c r="AI173" i="1"/>
  <c r="AI224" i="1"/>
  <c r="AI6" i="1"/>
  <c r="AI20" i="1"/>
  <c r="AI101" i="1"/>
  <c r="AI37" i="1"/>
  <c r="AH79" i="1"/>
  <c r="G79" i="1" s="1"/>
  <c r="AI207" i="1"/>
  <c r="AI80" i="1"/>
  <c r="AI26" i="1"/>
  <c r="AI251" i="1"/>
  <c r="AI127" i="1"/>
  <c r="AH93" i="1"/>
  <c r="AI249" i="1"/>
  <c r="AH116" i="1"/>
  <c r="G116" i="1" s="1"/>
  <c r="AI122" i="1"/>
  <c r="AI141" i="1"/>
  <c r="AI78" i="1"/>
  <c r="AI129" i="1"/>
  <c r="AH34" i="1"/>
  <c r="AH177" i="1"/>
  <c r="AI73" i="1"/>
  <c r="AI164" i="1"/>
  <c r="AI105" i="1"/>
  <c r="AI176" i="1"/>
  <c r="AI179" i="1"/>
  <c r="AI71" i="1"/>
  <c r="AI16" i="1"/>
  <c r="AH205" i="1"/>
  <c r="AH231" i="1"/>
  <c r="AI253" i="1"/>
  <c r="G230" i="1"/>
  <c r="G228" i="1"/>
  <c r="G94" i="1"/>
  <c r="G119" i="1"/>
  <c r="G38" i="1"/>
  <c r="G205" i="1"/>
  <c r="AI167" i="1"/>
  <c r="AI3" i="1"/>
  <c r="AI13" i="1"/>
  <c r="AI148" i="1"/>
  <c r="AH230" i="1"/>
  <c r="AI4" i="1"/>
  <c r="AI98" i="1"/>
  <c r="AI124" i="1"/>
  <c r="AI12" i="1"/>
  <c r="AI212" i="1"/>
  <c r="AI213" i="1"/>
  <c r="AH54" i="1"/>
  <c r="G54" i="1" s="1"/>
  <c r="AI262" i="1"/>
  <c r="AI220" i="1"/>
  <c r="AI22" i="1"/>
  <c r="AI75" i="1"/>
  <c r="AI162" i="1"/>
  <c r="AI177" i="1"/>
  <c r="AI72" i="1"/>
  <c r="AI169" i="1"/>
  <c r="AI18" i="1"/>
  <c r="AI170" i="1"/>
  <c r="AI175" i="1"/>
  <c r="AH33" i="1"/>
  <c r="G33" i="1" s="1"/>
  <c r="AH108" i="1"/>
  <c r="AI168" i="1"/>
  <c r="AI190" i="1"/>
  <c r="AH115" i="1"/>
  <c r="AI121" i="1"/>
  <c r="AI149" i="1"/>
  <c r="AI216" i="1"/>
  <c r="AI112" i="1"/>
  <c r="AH257" i="1"/>
  <c r="AH240" i="1"/>
  <c r="G240" i="1" s="1"/>
  <c r="AH239" i="1"/>
  <c r="G239" i="1" s="1"/>
  <c r="AH126" i="1"/>
  <c r="AH204" i="1"/>
  <c r="G204" i="1" s="1"/>
  <c r="AI142" i="1"/>
  <c r="AI197" i="1"/>
  <c r="AI156" i="1"/>
  <c r="AI2" i="1"/>
  <c r="AI8" i="1"/>
  <c r="AH82" i="1"/>
  <c r="G82" i="1" s="1"/>
  <c r="AH196" i="1"/>
  <c r="AH146" i="1"/>
  <c r="AH42" i="1"/>
  <c r="AI202" i="1"/>
  <c r="AI184" i="1"/>
  <c r="AI189" i="1"/>
  <c r="AI200" i="1"/>
  <c r="AI88" i="1"/>
  <c r="AI56" i="1"/>
  <c r="AI133" i="1"/>
  <c r="AH100" i="1"/>
  <c r="G100" i="1" s="1"/>
  <c r="AH73" i="1"/>
  <c r="G73" i="1" s="1"/>
  <c r="AI106" i="1"/>
  <c r="AI237" i="1"/>
  <c r="AH37" i="1"/>
  <c r="G37" i="1" s="1"/>
  <c r="AI115" i="1"/>
  <c r="AI243" i="1"/>
  <c r="AI223" i="1"/>
  <c r="AI74" i="1"/>
  <c r="AH259" i="1"/>
  <c r="AH5" i="1"/>
  <c r="AH107" i="1"/>
  <c r="G107" i="1" s="1"/>
  <c r="AI152" i="1"/>
  <c r="AI94" i="1"/>
  <c r="AI266" i="1"/>
  <c r="AI15" i="1"/>
  <c r="AH68" i="1"/>
  <c r="AI118" i="1"/>
  <c r="AI34" i="1"/>
  <c r="AI157" i="1"/>
  <c r="AI187" i="1"/>
  <c r="AI235" i="1"/>
  <c r="AH208" i="1"/>
  <c r="G208" i="1" s="1"/>
  <c r="AH260" i="1"/>
  <c r="AI214" i="1"/>
  <c r="AH104" i="1"/>
  <c r="G104" i="1" s="1"/>
  <c r="AI29" i="1"/>
  <c r="AI50" i="1"/>
  <c r="AI232" i="1"/>
  <c r="AI31" i="1"/>
  <c r="AI59" i="1"/>
  <c r="AI81" i="1"/>
  <c r="AH246" i="1"/>
  <c r="AH89" i="1"/>
  <c r="AI117" i="1"/>
  <c r="AI89" i="1"/>
  <c r="AI25" i="1"/>
  <c r="AI55" i="1"/>
  <c r="AI24" i="1"/>
  <c r="AH26" i="1"/>
  <c r="G26" i="1" s="1"/>
  <c r="AI43" i="1"/>
  <c r="AH263" i="1"/>
  <c r="AH195" i="1"/>
  <c r="G195" i="1" s="1"/>
  <c r="AI160" i="1"/>
  <c r="AI39" i="1"/>
  <c r="AH148" i="1"/>
  <c r="AI227" i="1"/>
  <c r="AI36" i="1"/>
  <c r="AI139" i="1"/>
  <c r="AI228" i="1"/>
  <c r="AH94" i="1"/>
  <c r="AI198" i="1"/>
  <c r="AI194" i="1"/>
  <c r="AI132" i="1"/>
  <c r="AI123" i="1"/>
  <c r="AI103" i="1"/>
  <c r="AH173" i="1"/>
  <c r="G173" i="1" s="1"/>
  <c r="AI126" i="1"/>
  <c r="AI130" i="1"/>
  <c r="AI14" i="1"/>
  <c r="AH106" i="1"/>
  <c r="G106" i="1" s="1"/>
  <c r="AH233" i="1"/>
  <c r="AI128" i="1"/>
  <c r="AH39" i="1"/>
  <c r="G39" i="1" s="1"/>
  <c r="AI188" i="1"/>
  <c r="AI166" i="1"/>
  <c r="AH253" i="1"/>
  <c r="AI201" i="1"/>
  <c r="AI174" i="1"/>
  <c r="AI215" i="1"/>
  <c r="AI113" i="1"/>
  <c r="AI109" i="1"/>
  <c r="AH228" i="1"/>
  <c r="AH162" i="1"/>
  <c r="AH201" i="1"/>
  <c r="G201" i="1" s="1"/>
  <c r="AH178" i="1"/>
  <c r="AH24" i="1"/>
  <c r="AI219" i="1"/>
  <c r="AI196" i="1"/>
  <c r="AI255" i="1"/>
  <c r="AI140" i="1"/>
  <c r="AI246" i="1"/>
  <c r="AI10" i="1"/>
  <c r="AI161" i="1"/>
  <c r="AI17" i="1"/>
  <c r="AI53" i="1"/>
  <c r="AI143" i="1"/>
  <c r="AI83" i="1"/>
  <c r="AH102" i="1"/>
  <c r="G102" i="1" s="1"/>
  <c r="AH217" i="1"/>
  <c r="G217" i="1" s="1"/>
  <c r="AI209" i="1"/>
  <c r="AH216" i="1"/>
  <c r="AI77" i="1"/>
  <c r="AI52" i="1"/>
  <c r="AI119" i="1"/>
  <c r="AH111" i="1"/>
  <c r="G111" i="1" s="1"/>
  <c r="AI150" i="1"/>
  <c r="AI171" i="1"/>
  <c r="AH237" i="1"/>
  <c r="G237" i="1" s="1"/>
  <c r="AI91" i="1"/>
  <c r="AH2" i="1"/>
  <c r="G2" i="1" s="1"/>
  <c r="AI5" i="1"/>
  <c r="AH49" i="1"/>
  <c r="AI54" i="1"/>
  <c r="AI165" i="1"/>
  <c r="AH226" i="1"/>
  <c r="G226" i="1" s="1"/>
  <c r="AI205" i="1"/>
  <c r="AH244" i="1"/>
  <c r="AH194" i="1"/>
  <c r="G194" i="1" s="1"/>
  <c r="AH20" i="1"/>
  <c r="G20" i="1" s="1"/>
  <c r="AI102" i="1"/>
  <c r="AH200" i="1"/>
  <c r="G200" i="1" s="1"/>
  <c r="AH90" i="1"/>
  <c r="AI35" i="1"/>
  <c r="AH81" i="1"/>
  <c r="G81" i="1" s="1"/>
  <c r="AH183" i="1"/>
  <c r="G183" i="1" s="1"/>
  <c r="AI7" i="1"/>
  <c r="AI96" i="1"/>
  <c r="AI240" i="1"/>
  <c r="AI260" i="1"/>
  <c r="AI256" i="1"/>
  <c r="AH101" i="1"/>
  <c r="AH157" i="1"/>
  <c r="G157" i="1" s="1"/>
  <c r="AI61" i="1"/>
  <c r="AI104" i="1"/>
  <c r="AH139" i="1"/>
  <c r="AI210" i="1"/>
  <c r="AH152" i="1"/>
  <c r="AH235" i="1"/>
  <c r="G235" i="1" s="1"/>
  <c r="AI191" i="1"/>
  <c r="AI62" i="1"/>
  <c r="AI41" i="1"/>
  <c r="AI221" i="1"/>
  <c r="AH213" i="1"/>
  <c r="G213" i="1" s="1"/>
  <c r="AI97" i="1"/>
  <c r="AI159" i="1"/>
  <c r="AI67" i="1"/>
  <c r="G67" i="1" s="1"/>
  <c r="AI230" i="1"/>
  <c r="AH117" i="1"/>
  <c r="G117" i="1" s="1"/>
  <c r="AI245" i="1"/>
  <c r="AH119" i="1"/>
  <c r="AH44" i="1"/>
  <c r="AH252" i="1"/>
  <c r="AI231" i="1"/>
  <c r="AI154" i="1"/>
  <c r="AI263" i="1"/>
  <c r="AH78" i="1"/>
  <c r="G78" i="1" s="1"/>
  <c r="AH207" i="1"/>
  <c r="G207" i="1" s="1"/>
  <c r="AI82" i="1"/>
  <c r="AI66" i="1"/>
  <c r="AI58" i="1"/>
  <c r="AH25" i="1"/>
  <c r="AI250" i="1"/>
  <c r="AI204" i="1"/>
  <c r="AH31" i="1"/>
  <c r="G31" i="1" s="1"/>
  <c r="AI236" i="1"/>
  <c r="AI47" i="1"/>
  <c r="AI226" i="1"/>
  <c r="AI155" i="1"/>
  <c r="AI252" i="1"/>
  <c r="AI222" i="1"/>
  <c r="AH215" i="1"/>
  <c r="G215" i="1" s="1"/>
  <c r="AI23" i="1"/>
  <c r="AI68" i="1"/>
  <c r="AI46" i="1"/>
  <c r="AI95" i="1"/>
  <c r="AH15" i="1"/>
  <c r="G15" i="1" s="1"/>
  <c r="AI258" i="1"/>
  <c r="AI64" i="1"/>
  <c r="AI211" i="1"/>
  <c r="AH4" i="1"/>
  <c r="AI182" i="1"/>
  <c r="AH175" i="1"/>
  <c r="G175" i="1" s="1"/>
  <c r="AH86" i="1"/>
  <c r="AH212" i="1"/>
  <c r="G212" i="1" s="1"/>
  <c r="AI28" i="1"/>
  <c r="AI183" i="1"/>
  <c r="AH38" i="1"/>
  <c r="AH77" i="1"/>
  <c r="AI90" i="1"/>
  <c r="AH229" i="1"/>
  <c r="AH189" i="1"/>
  <c r="G189" i="1" s="1"/>
  <c r="AI65" i="1"/>
  <c r="AI178" i="1"/>
  <c r="AI69" i="1"/>
  <c r="AI208" i="1"/>
  <c r="AI244" i="1"/>
  <c r="AI241" i="1"/>
  <c r="AH131" i="1"/>
  <c r="G131" i="1" s="1"/>
  <c r="AH40" i="1"/>
  <c r="AH188" i="1"/>
  <c r="G188" i="1" s="1"/>
  <c r="AI218" i="1"/>
  <c r="AI180" i="1"/>
  <c r="AI44" i="1"/>
  <c r="AI99" i="1"/>
  <c r="AI158" i="1"/>
  <c r="AI60" i="1"/>
  <c r="AI247" i="1"/>
  <c r="AH75" i="1"/>
  <c r="G75" i="1" s="1"/>
  <c r="AH171" i="1"/>
  <c r="AH71" i="1"/>
  <c r="G71" i="1" s="1"/>
  <c r="AH35" i="1"/>
  <c r="G35" i="1" s="1"/>
  <c r="AH12" i="1"/>
  <c r="AH153" i="1"/>
  <c r="G153" i="1" s="1"/>
  <c r="AI147" i="1"/>
  <c r="AI93" i="1"/>
  <c r="G93" i="1" s="1"/>
  <c r="AI233" i="1"/>
  <c r="AI229" i="1"/>
  <c r="AI254" i="1"/>
  <c r="AI11" i="1"/>
  <c r="AI108" i="1"/>
  <c r="AH76" i="1"/>
  <c r="AH103" i="1"/>
  <c r="G103" i="1" s="1"/>
  <c r="AH161" i="1"/>
  <c r="G161" i="1" s="1"/>
  <c r="AI181" i="1"/>
  <c r="AH41" i="1"/>
  <c r="G41" i="1" s="1"/>
  <c r="AH109" i="1"/>
  <c r="G109" i="1" s="1"/>
  <c r="AH99" i="1"/>
  <c r="G99" i="1" s="1"/>
  <c r="AI192" i="1"/>
  <c r="AI185" i="1"/>
  <c r="AI48" i="1"/>
  <c r="AI100" i="1"/>
  <c r="AI32" i="1"/>
  <c r="AI63" i="1"/>
  <c r="AH193" i="1"/>
  <c r="G193" i="1" s="1"/>
  <c r="AI110" i="1"/>
  <c r="AI27" i="1"/>
  <c r="AH190" i="1"/>
  <c r="AH134" i="1"/>
  <c r="AH225" i="1"/>
  <c r="G225" i="1" s="1"/>
  <c r="AI49" i="1"/>
  <c r="AI136" i="1"/>
  <c r="AH28" i="1"/>
  <c r="G28" i="1" s="1"/>
  <c r="AH143" i="1"/>
  <c r="AH255" i="1"/>
  <c r="G255" i="1" s="1"/>
  <c r="AI203" i="1"/>
  <c r="AI242" i="1"/>
  <c r="AI70" i="1"/>
  <c r="AI135" i="1"/>
  <c r="AI111" i="1"/>
  <c r="AH52" i="1"/>
  <c r="AI259" i="1"/>
  <c r="AH147" i="1"/>
  <c r="G147" i="1" s="1"/>
  <c r="AH214" i="1"/>
  <c r="AI195" i="1"/>
  <c r="AI21" i="1"/>
  <c r="AI134" i="1"/>
  <c r="AH87" i="1"/>
  <c r="G87" i="1" s="1"/>
  <c r="AI51" i="1"/>
  <c r="AH11" i="1"/>
  <c r="AI38" i="1"/>
  <c r="AH114" i="1"/>
  <c r="AI85" i="1"/>
  <c r="AH236" i="1"/>
  <c r="AI163" i="1"/>
  <c r="AI9" i="1"/>
  <c r="AI137" i="1"/>
  <c r="AH27" i="1"/>
  <c r="G27" i="1" s="1"/>
  <c r="AH72" i="1"/>
  <c r="G72" i="1" s="1"/>
  <c r="AH64" i="1"/>
  <c r="G64" i="1" s="1"/>
  <c r="AH98" i="1"/>
  <c r="AI199" i="1"/>
  <c r="AI138" i="1"/>
  <c r="AI125" i="1"/>
  <c r="AI107" i="1"/>
  <c r="AI238" i="1"/>
  <c r="AI248" i="1"/>
  <c r="AH149" i="1"/>
  <c r="AI87" i="1"/>
  <c r="AI30" i="1"/>
  <c r="AI193" i="1"/>
  <c r="AI76" i="1"/>
  <c r="AH232" i="1"/>
  <c r="G232" i="1" s="1"/>
  <c r="AI40" i="1"/>
  <c r="AH23" i="1"/>
  <c r="G23" i="1" s="1"/>
  <c r="AI145" i="1"/>
  <c r="AH46" i="1"/>
  <c r="G46" i="1" s="1"/>
  <c r="AH112" i="1"/>
  <c r="G112" i="1" s="1"/>
  <c r="AI57" i="1"/>
  <c r="AI84" i="1"/>
  <c r="AI45" i="1"/>
  <c r="AI120" i="1"/>
  <c r="AI146" i="1"/>
  <c r="AH220" i="1"/>
  <c r="AI172" i="1"/>
  <c r="AI265" i="1"/>
  <c r="AH172" i="1"/>
  <c r="G172" i="1" s="1"/>
  <c r="AH250" i="1"/>
  <c r="AH264" i="1"/>
  <c r="AI186" i="1"/>
  <c r="AH14" i="1"/>
  <c r="G14" i="1" s="1"/>
  <c r="AH65" i="1"/>
  <c r="G65" i="1" s="1"/>
  <c r="AH142" i="1"/>
  <c r="G142" i="1" s="1"/>
  <c r="AI151" i="1"/>
  <c r="AI19" i="1"/>
  <c r="AI79" i="1"/>
  <c r="AH123" i="1"/>
  <c r="G123" i="1" s="1"/>
  <c r="AI42" i="1"/>
  <c r="AI264" i="1"/>
  <c r="AH163" i="1"/>
  <c r="AI86" i="1"/>
  <c r="AI225" i="1"/>
  <c r="AH243" i="1"/>
  <c r="AH223" i="1"/>
  <c r="G223" i="1" s="1"/>
  <c r="AH150" i="1"/>
  <c r="G150" i="1" s="1"/>
  <c r="AH97" i="1"/>
  <c r="AH19" i="1"/>
  <c r="G19" i="1" s="1"/>
  <c r="AI114" i="1"/>
  <c r="AI257" i="1"/>
  <c r="G214" i="1" l="1"/>
  <c r="G231" i="1"/>
  <c r="AH17" i="1"/>
  <c r="G17" i="1" s="1"/>
  <c r="AH7" i="1"/>
  <c r="G7" i="1" s="1"/>
  <c r="AH167" i="1"/>
  <c r="G167" i="1" s="1"/>
  <c r="AH6" i="1"/>
  <c r="G6" i="1" s="1"/>
  <c r="AH130" i="1"/>
  <c r="AH165" i="1"/>
  <c r="G165" i="1" s="1"/>
  <c r="AH144" i="1"/>
  <c r="G144" i="1" s="1"/>
  <c r="G145" i="1"/>
  <c r="AH222" i="1"/>
  <c r="AH63" i="1"/>
  <c r="AH254" i="1"/>
  <c r="AH242" i="1"/>
  <c r="G242" i="1" s="1"/>
  <c r="AH128" i="1"/>
  <c r="G128" i="1" s="1"/>
  <c r="AH159" i="1"/>
  <c r="G159" i="1" s="1"/>
  <c r="AH110" i="1"/>
  <c r="G110" i="1" s="1"/>
  <c r="AH249" i="1"/>
  <c r="G249" i="1" s="1"/>
  <c r="AH247" i="1"/>
  <c r="AH145" i="1"/>
  <c r="G199" i="1"/>
  <c r="G70" i="1"/>
  <c r="AH16" i="1"/>
  <c r="G16" i="1" s="1"/>
  <c r="AH88" i="1"/>
  <c r="G88" i="1" s="1"/>
  <c r="AH218" i="1"/>
  <c r="AH245" i="1"/>
  <c r="G245" i="1" s="1"/>
  <c r="AH43" i="1"/>
  <c r="G43" i="1" s="1"/>
  <c r="AH258" i="1"/>
  <c r="AH105" i="1"/>
  <c r="G105" i="1" s="1"/>
  <c r="AH132" i="1"/>
  <c r="G132" i="1" s="1"/>
  <c r="G169" i="1"/>
  <c r="AH32" i="1"/>
  <c r="G32" i="1" s="1"/>
  <c r="G148" i="1"/>
  <c r="AH192" i="1"/>
  <c r="G192" i="1" s="1"/>
  <c r="AH121" i="1"/>
  <c r="G121" i="1" s="1"/>
  <c r="G125" i="1"/>
  <c r="G98" i="1"/>
  <c r="G90" i="1"/>
  <c r="AH60" i="1"/>
  <c r="G60" i="1" s="1"/>
  <c r="G52" i="1"/>
  <c r="AH66" i="1"/>
  <c r="G66" i="1" s="1"/>
  <c r="AH113" i="1"/>
  <c r="G113" i="1" s="1"/>
  <c r="AH191" i="1"/>
  <c r="G191" i="1" s="1"/>
  <c r="AH18" i="1"/>
  <c r="G18" i="1" s="1"/>
  <c r="AH176" i="1"/>
  <c r="G176" i="1" s="1"/>
  <c r="AH122" i="1"/>
  <c r="G122" i="1" s="1"/>
  <c r="AH30" i="1"/>
  <c r="G30" i="1" s="1"/>
  <c r="AH211" i="1"/>
  <c r="G211" i="1" s="1"/>
  <c r="AH129" i="1"/>
  <c r="G129" i="1" s="1"/>
  <c r="AH266" i="1"/>
  <c r="G266" i="1" s="1"/>
  <c r="AH127" i="1"/>
  <c r="G127" i="1" s="1"/>
  <c r="AH151" i="1"/>
  <c r="G86" i="1"/>
  <c r="G222" i="1"/>
  <c r="G49" i="1"/>
  <c r="G77" i="1"/>
  <c r="G246" i="1"/>
  <c r="G130" i="1"/>
  <c r="G24" i="1"/>
  <c r="AH179" i="1"/>
  <c r="G179" i="1" s="1"/>
  <c r="G115" i="1"/>
  <c r="AH13" i="1"/>
  <c r="G13" i="1" s="1"/>
  <c r="G177" i="1"/>
  <c r="G12" i="1"/>
  <c r="AH55" i="1"/>
  <c r="AH262" i="1"/>
  <c r="AH96" i="1"/>
  <c r="G96" i="1" s="1"/>
  <c r="AH265" i="1"/>
  <c r="G171" i="1"/>
  <c r="G264" i="1"/>
  <c r="G76" i="1"/>
  <c r="AH158" i="1"/>
  <c r="G158" i="1" s="1"/>
  <c r="G34" i="1"/>
  <c r="AH186" i="1"/>
  <c r="G186" i="1" s="1"/>
  <c r="AH84" i="1"/>
  <c r="G84" i="1" s="1"/>
  <c r="AH8" i="1"/>
  <c r="G8" i="1" s="1"/>
  <c r="AH137" i="1"/>
  <c r="G137" i="1" s="1"/>
  <c r="AH185" i="1"/>
  <c r="G185" i="1" s="1"/>
  <c r="AH45" i="1"/>
  <c r="G45" i="1" s="1"/>
  <c r="AH206" i="1"/>
  <c r="G206" i="1" s="1"/>
  <c r="AH155" i="1"/>
  <c r="G155" i="1" s="1"/>
  <c r="AH70" i="1"/>
  <c r="G151" i="1"/>
  <c r="G163" i="1"/>
  <c r="G244" i="1"/>
  <c r="G265" i="1"/>
  <c r="G134" i="1"/>
  <c r="G63" i="1"/>
  <c r="G252" i="1"/>
  <c r="G101" i="1"/>
  <c r="AH202" i="1"/>
  <c r="G202" i="1" s="1"/>
  <c r="AH166" i="1"/>
  <c r="G166" i="1" s="1"/>
  <c r="AH61" i="1"/>
  <c r="AH198" i="1"/>
  <c r="G198" i="1" s="1"/>
  <c r="G108" i="1"/>
  <c r="AH261" i="1"/>
  <c r="G261" i="1" s="1"/>
  <c r="AH234" i="1"/>
  <c r="G234" i="1" s="1"/>
  <c r="AH187" i="1"/>
  <c r="G187" i="1" s="1"/>
  <c r="AH47" i="1"/>
  <c r="G47" i="1" s="1"/>
  <c r="AH59" i="1"/>
  <c r="G59" i="1" s="1"/>
  <c r="AH154" i="1"/>
  <c r="G154" i="1" s="1"/>
  <c r="AH224" i="1"/>
  <c r="G224" i="1" s="1"/>
  <c r="AH91" i="1"/>
  <c r="G91" i="1" s="1"/>
  <c r="AH248" i="1"/>
  <c r="G248" i="1" s="1"/>
  <c r="G25" i="1"/>
  <c r="AH50" i="1"/>
  <c r="G50" i="1" s="1"/>
  <c r="AH124" i="1"/>
  <c r="G124" i="1" s="1"/>
  <c r="AH53" i="1"/>
  <c r="G53" i="1" s="1"/>
  <c r="AH181" i="1"/>
  <c r="G181" i="1" s="1"/>
  <c r="AH118" i="1"/>
  <c r="G118" i="1" s="1"/>
  <c r="AH29" i="1"/>
  <c r="G29" i="1" s="1"/>
  <c r="AH48" i="1"/>
  <c r="G48" i="1" s="1"/>
  <c r="G260" i="1"/>
  <c r="G44" i="1"/>
  <c r="G203" i="1"/>
  <c r="G220" i="1"/>
  <c r="G247" i="1"/>
  <c r="G4" i="1"/>
  <c r="G253" i="1"/>
  <c r="AH241" i="1"/>
  <c r="G241" i="1" s="1"/>
  <c r="AH83" i="1"/>
  <c r="G83" i="1" s="1"/>
  <c r="AH209" i="1"/>
  <c r="AH256" i="1"/>
  <c r="G256" i="1" s="1"/>
  <c r="AH210" i="1"/>
  <c r="G210" i="1" s="1"/>
  <c r="AH197" i="1"/>
  <c r="G197" i="1" s="1"/>
  <c r="AH140" i="1"/>
  <c r="G140" i="1" s="1"/>
  <c r="AH56" i="1"/>
  <c r="G56" i="1" s="1"/>
  <c r="AH92" i="1"/>
  <c r="G92" i="1" s="1"/>
  <c r="AH57" i="1"/>
  <c r="G57" i="1" s="1"/>
  <c r="AH168" i="1"/>
  <c r="G168" i="1" s="1"/>
  <c r="AH170" i="1"/>
  <c r="G170" i="1" s="1"/>
  <c r="AH95" i="1"/>
  <c r="G95" i="1" s="1"/>
  <c r="AH85" i="1"/>
  <c r="G85" i="1" s="1"/>
  <c r="AH133" i="1"/>
  <c r="G133" i="1" s="1"/>
  <c r="AH21" i="1"/>
  <c r="G21" i="1" s="1"/>
  <c r="AH184" i="1"/>
  <c r="G184" i="1" s="1"/>
  <c r="AH36" i="1"/>
  <c r="G36" i="1" s="1"/>
  <c r="AH221" i="1"/>
  <c r="G221" i="1" s="1"/>
  <c r="AH69" i="1"/>
  <c r="G69" i="1" s="1"/>
  <c r="AH203" i="1"/>
  <c r="AH135" i="1"/>
  <c r="G135" i="1" s="1"/>
  <c r="G262" i="1"/>
  <c r="G250" i="1"/>
  <c r="G143" i="1"/>
  <c r="G196" i="1"/>
  <c r="G68" i="1"/>
  <c r="AH80" i="1"/>
  <c r="G80" i="1" s="1"/>
  <c r="AH227" i="1"/>
  <c r="G227" i="1" s="1"/>
  <c r="AH199" i="1"/>
  <c r="AH160" i="1"/>
  <c r="G160" i="1" s="1"/>
  <c r="AH251" i="1"/>
  <c r="G251" i="1" s="1"/>
  <c r="AH9" i="1"/>
  <c r="G9" i="1" s="1"/>
  <c r="AH182" i="1"/>
  <c r="AH58" i="1"/>
  <c r="G58" i="1" s="1"/>
  <c r="AH238" i="1"/>
  <c r="G238" i="1" s="1"/>
  <c r="AH136" i="1"/>
  <c r="G136" i="1" s="1"/>
  <c r="AH169" i="1"/>
  <c r="AH3" i="1"/>
  <c r="G3" i="1" s="1"/>
  <c r="AH164" i="1"/>
  <c r="G164" i="1" s="1"/>
  <c r="AH180" i="1"/>
  <c r="G180" i="1" s="1"/>
  <c r="G209" i="1"/>
  <c r="AH120" i="1"/>
  <c r="AH174" i="1"/>
  <c r="G174" i="1" s="1"/>
  <c r="AH22" i="1"/>
  <c r="G22" i="1" s="1"/>
  <c r="AH10" i="1"/>
  <c r="G10" i="1" s="1"/>
  <c r="AH138" i="1"/>
  <c r="G138" i="1" s="1"/>
  <c r="AH156" i="1"/>
  <c r="G156" i="1" s="1"/>
  <c r="AH51" i="1"/>
  <c r="G51" i="1" s="1"/>
  <c r="AH219" i="1"/>
  <c r="G219" i="1" s="1"/>
  <c r="AH62" i="1"/>
  <c r="G62" i="1" s="1"/>
  <c r="G61" i="1"/>
  <c r="G216" i="1"/>
  <c r="G89" i="1"/>
  <c r="G263" i="1"/>
  <c r="G162" i="1"/>
  <c r="G233" i="1"/>
  <c r="G5" i="1"/>
  <c r="G146" i="1"/>
  <c r="G126" i="1"/>
  <c r="G182" i="1"/>
  <c r="G229" i="1"/>
  <c r="G178" i="1"/>
  <c r="G97" i="1"/>
  <c r="G42" i="1"/>
  <c r="G259" i="1"/>
  <c r="G152" i="1"/>
  <c r="G114" i="1"/>
  <c r="G243" i="1"/>
  <c r="G190" i="1"/>
  <c r="G40" i="1"/>
  <c r="G139" i="1"/>
  <c r="G254" i="1"/>
  <c r="G55" i="1"/>
  <c r="G120" i="1"/>
  <c r="G149" i="1"/>
  <c r="G236" i="1"/>
  <c r="G11" i="1"/>
  <c r="G218" i="1"/>
  <c r="G258" i="1"/>
  <c r="G257" i="1"/>
  <c r="H212" i="1" l="1"/>
  <c r="H125" i="1"/>
  <c r="H260" i="1"/>
  <c r="H120" i="1"/>
  <c r="H164" i="1"/>
  <c r="H180" i="1"/>
  <c r="H227" i="1"/>
  <c r="H262" i="1"/>
  <c r="H257" i="1"/>
  <c r="H128" i="1"/>
  <c r="H48" i="1"/>
  <c r="H63" i="1"/>
  <c r="H21" i="1"/>
  <c r="H183" i="1"/>
  <c r="H191" i="1"/>
  <c r="H12" i="1"/>
  <c r="H112" i="1"/>
  <c r="H4" i="1"/>
  <c r="H251" i="1"/>
  <c r="H202" i="1"/>
  <c r="H165" i="1"/>
  <c r="H160" i="1"/>
  <c r="H161" i="1"/>
  <c r="H75" i="1"/>
  <c r="H36" i="1"/>
  <c r="H157" i="1"/>
  <c r="H166" i="1"/>
  <c r="H142" i="1"/>
  <c r="H117" i="1"/>
  <c r="H35" i="1"/>
  <c r="H129" i="1"/>
  <c r="H243" i="1"/>
  <c r="H59" i="1"/>
  <c r="H42" i="1"/>
  <c r="H64" i="1"/>
  <c r="H89" i="1"/>
  <c r="H200" i="1"/>
  <c r="H150" i="1"/>
  <c r="H195" i="1"/>
  <c r="H143" i="1"/>
  <c r="H14" i="1"/>
  <c r="H144" i="1"/>
  <c r="H115" i="1"/>
  <c r="H95" i="1"/>
  <c r="H244" i="1"/>
  <c r="H158" i="1"/>
  <c r="H102" i="1"/>
  <c r="H41" i="1"/>
  <c r="H255" i="1"/>
  <c r="H209" i="1"/>
  <c r="H199" i="1"/>
  <c r="H33" i="1"/>
  <c r="H72" i="1"/>
  <c r="H93" i="1"/>
  <c r="H258" i="1"/>
  <c r="H65" i="1"/>
  <c r="H205" i="1"/>
  <c r="H198" i="1"/>
  <c r="H8" i="1"/>
  <c r="H263" i="1"/>
  <c r="H67" i="1"/>
  <c r="H187" i="1"/>
  <c r="H131" i="1"/>
  <c r="H225" i="1"/>
  <c r="H172" i="1"/>
  <c r="H114" i="1"/>
  <c r="H214" i="1"/>
  <c r="H124" i="1"/>
  <c r="H170" i="1"/>
  <c r="H135" i="1"/>
  <c r="H223" i="1"/>
  <c r="H240" i="1"/>
  <c r="H113" i="1"/>
  <c r="H207" i="1"/>
  <c r="H264" i="1"/>
  <c r="H152" i="1"/>
  <c r="H53" i="1"/>
  <c r="H167" i="1"/>
  <c r="H57" i="1"/>
  <c r="H82" i="1"/>
  <c r="H119" i="1"/>
  <c r="H176" i="1"/>
  <c r="H17" i="1"/>
  <c r="H156" i="1"/>
  <c r="H256" i="1"/>
  <c r="H132" i="1"/>
  <c r="H235" i="1"/>
  <c r="H7" i="1"/>
  <c r="H32" i="1"/>
  <c r="H126" i="1"/>
  <c r="H121" i="1"/>
  <c r="H241" i="1"/>
  <c r="H266" i="1"/>
  <c r="H104" i="1"/>
  <c r="H252" i="1"/>
  <c r="H138" i="1"/>
  <c r="H116" i="1"/>
  <c r="H122" i="1"/>
  <c r="H118" i="1"/>
  <c r="H100" i="1"/>
  <c r="H222" i="1"/>
  <c r="H43" i="1"/>
  <c r="H109" i="1"/>
  <c r="H162" i="1"/>
  <c r="H86" i="1"/>
  <c r="H68" i="1"/>
  <c r="H9" i="1"/>
  <c r="H111" i="1"/>
  <c r="H232" i="1"/>
  <c r="H29" i="1"/>
  <c r="H139" i="1"/>
  <c r="H140" i="1"/>
  <c r="H136" i="1"/>
  <c r="H218" i="1"/>
  <c r="H153" i="1"/>
  <c r="H171" i="1"/>
  <c r="H221" i="1"/>
  <c r="H190" i="1"/>
  <c r="H39" i="1"/>
  <c r="H11" i="1"/>
  <c r="H92" i="1"/>
  <c r="H94" i="1"/>
  <c r="H208" i="1"/>
  <c r="H30" i="1"/>
  <c r="H178" i="1"/>
  <c r="H85" i="1"/>
  <c r="H107" i="1"/>
  <c r="H52" i="1"/>
  <c r="H145" i="1"/>
  <c r="H62" i="1"/>
  <c r="H19" i="1"/>
  <c r="H230" i="1"/>
  <c r="H249" i="1"/>
  <c r="H169" i="1"/>
  <c r="H58" i="1"/>
  <c r="H38" i="1"/>
  <c r="H242" i="1"/>
  <c r="H149" i="1"/>
  <c r="H204" i="1"/>
  <c r="H193" i="1"/>
  <c r="H182" i="1"/>
  <c r="H146" i="1"/>
  <c r="H261" i="1"/>
  <c r="H26" i="1"/>
  <c r="H15" i="1"/>
  <c r="H217" i="1"/>
  <c r="H134" i="1"/>
  <c r="H10" i="1"/>
  <c r="H2" i="1"/>
  <c r="H90" i="1"/>
  <c r="H91" i="1"/>
  <c r="H239" i="1"/>
  <c r="H203" i="1"/>
  <c r="H88" i="1"/>
  <c r="H81" i="1"/>
  <c r="H189" i="1"/>
  <c r="H101" i="1"/>
  <c r="H254" i="1"/>
  <c r="H123" i="1"/>
  <c r="H154" i="1"/>
  <c r="H23" i="1"/>
  <c r="H238" i="1"/>
  <c r="H137" i="1"/>
  <c r="H151" i="1"/>
  <c r="H55" i="1"/>
  <c r="H265" i="1"/>
  <c r="H253" i="1"/>
  <c r="H24" i="1"/>
  <c r="H37" i="1"/>
  <c r="H173" i="1"/>
  <c r="H97" i="1"/>
  <c r="H56" i="1"/>
  <c r="H141" i="1"/>
  <c r="H50" i="1"/>
  <c r="H46" i="1"/>
  <c r="H228" i="1"/>
  <c r="H127" i="1"/>
  <c r="H236" i="1"/>
  <c r="H216" i="1"/>
  <c r="H108" i="1"/>
  <c r="H103" i="1"/>
  <c r="H177" i="1"/>
  <c r="H49" i="1"/>
  <c r="H155" i="1"/>
  <c r="H34" i="1"/>
  <c r="H163" i="1"/>
  <c r="H77" i="1"/>
  <c r="H159" i="1"/>
  <c r="H20" i="1"/>
  <c r="H185" i="1"/>
  <c r="H5" i="1"/>
  <c r="H226" i="1"/>
  <c r="H175" i="1"/>
  <c r="H61" i="1"/>
  <c r="H237" i="1"/>
  <c r="H179" i="1"/>
  <c r="H22" i="1"/>
  <c r="H247" i="1"/>
  <c r="H110" i="1"/>
  <c r="H234" i="1"/>
  <c r="H44" i="1"/>
  <c r="H18" i="1"/>
  <c r="H16" i="1"/>
  <c r="H99" i="1"/>
  <c r="H74" i="1"/>
  <c r="H83" i="1"/>
  <c r="H248" i="1"/>
  <c r="H71" i="1"/>
  <c r="H80" i="1"/>
  <c r="H69" i="1"/>
  <c r="H3" i="1"/>
  <c r="H250" i="1"/>
  <c r="H259" i="1"/>
  <c r="H168" i="1"/>
  <c r="H25" i="1"/>
  <c r="H40" i="1"/>
  <c r="H13" i="1"/>
  <c r="H196" i="1"/>
  <c r="H73" i="1"/>
  <c r="H213" i="1"/>
  <c r="H87" i="1"/>
  <c r="H6" i="1"/>
  <c r="H78" i="1"/>
  <c r="H47" i="1"/>
  <c r="H186" i="1"/>
  <c r="H130" i="1"/>
  <c r="H76" i="1"/>
  <c r="H181" i="1"/>
  <c r="H192" i="1"/>
  <c r="H211" i="1"/>
  <c r="H224" i="1"/>
  <c r="H219" i="1"/>
  <c r="H148" i="1"/>
  <c r="H229" i="1"/>
  <c r="H45" i="1"/>
  <c r="H51" i="1"/>
  <c r="H215" i="1"/>
  <c r="H194" i="1"/>
  <c r="H28" i="1"/>
  <c r="H27" i="1"/>
  <c r="H206" i="1"/>
  <c r="H188" i="1"/>
  <c r="H184" i="1"/>
  <c r="H106" i="1"/>
  <c r="H96" i="1"/>
  <c r="H31" i="1"/>
  <c r="H105" i="1"/>
  <c r="H66" i="1"/>
  <c r="H133" i="1"/>
  <c r="H245" i="1"/>
  <c r="H79" i="1"/>
  <c r="H233" i="1"/>
  <c r="H210" i="1"/>
  <c r="H54" i="1"/>
  <c r="H147" i="1"/>
  <c r="H231" i="1"/>
  <c r="H246" i="1"/>
  <c r="H174" i="1"/>
  <c r="H220" i="1"/>
  <c r="H98" i="1"/>
  <c r="H84" i="1"/>
  <c r="H197" i="1"/>
  <c r="H60" i="1"/>
  <c r="H70" i="1"/>
  <c r="H201" i="1"/>
  <c r="A179" i="1" l="1"/>
  <c r="A177" i="1"/>
  <c r="A260" i="1"/>
  <c r="A233" i="1"/>
  <c r="A182" i="1"/>
  <c r="A95" i="1"/>
  <c r="J95" i="1" s="1"/>
  <c r="A80" i="1"/>
  <c r="J80" i="1" s="1"/>
  <c r="A85" i="1"/>
  <c r="J85" i="1" s="1"/>
  <c r="A117" i="1"/>
  <c r="J117" i="1" s="1"/>
  <c r="A61" i="1"/>
  <c r="J61" i="1" s="1"/>
  <c r="A17" i="1"/>
  <c r="J17" i="1" s="1"/>
  <c r="A133" i="1"/>
  <c r="J133" i="1" s="1"/>
  <c r="A55" i="1"/>
  <c r="J55" i="1" s="1"/>
  <c r="A124" i="1"/>
  <c r="J124" i="1" s="1"/>
  <c r="A66" i="1"/>
  <c r="J66" i="1" s="1"/>
  <c r="A91" i="1"/>
  <c r="J91" i="1" s="1"/>
  <c r="A252" i="1"/>
  <c r="A119" i="1"/>
  <c r="J119" i="1" s="1"/>
  <c r="A214" i="1"/>
  <c r="A72" i="1"/>
  <c r="J72" i="1" s="1"/>
  <c r="A143" i="1"/>
  <c r="J143" i="1" s="1"/>
  <c r="A157" i="1"/>
  <c r="J157" i="1" s="1"/>
  <c r="A63" i="1"/>
  <c r="J63" i="1" s="1"/>
  <c r="A84" i="1"/>
  <c r="J84" i="1" s="1"/>
  <c r="A105" i="1"/>
  <c r="J105" i="1" s="1"/>
  <c r="A148" i="1"/>
  <c r="J148" i="1" s="1"/>
  <c r="A73" i="1"/>
  <c r="J73" i="1" s="1"/>
  <c r="A74" i="1"/>
  <c r="J74" i="1" s="1"/>
  <c r="A5" i="1"/>
  <c r="J5" i="1" s="1"/>
  <c r="A127" i="1"/>
  <c r="J127" i="1" s="1"/>
  <c r="A137" i="1"/>
  <c r="J137" i="1" s="1"/>
  <c r="A90" i="1"/>
  <c r="J90" i="1" s="1"/>
  <c r="A38" i="1"/>
  <c r="J38" i="1" s="1"/>
  <c r="A94" i="1"/>
  <c r="J94" i="1" s="1"/>
  <c r="A111" i="1"/>
  <c r="J111" i="1" s="1"/>
  <c r="A104" i="1"/>
  <c r="J104" i="1" s="1"/>
  <c r="A82" i="1"/>
  <c r="J82" i="1" s="1"/>
  <c r="A114" i="1"/>
  <c r="J114" i="1" s="1"/>
  <c r="A33" i="1"/>
  <c r="J33" i="1" s="1"/>
  <c r="A195" i="1"/>
  <c r="A36" i="1"/>
  <c r="J36" i="1" s="1"/>
  <c r="A48" i="1"/>
  <c r="J48" i="1" s="1"/>
  <c r="A215" i="1"/>
  <c r="A245" i="1"/>
  <c r="A144" i="1"/>
  <c r="J144" i="1" s="1"/>
  <c r="A93" i="1"/>
  <c r="J93" i="1" s="1"/>
  <c r="A98" i="1"/>
  <c r="J98" i="1" s="1"/>
  <c r="A92" i="1"/>
  <c r="J92" i="1" s="1"/>
  <c r="A9" i="1"/>
  <c r="J9" i="1" s="1"/>
  <c r="A266" i="1"/>
  <c r="J266" i="1" s="1"/>
  <c r="A57" i="1"/>
  <c r="J57" i="1" s="1"/>
  <c r="A172" i="1"/>
  <c r="A199" i="1"/>
  <c r="A150" i="1"/>
  <c r="J150" i="1" s="1"/>
  <c r="A75" i="1"/>
  <c r="J75" i="1" s="1"/>
  <c r="A128" i="1"/>
  <c r="J128" i="1" s="1"/>
  <c r="A256" i="1"/>
  <c r="A156" i="1"/>
  <c r="A203" i="1"/>
  <c r="A216" i="1"/>
  <c r="A213" i="1"/>
  <c r="J213" i="1" s="1"/>
  <c r="A238" i="1"/>
  <c r="A169" i="1"/>
  <c r="A241" i="1"/>
  <c r="A167" i="1"/>
  <c r="J167" i="1" s="1"/>
  <c r="A225" i="1"/>
  <c r="A209" i="1"/>
  <c r="J209" i="1" s="1"/>
  <c r="A200" i="1"/>
  <c r="A161" i="1"/>
  <c r="J161" i="1" s="1"/>
  <c r="A257" i="1"/>
  <c r="A79" i="1"/>
  <c r="J79" i="1" s="1"/>
  <c r="A51" i="1"/>
  <c r="J51" i="1" s="1"/>
  <c r="A258" i="1"/>
  <c r="A176" i="1"/>
  <c r="J176" i="1" s="1"/>
  <c r="A208" i="1"/>
  <c r="A13" i="1"/>
  <c r="J13" i="1" s="1"/>
  <c r="A18" i="1"/>
  <c r="J18" i="1" s="1"/>
  <c r="A121" i="1"/>
  <c r="J121" i="1" s="1"/>
  <c r="A53" i="1"/>
  <c r="J53" i="1" s="1"/>
  <c r="A131" i="1"/>
  <c r="J131" i="1" s="1"/>
  <c r="A255" i="1"/>
  <c r="J255" i="1" s="1"/>
  <c r="A89" i="1"/>
  <c r="J89" i="1" s="1"/>
  <c r="A160" i="1"/>
  <c r="J160" i="1" s="1"/>
  <c r="A262" i="1"/>
  <c r="A205" i="1"/>
  <c r="J205" i="1" s="1"/>
  <c r="A135" i="1"/>
  <c r="J135" i="1" s="1"/>
  <c r="A139" i="1"/>
  <c r="J139" i="1" s="1"/>
  <c r="A149" i="1"/>
  <c r="J149" i="1" s="1"/>
  <c r="A151" i="1"/>
  <c r="J151" i="1" s="1"/>
  <c r="A58" i="1"/>
  <c r="J58" i="1" s="1"/>
  <c r="A106" i="1"/>
  <c r="J106" i="1" s="1"/>
  <c r="A25" i="1"/>
  <c r="J25" i="1" s="1"/>
  <c r="A126" i="1"/>
  <c r="J126" i="1" s="1"/>
  <c r="A152" i="1"/>
  <c r="J152" i="1" s="1"/>
  <c r="A187" i="1"/>
  <c r="J187" i="1" s="1"/>
  <c r="A212" i="1"/>
  <c r="J212" i="1" s="1"/>
  <c r="A64" i="1"/>
  <c r="J64" i="1" s="1"/>
  <c r="A165" i="1"/>
  <c r="J165" i="1" s="1"/>
  <c r="A227" i="1"/>
  <c r="A24" i="1"/>
  <c r="J24" i="1" s="1"/>
  <c r="A120" i="1"/>
  <c r="J120" i="1" s="1"/>
  <c r="A223" i="1"/>
  <c r="J223" i="1" s="1"/>
  <c r="A78" i="1"/>
  <c r="J78" i="1" s="1"/>
  <c r="A88" i="1"/>
  <c r="J88" i="1" s="1"/>
  <c r="A65" i="1"/>
  <c r="J65" i="1" s="1"/>
  <c r="A6" i="1"/>
  <c r="J6" i="1" s="1"/>
  <c r="A204" i="1"/>
  <c r="A142" i="1"/>
  <c r="J142" i="1" s="1"/>
  <c r="A87" i="1"/>
  <c r="J87" i="1" s="1"/>
  <c r="A30" i="1"/>
  <c r="J30" i="1" s="1"/>
  <c r="A166" i="1"/>
  <c r="J166" i="1" s="1"/>
  <c r="A83" i="1"/>
  <c r="J83" i="1" s="1"/>
  <c r="A232" i="1"/>
  <c r="A99" i="1"/>
  <c r="J99" i="1" s="1"/>
  <c r="A220" i="1"/>
  <c r="A20" i="1"/>
  <c r="J20" i="1" s="1"/>
  <c r="A11" i="1"/>
  <c r="J11" i="1" s="1"/>
  <c r="A40" i="1"/>
  <c r="J40" i="1" s="1"/>
  <c r="A134" i="1"/>
  <c r="J134" i="1" s="1"/>
  <c r="A246" i="1"/>
  <c r="A141" i="1"/>
  <c r="J141" i="1" s="1"/>
  <c r="A230" i="1"/>
  <c r="A188" i="1"/>
  <c r="J188" i="1" s="1"/>
  <c r="A181" i="1"/>
  <c r="J181" i="1" s="1"/>
  <c r="A168" i="1"/>
  <c r="A234" i="1"/>
  <c r="J234" i="1" s="1"/>
  <c r="A163" i="1"/>
  <c r="A56" i="1"/>
  <c r="J56" i="1" s="1"/>
  <c r="A254" i="1"/>
  <c r="A15" i="1"/>
  <c r="J15" i="1" s="1"/>
  <c r="A19" i="1"/>
  <c r="J19" i="1" s="1"/>
  <c r="A221" i="1"/>
  <c r="A109" i="1"/>
  <c r="J109" i="1" s="1"/>
  <c r="A32" i="1"/>
  <c r="J32" i="1" s="1"/>
  <c r="A264" i="1"/>
  <c r="A67" i="1"/>
  <c r="J67" i="1" s="1"/>
  <c r="A41" i="1"/>
  <c r="J41" i="1" s="1"/>
  <c r="A42" i="1"/>
  <c r="J42" i="1" s="1"/>
  <c r="A202" i="1"/>
  <c r="J202" i="1" s="1"/>
  <c r="A180" i="1"/>
  <c r="A69" i="1"/>
  <c r="J69" i="1" s="1"/>
  <c r="A118" i="1"/>
  <c r="J118" i="1" s="1"/>
  <c r="A201" i="1"/>
  <c r="A253" i="1"/>
  <c r="A140" i="1"/>
  <c r="J140" i="1" s="1"/>
  <c r="A191" i="1"/>
  <c r="A108" i="1"/>
  <c r="J108" i="1" s="1"/>
  <c r="A116" i="1"/>
  <c r="J116" i="1" s="1"/>
  <c r="A60" i="1"/>
  <c r="J60" i="1" s="1"/>
  <c r="A175" i="1"/>
  <c r="A138" i="1"/>
  <c r="A197" i="1"/>
  <c r="A236" i="1"/>
  <c r="J236" i="1" s="1"/>
  <c r="A31" i="1"/>
  <c r="J31" i="1" s="1"/>
  <c r="A185" i="1"/>
  <c r="A96" i="1"/>
  <c r="J96" i="1" s="1"/>
  <c r="A46" i="1"/>
  <c r="J46" i="1" s="1"/>
  <c r="A68" i="1"/>
  <c r="J68" i="1" s="1"/>
  <c r="A159" i="1"/>
  <c r="A249" i="1"/>
  <c r="A184" i="1"/>
  <c r="A77" i="1"/>
  <c r="J77" i="1" s="1"/>
  <c r="A190" i="1"/>
  <c r="J190" i="1" s="1"/>
  <c r="A231" i="1"/>
  <c r="J231" i="1" s="1"/>
  <c r="A147" i="1"/>
  <c r="J147" i="1" s="1"/>
  <c r="A206" i="1"/>
  <c r="A76" i="1"/>
  <c r="J76" i="1" s="1"/>
  <c r="A259" i="1"/>
  <c r="A110" i="1"/>
  <c r="J110" i="1" s="1"/>
  <c r="A34" i="1"/>
  <c r="J34" i="1" s="1"/>
  <c r="A97" i="1"/>
  <c r="J97" i="1" s="1"/>
  <c r="A101" i="1"/>
  <c r="J101" i="1" s="1"/>
  <c r="A26" i="1"/>
  <c r="J26" i="1" s="1"/>
  <c r="A62" i="1"/>
  <c r="J62" i="1" s="1"/>
  <c r="A171" i="1"/>
  <c r="J171" i="1" s="1"/>
  <c r="A43" i="1"/>
  <c r="J43" i="1" s="1"/>
  <c r="A7" i="1"/>
  <c r="J7" i="1" s="1"/>
  <c r="A207" i="1"/>
  <c r="J207" i="1" s="1"/>
  <c r="A263" i="1"/>
  <c r="A102" i="1"/>
  <c r="J102" i="1" s="1"/>
  <c r="A59" i="1"/>
  <c r="J59" i="1" s="1"/>
  <c r="A251" i="1"/>
  <c r="A164" i="1"/>
  <c r="J164" i="1" s="1"/>
  <c r="A194" i="1"/>
  <c r="J194" i="1" s="1"/>
  <c r="A107" i="1"/>
  <c r="A35" i="1"/>
  <c r="J35" i="1" s="1"/>
  <c r="A237" i="1"/>
  <c r="A193" i="1"/>
  <c r="A115" i="1"/>
  <c r="J115" i="1" s="1"/>
  <c r="A71" i="1"/>
  <c r="J71" i="1" s="1"/>
  <c r="A178" i="1"/>
  <c r="A183" i="1"/>
  <c r="A248" i="1"/>
  <c r="A29" i="1"/>
  <c r="J29" i="1" s="1"/>
  <c r="A21" i="1"/>
  <c r="J21" i="1" s="1"/>
  <c r="A226" i="1"/>
  <c r="A219" i="1"/>
  <c r="A228" i="1"/>
  <c r="A224" i="1"/>
  <c r="A23" i="1"/>
  <c r="J23" i="1" s="1"/>
  <c r="A174" i="1"/>
  <c r="J174" i="1" s="1"/>
  <c r="A50" i="1"/>
  <c r="J50" i="1" s="1"/>
  <c r="A39" i="1"/>
  <c r="J39" i="1" s="1"/>
  <c r="A192" i="1"/>
  <c r="J192" i="1" s="1"/>
  <c r="A123" i="1"/>
  <c r="J123" i="1" s="1"/>
  <c r="A162" i="1"/>
  <c r="A54" i="1"/>
  <c r="J54" i="1" s="1"/>
  <c r="A27" i="1"/>
  <c r="J27" i="1" s="1"/>
  <c r="A130" i="1"/>
  <c r="J130" i="1" s="1"/>
  <c r="A250" i="1"/>
  <c r="A247" i="1"/>
  <c r="A155" i="1"/>
  <c r="J155" i="1" s="1"/>
  <c r="A173" i="1"/>
  <c r="A189" i="1"/>
  <c r="A261" i="1"/>
  <c r="A145" i="1"/>
  <c r="J145" i="1" s="1"/>
  <c r="A153" i="1"/>
  <c r="A222" i="1"/>
  <c r="A235" i="1"/>
  <c r="A113" i="1"/>
  <c r="J113" i="1" s="1"/>
  <c r="A8" i="1"/>
  <c r="J8" i="1" s="1"/>
  <c r="A158" i="1"/>
  <c r="A243" i="1"/>
  <c r="A4" i="1"/>
  <c r="J4" i="1" s="1"/>
  <c r="A47" i="1"/>
  <c r="J47" i="1" s="1"/>
  <c r="A136" i="1"/>
  <c r="J136" i="1" s="1"/>
  <c r="A12" i="1"/>
  <c r="J12" i="1" s="1"/>
  <c r="A103" i="1"/>
  <c r="J103" i="1" s="1"/>
  <c r="A122" i="1"/>
  <c r="J122" i="1" s="1"/>
  <c r="A70" i="1"/>
  <c r="J70" i="1" s="1"/>
  <c r="A265" i="1"/>
  <c r="A170" i="1"/>
  <c r="J170" i="1" s="1"/>
  <c r="A45" i="1"/>
  <c r="J45" i="1" s="1"/>
  <c r="A239" i="1"/>
  <c r="J239" i="1" s="1"/>
  <c r="A14" i="1"/>
  <c r="J14" i="1" s="1"/>
  <c r="A229" i="1"/>
  <c r="J229" i="1" s="1"/>
  <c r="A242" i="1"/>
  <c r="A196" i="1"/>
  <c r="J196" i="1" s="1"/>
  <c r="D261" i="1"/>
  <c r="D220" i="1"/>
  <c r="D205" i="1"/>
  <c r="D224" i="1"/>
  <c r="D187" i="1"/>
  <c r="D183" i="1"/>
  <c r="D181" i="1"/>
  <c r="D172" i="1"/>
  <c r="D221" i="1"/>
  <c r="D203" i="1"/>
  <c r="D243" i="1"/>
  <c r="D173" i="1"/>
  <c r="D136" i="1"/>
  <c r="D88" i="1"/>
  <c r="D129" i="1"/>
  <c r="D118" i="1"/>
  <c r="D102" i="1"/>
  <c r="D115" i="1"/>
  <c r="D110" i="1"/>
  <c r="D65" i="1"/>
  <c r="D47" i="1"/>
  <c r="D62" i="1"/>
  <c r="D34" i="1"/>
  <c r="A2" i="1"/>
  <c r="J2" i="1" s="1"/>
  <c r="D60" i="1"/>
  <c r="D27" i="1"/>
  <c r="D13" i="1"/>
  <c r="D100" i="1"/>
  <c r="D3" i="1"/>
  <c r="D32" i="1"/>
  <c r="D44" i="1"/>
  <c r="D74" i="1"/>
  <c r="D130" i="1"/>
  <c r="D215" i="1"/>
  <c r="D157" i="1"/>
  <c r="D45" i="1"/>
  <c r="D53" i="1"/>
  <c r="D116" i="1"/>
  <c r="D42" i="1"/>
  <c r="D147" i="1"/>
  <c r="D124" i="1"/>
  <c r="D85" i="1"/>
  <c r="D132" i="1"/>
  <c r="D180" i="1"/>
  <c r="D77" i="1"/>
  <c r="D83" i="1"/>
  <c r="D166" i="1"/>
  <c r="D101" i="1"/>
  <c r="D189" i="1"/>
  <c r="D209" i="1"/>
  <c r="D154" i="1"/>
  <c r="D18" i="1"/>
  <c r="D15" i="1"/>
  <c r="D108" i="1"/>
  <c r="D168" i="1"/>
  <c r="D179" i="1"/>
  <c r="D109" i="1"/>
  <c r="D75" i="1"/>
  <c r="D106" i="1"/>
  <c r="D125" i="1"/>
  <c r="D186" i="1"/>
  <c r="D5" i="1"/>
  <c r="D28" i="1"/>
  <c r="D113" i="1"/>
  <c r="D185" i="1"/>
  <c r="D31" i="1"/>
  <c r="D14" i="1"/>
  <c r="D121" i="1"/>
  <c r="D57" i="1"/>
  <c r="D162" i="1"/>
  <c r="D192" i="1"/>
  <c r="D182" i="1"/>
  <c r="D163" i="1"/>
  <c r="D123" i="1"/>
  <c r="D235" i="1"/>
  <c r="D72" i="1"/>
  <c r="D46" i="1"/>
  <c r="D26" i="1"/>
  <c r="D87" i="1"/>
  <c r="D156" i="1"/>
  <c r="D133" i="1"/>
  <c r="D223" i="1"/>
  <c r="D21" i="1"/>
  <c r="D7" i="1"/>
  <c r="D40" i="1"/>
  <c r="D76" i="1"/>
  <c r="D49" i="1"/>
  <c r="D48" i="1"/>
  <c r="D12" i="1"/>
  <c r="D94" i="1"/>
  <c r="D73" i="1"/>
  <c r="D50" i="1"/>
  <c r="D80" i="1"/>
  <c r="D6" i="1"/>
  <c r="D36" i="1"/>
  <c r="D86" i="1"/>
  <c r="D64" i="1"/>
  <c r="D30" i="1"/>
  <c r="D82" i="1"/>
  <c r="D134" i="1"/>
  <c r="D244" i="1"/>
  <c r="D138" i="1"/>
  <c r="D214" i="1"/>
  <c r="D196" i="1"/>
  <c r="D184" i="1"/>
  <c r="D41" i="1"/>
  <c r="D237" i="1"/>
  <c r="D257" i="1"/>
  <c r="D137" i="1"/>
  <c r="D174" i="1"/>
  <c r="D149" i="1"/>
  <c r="D219" i="1"/>
  <c r="D226" i="1"/>
  <c r="D222" i="1"/>
  <c r="D58" i="1"/>
  <c r="D161" i="1"/>
  <c r="D175" i="1"/>
  <c r="D197" i="1"/>
  <c r="D228" i="1"/>
  <c r="D256" i="1"/>
  <c r="D266" i="1"/>
  <c r="D54" i="1"/>
  <c r="D71" i="1"/>
  <c r="D107" i="1"/>
  <c r="D114" i="1"/>
  <c r="D201" i="1"/>
  <c r="D230" i="1"/>
  <c r="D167" i="1"/>
  <c r="D150" i="1"/>
  <c r="D225" i="1"/>
  <c r="D104" i="1"/>
  <c r="D233" i="1"/>
  <c r="D193" i="1"/>
  <c r="D204" i="1"/>
  <c r="D171" i="1"/>
  <c r="D212" i="1"/>
  <c r="D117" i="1"/>
  <c r="D51" i="1"/>
  <c r="D11" i="1"/>
  <c r="D241" i="1"/>
  <c r="D234" i="1"/>
  <c r="D91" i="1"/>
  <c r="D160" i="1"/>
  <c r="D25" i="1"/>
  <c r="D69" i="1"/>
  <c r="D251" i="1"/>
  <c r="D253" i="1"/>
  <c r="D207" i="1"/>
  <c r="D93" i="1"/>
  <c r="D33" i="1"/>
  <c r="D105" i="1"/>
  <c r="D67" i="1"/>
  <c r="D9" i="1"/>
  <c r="D23" i="1"/>
  <c r="D260" i="1"/>
  <c r="D258" i="1"/>
  <c r="D265" i="1"/>
  <c r="D79" i="1"/>
  <c r="D245" i="1"/>
  <c r="D248" i="1"/>
  <c r="D10" i="1"/>
  <c r="D194" i="1"/>
  <c r="D127" i="1"/>
  <c r="D153" i="1"/>
  <c r="D17" i="1"/>
  <c r="D89" i="1"/>
  <c r="D151" i="1"/>
  <c r="D216" i="1"/>
  <c r="D122" i="1"/>
  <c r="D210" i="1"/>
  <c r="D264" i="1"/>
  <c r="D240" i="1"/>
  <c r="D92" i="1"/>
  <c r="D119" i="1"/>
  <c r="D262" i="1"/>
  <c r="D191" i="1"/>
  <c r="D4" i="1"/>
  <c r="D55" i="1"/>
  <c r="D145" i="1"/>
  <c r="D135" i="1"/>
  <c r="D236" i="1"/>
  <c r="D103" i="1"/>
  <c r="D84" i="1"/>
  <c r="D249" i="1"/>
  <c r="D2" i="1"/>
  <c r="D252" i="1"/>
  <c r="D19" i="1"/>
  <c r="D206" i="1"/>
  <c r="D39" i="1"/>
  <c r="D126" i="1"/>
  <c r="D217" i="1"/>
  <c r="D211" i="1"/>
  <c r="D131" i="1"/>
  <c r="D238" i="1"/>
  <c r="D231" i="1"/>
  <c r="D195" i="1"/>
  <c r="D81" i="1"/>
  <c r="D97" i="1"/>
  <c r="D24" i="1"/>
  <c r="D155" i="1"/>
  <c r="D169" i="1"/>
  <c r="D68" i="1"/>
  <c r="D158" i="1"/>
  <c r="D43" i="1"/>
  <c r="D208" i="1"/>
  <c r="D37" i="1"/>
  <c r="D159" i="1"/>
  <c r="D61" i="1"/>
  <c r="D259" i="1"/>
  <c r="D142" i="1"/>
  <c r="D20" i="1"/>
  <c r="D164" i="1"/>
  <c r="D148" i="1"/>
  <c r="D242" i="1"/>
  <c r="D56" i="1"/>
  <c r="D165" i="1"/>
  <c r="D246" i="1"/>
  <c r="D247" i="1"/>
  <c r="D177" i="1"/>
  <c r="D144" i="1"/>
  <c r="D152" i="1"/>
  <c r="D143" i="1"/>
  <c r="D232" i="1"/>
  <c r="D170" i="1"/>
  <c r="D29" i="1"/>
  <c r="D90" i="1"/>
  <c r="D190" i="1"/>
  <c r="D199" i="1"/>
  <c r="D112" i="1"/>
  <c r="D98" i="1"/>
  <c r="D111" i="1"/>
  <c r="D52" i="1"/>
  <c r="D22" i="1"/>
  <c r="D254" i="1"/>
  <c r="D218" i="1"/>
  <c r="D250" i="1"/>
  <c r="D38" i="1"/>
  <c r="D263" i="1"/>
  <c r="D16" i="1"/>
  <c r="D229" i="1"/>
  <c r="D8" i="1"/>
  <c r="D128" i="1"/>
  <c r="D200" i="1"/>
  <c r="D96" i="1"/>
  <c r="D227" i="1"/>
  <c r="D188" i="1"/>
  <c r="D139" i="1"/>
  <c r="D120" i="1"/>
  <c r="D66" i="1"/>
  <c r="D78" i="1"/>
  <c r="D35" i="1"/>
  <c r="D176" i="1"/>
  <c r="D70" i="1"/>
  <c r="D213" i="1"/>
  <c r="D95" i="1"/>
  <c r="D59" i="1"/>
  <c r="D141" i="1"/>
  <c r="D198" i="1"/>
  <c r="D99" i="1"/>
  <c r="D255" i="1"/>
  <c r="D202" i="1"/>
  <c r="D178" i="1"/>
  <c r="D140" i="1"/>
  <c r="D239" i="1"/>
  <c r="D63" i="1"/>
  <c r="D146" i="1"/>
  <c r="A16" i="1"/>
  <c r="J16" i="1" s="1"/>
  <c r="A10" i="1"/>
  <c r="J10" i="1" s="1"/>
  <c r="A211" i="1"/>
  <c r="A154" i="1"/>
  <c r="A86" i="1"/>
  <c r="J86" i="1" s="1"/>
  <c r="A44" i="1"/>
  <c r="J44" i="1" s="1"/>
  <c r="A217" i="1"/>
  <c r="J217" i="1" s="1"/>
  <c r="A210" i="1"/>
  <c r="J210" i="1" s="1"/>
  <c r="A28" i="1"/>
  <c r="J28" i="1" s="1"/>
  <c r="A186" i="1"/>
  <c r="J186" i="1" s="1"/>
  <c r="A3" i="1"/>
  <c r="J3" i="1" s="1"/>
  <c r="A22" i="1"/>
  <c r="J22" i="1" s="1"/>
  <c r="A49" i="1"/>
  <c r="J49" i="1" s="1"/>
  <c r="A37" i="1"/>
  <c r="J37" i="1" s="1"/>
  <c r="A81" i="1"/>
  <c r="J81" i="1" s="1"/>
  <c r="A146" i="1"/>
  <c r="J146" i="1" s="1"/>
  <c r="A52" i="1"/>
  <c r="J52" i="1" s="1"/>
  <c r="A218" i="1"/>
  <c r="A100" i="1"/>
  <c r="J100" i="1" s="1"/>
  <c r="A132" i="1"/>
  <c r="J132" i="1" s="1"/>
  <c r="A240" i="1"/>
  <c r="A198" i="1"/>
  <c r="A244" i="1"/>
  <c r="A129" i="1"/>
  <c r="J129" i="1" s="1"/>
  <c r="A112" i="1"/>
  <c r="J112" i="1" s="1"/>
  <c r="A125" i="1"/>
  <c r="J125" i="1" s="1"/>
</calcChain>
</file>

<file path=xl/sharedStrings.xml><?xml version="1.0" encoding="utf-8"?>
<sst xmlns="http://schemas.openxmlformats.org/spreadsheetml/2006/main" count="4836" uniqueCount="737">
  <si>
    <t>RK</t>
  </si>
  <si>
    <t>NAME</t>
  </si>
  <si>
    <t>POS</t>
  </si>
  <si>
    <t>PRK</t>
  </si>
  <si>
    <t>TEAM</t>
  </si>
  <si>
    <t>ADJ</t>
  </si>
  <si>
    <t>VALUE</t>
  </si>
  <si>
    <t>VORP</t>
  </si>
  <si>
    <t>ADP</t>
  </si>
  <si>
    <t>DIFF</t>
  </si>
  <si>
    <t>GP</t>
  </si>
  <si>
    <t>MPG</t>
  </si>
  <si>
    <t>PTS</t>
  </si>
  <si>
    <t>REB</t>
  </si>
  <si>
    <t>AST</t>
  </si>
  <si>
    <t>STL</t>
  </si>
  <si>
    <t>BLK</t>
  </si>
  <si>
    <t>3PM</t>
  </si>
  <si>
    <t>TO</t>
  </si>
  <si>
    <t>FG%</t>
  </si>
  <si>
    <t>FT%</t>
  </si>
  <si>
    <t>FGM</t>
  </si>
  <si>
    <t>FGA</t>
  </si>
  <si>
    <t>FTM</t>
  </si>
  <si>
    <t>FTA</t>
  </si>
  <si>
    <t>zPTS</t>
  </si>
  <si>
    <t>zREB</t>
  </si>
  <si>
    <t>zAST</t>
  </si>
  <si>
    <t>zSTL</t>
  </si>
  <si>
    <t>zBLK</t>
  </si>
  <si>
    <t>z3PM</t>
  </si>
  <si>
    <t>zFG%</t>
  </si>
  <si>
    <t>zFT%</t>
  </si>
  <si>
    <t>zTO</t>
  </si>
  <si>
    <t>ROW</t>
  </si>
  <si>
    <t>MULT</t>
  </si>
  <si>
    <t>1POS</t>
  </si>
  <si>
    <t>FGimp1</t>
  </si>
  <si>
    <t>FTimp1</t>
  </si>
  <si>
    <t>BASE</t>
  </si>
  <si>
    <t>POOL</t>
  </si>
  <si>
    <t>FGimp2</t>
  </si>
  <si>
    <t>FTimp2</t>
  </si>
  <si>
    <t>Nikola Jokic</t>
  </si>
  <si>
    <t>Shai Gilgeous-Alexander</t>
  </si>
  <si>
    <t>Victor Wembanyama</t>
  </si>
  <si>
    <t>Tyrese Maxey</t>
  </si>
  <si>
    <t>Luka Doncic</t>
  </si>
  <si>
    <t>Donovan Mitchell</t>
  </si>
  <si>
    <t>Kawhi Leonard</t>
  </si>
  <si>
    <t>Stephen Curry</t>
  </si>
  <si>
    <t>Anthony Edwards</t>
  </si>
  <si>
    <t>Tyrese Haliburton</t>
  </si>
  <si>
    <t>Anthony Davis</t>
  </si>
  <si>
    <t>Karl-Anthony Towns</t>
  </si>
  <si>
    <t>Jayson Tatum</t>
  </si>
  <si>
    <t>Kevin Durant</t>
  </si>
  <si>
    <t>Cade Cunningham</t>
  </si>
  <si>
    <t>Scottie Barnes</t>
  </si>
  <si>
    <t>James Harden</t>
  </si>
  <si>
    <t>Jalen Johnson</t>
  </si>
  <si>
    <t>Jamal Murray</t>
  </si>
  <si>
    <t>Kyrie Irving</t>
  </si>
  <si>
    <t>Cooper Flagg</t>
  </si>
  <si>
    <t>LaMelo Ball</t>
  </si>
  <si>
    <t>Trey Murphy III</t>
  </si>
  <si>
    <t>Jalen Duren</t>
  </si>
  <si>
    <t>Amen Thompson</t>
  </si>
  <si>
    <t>Giannis Antetokounmpo</t>
  </si>
  <si>
    <t>Derrick White</t>
  </si>
  <si>
    <t>Evan Mobley</t>
  </si>
  <si>
    <t>Bam Adebayo</t>
  </si>
  <si>
    <t>OG Anunoby</t>
  </si>
  <si>
    <t>Devin Booker</t>
  </si>
  <si>
    <t>Lauri Markkanen</t>
  </si>
  <si>
    <t>Desmond Bane</t>
  </si>
  <si>
    <t>Austin Reaves</t>
  </si>
  <si>
    <t>Chet Holmgren</t>
  </si>
  <si>
    <t>Jarrett Allen</t>
  </si>
  <si>
    <t>Jalen Williams</t>
  </si>
  <si>
    <t>Dyson Daniels</t>
  </si>
  <si>
    <t>Domantas Sabonis</t>
  </si>
  <si>
    <t>Mikal Bridges</t>
  </si>
  <si>
    <t>Walker Kessler</t>
  </si>
  <si>
    <t>Damian Lillard</t>
  </si>
  <si>
    <t>Jalen Brunson</t>
  </si>
  <si>
    <t>Josh Giddey</t>
  </si>
  <si>
    <t>Franz Wagner</t>
  </si>
  <si>
    <t>Onyeka Okongwu</t>
  </si>
  <si>
    <t>Caleb Wilson</t>
  </si>
  <si>
    <t>VJ Edgecombe</t>
  </si>
  <si>
    <t>Kon Knueppel</t>
  </si>
  <si>
    <t>Jaden McDaniels</t>
  </si>
  <si>
    <t>John Collins</t>
  </si>
  <si>
    <t>Brandon Miller</t>
  </si>
  <si>
    <t>Tyler Herro</t>
  </si>
  <si>
    <t>Pascal Siakam</t>
  </si>
  <si>
    <t>Ivica Zubac</t>
  </si>
  <si>
    <t>LeBron James</t>
  </si>
  <si>
    <t>Alperen Sengun</t>
  </si>
  <si>
    <t>Josh Hart</t>
  </si>
  <si>
    <t>Darius Garland</t>
  </si>
  <si>
    <t>Ty Jerome</t>
  </si>
  <si>
    <t>Michael Porter Jr.</t>
  </si>
  <si>
    <t>Cameron Boozer</t>
  </si>
  <si>
    <t>Nickeil Alexander-Walker</t>
  </si>
  <si>
    <t>Rudy Gobert</t>
  </si>
  <si>
    <t>Naz Reid</t>
  </si>
  <si>
    <t>Donovan Clingan</t>
  </si>
  <si>
    <t>AJ Dybantsa</t>
  </si>
  <si>
    <t>Jaren Jackson Jr.</t>
  </si>
  <si>
    <t>Paul George</t>
  </si>
  <si>
    <t>De'Aaron Fox</t>
  </si>
  <si>
    <t>Joel Embiid</t>
  </si>
  <si>
    <t>Deni Avdija</t>
  </si>
  <si>
    <t>Immanuel Quickley</t>
  </si>
  <si>
    <t>Keegan Murray</t>
  </si>
  <si>
    <t>Jaylen Brown</t>
  </si>
  <si>
    <t>Fred VanVleet</t>
  </si>
  <si>
    <t>Andrew Wiggins</t>
  </si>
  <si>
    <t>Tobias Harris</t>
  </si>
  <si>
    <t>Brandin Podziemski</t>
  </si>
  <si>
    <t>Ausar Thompson</t>
  </si>
  <si>
    <t>Miles Bridges</t>
  </si>
  <si>
    <t>Cason Wallace</t>
  </si>
  <si>
    <t>Norman Powell</t>
  </si>
  <si>
    <t>Ayo Dosunmu</t>
  </si>
  <si>
    <t>Payton Pritchard</t>
  </si>
  <si>
    <t>Kel'el Ware</t>
  </si>
  <si>
    <t>Matas Buzelis</t>
  </si>
  <si>
    <t>Darryn Peterson</t>
  </si>
  <si>
    <t>Jakob Poeltl</t>
  </si>
  <si>
    <t>Darius Acuff Jr.</t>
  </si>
  <si>
    <t>Dejounte Murray</t>
  </si>
  <si>
    <t>Keyonte George</t>
  </si>
  <si>
    <t>Jalen Suggs</t>
  </si>
  <si>
    <t>Trae Young</t>
  </si>
  <si>
    <t>Dylan Harper</t>
  </si>
  <si>
    <t>Coby White</t>
  </si>
  <si>
    <t>DeMar DeRozan</t>
  </si>
  <si>
    <t>Cameron Johnson</t>
  </si>
  <si>
    <t>Alex Sarr</t>
  </si>
  <si>
    <t>Myles Turner</t>
  </si>
  <si>
    <t>Zach Edey</t>
  </si>
  <si>
    <t>CJ McCollum</t>
  </si>
  <si>
    <t>Peyton Watson</t>
  </si>
  <si>
    <t>Jabari Smith Jr.</t>
  </si>
  <si>
    <t>Toumani Camara</t>
  </si>
  <si>
    <t>Dereck Lively II</t>
  </si>
  <si>
    <t>Brandon Ingram</t>
  </si>
  <si>
    <t>Isaiah Hartenstein</t>
  </si>
  <si>
    <t>Zach LaVine</t>
  </si>
  <si>
    <t>Paolo Banchero</t>
  </si>
  <si>
    <t>Collin Gillespie</t>
  </si>
  <si>
    <t>Jalen Green</t>
  </si>
  <si>
    <t>Ryan Rollins</t>
  </si>
  <si>
    <t>Neemias Queta</t>
  </si>
  <si>
    <t>Derik Queen</t>
  </si>
  <si>
    <t>Zion Williamson</t>
  </si>
  <si>
    <t>Reed Sheppard</t>
  </si>
  <si>
    <t>Andrew Nembhard</t>
  </si>
  <si>
    <t>Cedric Coward</t>
  </si>
  <si>
    <t>Brook Lopez</t>
  </si>
  <si>
    <t>Dillon Brooks</t>
  </si>
  <si>
    <t>Nikola Vucevic</t>
  </si>
  <si>
    <t>Rui Hachimura</t>
  </si>
  <si>
    <t>Devin Vassell</t>
  </si>
  <si>
    <t>Nic Claxton</t>
  </si>
  <si>
    <t>Mitchell Robinson</t>
  </si>
  <si>
    <t>Ja Morant</t>
  </si>
  <si>
    <t>Julius Randle</t>
  </si>
  <si>
    <t>Daniel Gafford</t>
  </si>
  <si>
    <t>Kristaps Porzingis</t>
  </si>
  <si>
    <t>Quentin Grimes</t>
  </si>
  <si>
    <t>Christian Braun</t>
  </si>
  <si>
    <t>Egor Demin</t>
  </si>
  <si>
    <t>Keaton Wagler</t>
  </si>
  <si>
    <t>Aaron Nesmith</t>
  </si>
  <si>
    <t>Collin Sexton</t>
  </si>
  <si>
    <t>Max Christie</t>
  </si>
  <si>
    <t>Aaron Gordon</t>
  </si>
  <si>
    <t>Kevin Porter Jr.</t>
  </si>
  <si>
    <t>Kyshawn George</t>
  </si>
  <si>
    <t>Stephon Castle</t>
  </si>
  <si>
    <t>Wendell Carter Jr.</t>
  </si>
  <si>
    <t>Yaxel Lendeborg</t>
  </si>
  <si>
    <t>P.J. Washington Jr.</t>
  </si>
  <si>
    <t>Julian Champagnie</t>
  </si>
  <si>
    <t>Morez Johnson Jr.</t>
  </si>
  <si>
    <t>Draymond Green</t>
  </si>
  <si>
    <t>Saddiq Bey</t>
  </si>
  <si>
    <t>Al Horford</t>
  </si>
  <si>
    <t>Ace Bailey</t>
  </si>
  <si>
    <t>Day'Ron Sharpe</t>
  </si>
  <si>
    <t>Robert Williams III</t>
  </si>
  <si>
    <t>Matisse Thybulle</t>
  </si>
  <si>
    <t>Moussa Diabate</t>
  </si>
  <si>
    <t>De'Anthony Melton</t>
  </si>
  <si>
    <t>Bobby Portis Jr.</t>
  </si>
  <si>
    <t>Herbert Jones</t>
  </si>
  <si>
    <t>Tari Eason</t>
  </si>
  <si>
    <t>Mikel Brown Jr.</t>
  </si>
  <si>
    <t>Anthony Black</t>
  </si>
  <si>
    <t>Isaiah Joe</t>
  </si>
  <si>
    <t>Derrick Jones Jr.</t>
  </si>
  <si>
    <t>Davion Mitchell</t>
  </si>
  <si>
    <t>Jimmy Butler III</t>
  </si>
  <si>
    <t>Jrue Holiday</t>
  </si>
  <si>
    <t>Duncan Robinson</t>
  </si>
  <si>
    <t>Oso Ighodaro</t>
  </si>
  <si>
    <t>Kris Dunn</t>
  </si>
  <si>
    <t>Sam Hauser</t>
  </si>
  <si>
    <t>Kelly Oubre Jr.</t>
  </si>
  <si>
    <t>Grayson Allen</t>
  </si>
  <si>
    <t>Jake LaRavia</t>
  </si>
  <si>
    <t>RJ Barrett</t>
  </si>
  <si>
    <t>Kingston Flemings</t>
  </si>
  <si>
    <t>Jeremiah Fears</t>
  </si>
  <si>
    <t>Scotty Pippen Jr.</t>
  </si>
  <si>
    <t>Jalen Smith</t>
  </si>
  <si>
    <t>Jerami Grant</t>
  </si>
  <si>
    <t>Luguentz Dort</t>
  </si>
  <si>
    <t>Collin Murray-Boyles</t>
  </si>
  <si>
    <t>Royce O'Neale</t>
  </si>
  <si>
    <t>Yves Missi</t>
  </si>
  <si>
    <t>Kevin Huerter</t>
  </si>
  <si>
    <t>Tre Jones</t>
  </si>
  <si>
    <t>Jaime Jaquez Jr.</t>
  </si>
  <si>
    <t>De'Andre Hunter</t>
  </si>
  <si>
    <t>Kyle Filipowski</t>
  </si>
  <si>
    <t>Malik Monk</t>
  </si>
  <si>
    <t>Luke Kennard</t>
  </si>
  <si>
    <t>Jaylon Tyson</t>
  </si>
  <si>
    <t>Klay Thompson</t>
  </si>
  <si>
    <t>Ryan Kalkbrenner</t>
  </si>
  <si>
    <t>Jusuf Nurkic</t>
  </si>
  <si>
    <t>Santi Aldama</t>
  </si>
  <si>
    <t>Deandre Ayton</t>
  </si>
  <si>
    <t>Tim Hardaway Jr.</t>
  </si>
  <si>
    <t>Sam Merrill</t>
  </si>
  <si>
    <t>Bilal Coulibaly</t>
  </si>
  <si>
    <t>Isaiah Jackson</t>
  </si>
  <si>
    <t>Bradley Beal</t>
  </si>
  <si>
    <t>T.J. McConnell</t>
  </si>
  <si>
    <t>Naji Marshall</t>
  </si>
  <si>
    <t>Precious Achiuwa</t>
  </si>
  <si>
    <t>Paul Reed</t>
  </si>
  <si>
    <t>Obi Toppin</t>
  </si>
  <si>
    <t>Isaiah Stewart</t>
  </si>
  <si>
    <t>Keldon Johnson</t>
  </si>
  <si>
    <t>Anfernee Simons</t>
  </si>
  <si>
    <t>Ajay Mitchell</t>
  </si>
  <si>
    <t>Max Strus</t>
  </si>
  <si>
    <t>Jonathan Kuminga</t>
  </si>
  <si>
    <t>Bennedict Mathurin</t>
  </si>
  <si>
    <t>Danny Wolf</t>
  </si>
  <si>
    <t>Jaylin Williams</t>
  </si>
  <si>
    <t>Baylor Scheierman</t>
  </si>
  <si>
    <t>Luke Kornet</t>
  </si>
  <si>
    <t>Jaylen Wells</t>
  </si>
  <si>
    <t>Brice Sensabaugh</t>
  </si>
  <si>
    <t>Jamal Shead</t>
  </si>
  <si>
    <t>Nate Ament</t>
  </si>
  <si>
    <t>Hannes Steinbach</t>
  </si>
  <si>
    <t>Andre Drummond</t>
  </si>
  <si>
    <t>Jose Alvarado</t>
  </si>
  <si>
    <t>Goga Bitadze</t>
  </si>
  <si>
    <t>Tristan da Silva</t>
  </si>
  <si>
    <t>Scoot Henderson</t>
  </si>
  <si>
    <t>Gui Santos</t>
  </si>
  <si>
    <t>Jared McCain</t>
  </si>
  <si>
    <t>Ryan Dunn</t>
  </si>
  <si>
    <t>Isaiah Collier</t>
  </si>
  <si>
    <t>Ronald Holland II</t>
  </si>
  <si>
    <t>Dennis Schroder</t>
  </si>
  <si>
    <t>Aaron Wiggins</t>
  </si>
  <si>
    <t>Marvin Bagley III</t>
  </si>
  <si>
    <t>Adem Bona</t>
  </si>
  <si>
    <t>Khaman Maluach</t>
  </si>
  <si>
    <t>Bub Carrington</t>
  </si>
  <si>
    <t>Kyle Kuzma</t>
  </si>
  <si>
    <t>Grant Williams</t>
  </si>
  <si>
    <t>Mike Conley</t>
  </si>
  <si>
    <t>Kyle Anderson</t>
  </si>
  <si>
    <t>Mouhamed Gueye</t>
  </si>
  <si>
    <t>Noah Clowney</t>
  </si>
  <si>
    <t>Jaxson Hayes</t>
  </si>
  <si>
    <t>Khris Middleton</t>
  </si>
  <si>
    <t>Jarred Vanderbilt</t>
  </si>
  <si>
    <t>Kevon Looney</t>
  </si>
  <si>
    <t>Patrick Williams</t>
  </si>
  <si>
    <t>Jarace Walker</t>
  </si>
  <si>
    <t>Tristan Vukcevic</t>
  </si>
  <si>
    <t>Ben Sheppard</t>
  </si>
  <si>
    <t>Zach Collins</t>
  </si>
  <si>
    <t>Jordan Poole</t>
  </si>
  <si>
    <t>Mark Williams</t>
  </si>
  <si>
    <t>Moses Moody</t>
  </si>
  <si>
    <t>Steven Adams</t>
  </si>
  <si>
    <t>Jeremy Sochan</t>
  </si>
  <si>
    <t>Clint Capela</t>
  </si>
  <si>
    <t>Nikola Jovic</t>
  </si>
  <si>
    <t>Thomas Bryant</t>
  </si>
  <si>
    <t>Trayce Jackson-Davis</t>
  </si>
  <si>
    <t>Jericho Sims</t>
  </si>
  <si>
    <t>Jonathan Mogbo</t>
  </si>
  <si>
    <t>Jonathan Isaac</t>
  </si>
  <si>
    <t>Shaedon Sharpe</t>
  </si>
  <si>
    <t>Player</t>
  </si>
  <si>
    <t>Team</t>
  </si>
  <si>
    <t>Pos</t>
  </si>
  <si>
    <t>Proj GP</t>
  </si>
  <si>
    <t>Proj MPG</t>
  </si>
  <si>
    <t>25-26 GP</t>
  </si>
  <si>
    <t>25-26 MPG</t>
  </si>
  <si>
    <t>MPG Δ</t>
  </si>
  <si>
    <t>Status</t>
  </si>
  <si>
    <t>Return</t>
  </si>
  <si>
    <t>Games Out</t>
  </si>
  <si>
    <t>Max GP</t>
  </si>
  <si>
    <t>Your GP</t>
  </si>
  <si>
    <t>Your MPG</t>
  </si>
  <si>
    <t>GP Used</t>
  </si>
  <si>
    <t>MPG Used</t>
  </si>
  <si>
    <t>Note</t>
  </si>
  <si>
    <t>OKC</t>
  </si>
  <si>
    <t>PG</t>
  </si>
  <si>
    <t>Day-To-Day</t>
  </si>
  <si>
    <t>2026-10-10: Gilgeous-Alexander (rest) won't play in Monday's preseason game against Atlanta, Clemente Almanza of USA Today reports.</t>
  </si>
  <si>
    <t>MIA</t>
  </si>
  <si>
    <t>PF,C</t>
  </si>
  <si>
    <t>2026-10-10: Antetokounmpo (rest) won't be available for Saturday's preseason game against the Timberwolves, Eric Nehm of The Athletic reports.</t>
  </si>
  <si>
    <t>LAL</t>
  </si>
  <si>
    <t>PG,SG</t>
  </si>
  <si>
    <t>MIN</t>
  </si>
  <si>
    <t>PG,SF,SG</t>
  </si>
  <si>
    <t>2026-10-10: Edwards (rest) is not available for Saturday's preseason game against Miami.</t>
  </si>
  <si>
    <t>BOS</t>
  </si>
  <si>
    <t>SF,PF</t>
  </si>
  <si>
    <t>DEN</t>
  </si>
  <si>
    <t>C</t>
  </si>
  <si>
    <t>CLE</t>
  </si>
  <si>
    <t>NYK</t>
  </si>
  <si>
    <t>PHI</t>
  </si>
  <si>
    <t>2026-10-10: Embiid (rest) is out for Saturday's exhibition against the Celtics, Tony Jones of The Athletic reports.</t>
  </si>
  <si>
    <t>GSW</t>
  </si>
  <si>
    <t>PHO</t>
  </si>
  <si>
    <t>2026-10-11: Booker is not playing in Saturday's preseason game against the Spurs due to rest, Hayden Cilley of ClutchPoints.com reports.</t>
  </si>
  <si>
    <t>HOU</t>
  </si>
  <si>
    <t>PF,SF,SG</t>
  </si>
  <si>
    <t>2026-10-09: Durant will not play in Sunday's preseason rematch against Dallas, Varun Shankar of the Houston Chronicle reports. The forward finished Friday's preseason contest with 15 points (7-12 FG, 1-1 3Pt, 0-1 FT), two assists and one block in 23 minutes.</t>
  </si>
  <si>
    <t>SAS</t>
  </si>
  <si>
    <t>2026-10-10: Brown (rest) won't suit up for Saturday's preseason game in Boston, Tony Jones of The Athletic reports.</t>
  </si>
  <si>
    <t>TOR</t>
  </si>
  <si>
    <t>2026-10-09: Leonard (not injury related) won't suit up for Saturday's exhibition against the Clippers, Tomer Azarly of ClutchPoints.com reports.</t>
  </si>
  <si>
    <t>DET</t>
  </si>
  <si>
    <t>2026-10-11: Cunningham (rest) didn't play in Saturday's 114-108 preseason loss to the Wizards.</t>
  </si>
  <si>
    <t>DAL</t>
  </si>
  <si>
    <t>ORL</t>
  </si>
  <si>
    <t>PF,SF</t>
  </si>
  <si>
    <t>2026-10-10: Ball (rest) has been ruled out for Saturday's preseason game against the Heat.</t>
  </si>
  <si>
    <t>POR</t>
  </si>
  <si>
    <t>UTH</t>
  </si>
  <si>
    <t>2026-10-07: Markkanen won't play in Tuesday's preseason game against the Nuggets due to neck soreness.</t>
  </si>
  <si>
    <t>NOR</t>
  </si>
  <si>
    <t>C,PF</t>
  </si>
  <si>
    <t>IND</t>
  </si>
  <si>
    <t>C,PF,SF</t>
  </si>
  <si>
    <t>WAS</t>
  </si>
  <si>
    <t>MIL</t>
  </si>
  <si>
    <t>CHI</t>
  </si>
  <si>
    <t>SG,SF</t>
  </si>
  <si>
    <t>2026-10-10: James (rest) won't be available for Saturday's preseason contest against the Celtics, Tony Jones of The Athletic reports.</t>
  </si>
  <si>
    <t>LAC</t>
  </si>
  <si>
    <t>SG,SF,PF</t>
  </si>
  <si>
    <t>Out</t>
  </si>
  <si>
    <t>2026-09-28: Ingram won't be ready for the start of the season due to a partially torn Achilles, per Joey Linn of SI.com.</t>
  </si>
  <si>
    <t>ATL</t>
  </si>
  <si>
    <t>CHA</t>
  </si>
  <si>
    <t>BKN</t>
  </si>
  <si>
    <t>2026-10-08: Porter will not play in Thursday's preseason game against Philadelphia due to left wrist soreness, Brian Lewis of the New York Post reports.</t>
  </si>
  <si>
    <t>2026-10-10: Williams (rest) won't play in Monday's preseason game against the Hawks, Clemente Almanza of USA Today reports.</t>
  </si>
  <si>
    <t>SF,SG</t>
  </si>
  <si>
    <t>2026-10-05: The Hornets announced Monday that White suffered a left calf strain during training camp and will not play during the preseason.</t>
  </si>
  <si>
    <t>SF</t>
  </si>
  <si>
    <t>SAC</t>
  </si>
  <si>
    <t>2026-10-10: Adebayo won't be available for Saturday's preseason game against the Timberwolves due to rest, Eric Nehm of The Athletic reports.</t>
  </si>
  <si>
    <t>PF</t>
  </si>
  <si>
    <t>2026-10-11: Sengun (rest) isn't expected to play in Sunday's preseason game against the Mavericks, Will Guillory of The Athletic reports.</t>
  </si>
  <si>
    <t>2026-10-11: Bane (rest) has been ruled out for Sunday's preseason game versus Cleveland, Jason Beede of the Orlando Sentinel reports.</t>
  </si>
  <si>
    <t>2026-10-11: Fox (undisclosed) has been ruled out for Saturday's preseason game against the Suns, Matt Guzman of SI.com reports.</t>
  </si>
  <si>
    <t>2026-10-10: Haliburton will not play in Saturday's preseason game against the Hawks due to a right ankle injury, Tony East of Forbes.com reports.</t>
  </si>
  <si>
    <t>C,PF,SF,SG</t>
  </si>
  <si>
    <t>2026-09-28: Hornets general manager Jeff Peterson said Monday that he "doesn't know" whether Knueppel (hamstring) will be available for the team's regular-season opener against the Nets, Owen Watterson of SI.com reports.</t>
  </si>
  <si>
    <t>2026-10-02: The Warriors hope to have Butler (knee) back early in 2027, per Keith Watkins of Yahoo Sports.</t>
  </si>
  <si>
    <t>PG,SG,SF</t>
  </si>
  <si>
    <t>MEM</t>
  </si>
  <si>
    <t>2026-10-10: Duren (reconditioning) won't suit up for Saturday's preseason game against the Wizards, Josh Robbins of The Athletic reports.</t>
  </si>
  <si>
    <t>2026-10-10: Sabonis (undisclosed) is out for Saturday's preseason game against the Warriors, Jason Anderson of The Sacramento Bee reports.</t>
  </si>
  <si>
    <t>2026-10-11: Bridges (ankle) won't play in Saturday's preseason game against the Spurs, Hayden Cilley of ClutchPoints.com reports.</t>
  </si>
  <si>
    <t>2026-10-06: Porzingis (undisclosed) remains out indefinitely, per Anthony Slater of ESPN.com.</t>
  </si>
  <si>
    <t>2026-10-08: Murray (toe) has been ruled out for Thursday's preseason game against the Heat, Andrew Lopez of Gulf Coast Sports &amp;amp; Entertainment Network reports.</t>
  </si>
  <si>
    <t>2026-10-10: Alexander-Walker (rest) won't suit up for Saturday's preseason game in Indiana, Brad Rowland of the Locked On Podcast Network reports.</t>
  </si>
  <si>
    <t>2026-10-10: Holmgren (quadriceps) won't play in Monday's preseason game against the Hawks, Clemente Almanza of USA Today reports.</t>
  </si>
  <si>
    <t>2026-10-10: Wiggins (rest) won't play in Saturday's preseason game against the Timberwolves, Eric Nehm of The Athletic reports.</t>
  </si>
  <si>
    <t>2026-10-10: Lakers head coach JJ Redick said Saturday that Sexton is day-to-day due to a lower-leg injury, Jovan Buha of The Athletic reports.</t>
  </si>
  <si>
    <t>2026-10-08: Brown (ankle) will miss Thursday's preseason game against Philadelphia, Brian Lewis of the New York Post reports.</t>
  </si>
  <si>
    <t>2026-10-10: Kuminga (rest) is not available against the Heat on Saturday.</t>
  </si>
  <si>
    <t>2026-10-10: Dosunmu (rest) has been ruled out for Saturday's preseason game against Miami.</t>
  </si>
  <si>
    <t>2026-10-05: Spurs head coach Mitch Johnson said they will not rush Tobias Harris (calf) back to the court, Jared Weiss of The Athletic reports.</t>
  </si>
  <si>
    <t>2026-10-10: McDaniels (rest) has been ruled out for Saturday's game against the Heat.</t>
  </si>
  <si>
    <t>2026-08-24: Sharpe suffered a torn meniscus in his knee and is expected to miss six months, per Shams Charania of ESPN.</t>
  </si>
  <si>
    <t>2026-10-11: Suggs is out for Sunday's preseason game against the Cavaliers, Jason Beede of the Orlando Sentinel reports.</t>
  </si>
  <si>
    <t>2026-10-07: Simons (right hamstring) isn't expected to play in either of Philadelphia's next two preseason games against Brooklyn and Boston, Dave McMenamin of ESPN reports.</t>
  </si>
  <si>
    <t>2026-10-11: VanVleet (rest) isn't expected to play in Sunday's preseason game against the Mavericks, Will Guillory of The Athletic reports.</t>
  </si>
  <si>
    <t>2026-10-10: Thompson (rest) is out for Saturday's preseason game against the Timberwolves, Eric Nehm of The Athletic reports.</t>
  </si>
  <si>
    <t>2026-10-10: Monk (rest) has been ruled out for Saturday's preseason game against the Warriors, Jason Anderson of The Sacramento Bee reports.</t>
  </si>
  <si>
    <t>2026-10-07: Beal (knee) isn't participating in five-on-five work and is doing individual player development work, Tomer Azarly of ClutchPoints.com reports. Azarly adds that the Clippers said Wednesday that Beal is continuing to have inflammation managed.</t>
  </si>
  <si>
    <t>2026-10-11: Allen will not play in Sunday's preseason game against the Bucks due to right knee soreness.</t>
  </si>
  <si>
    <t>2026-10-11: Black (ankle) is out for Sunday's preseason game against the Cavaliers, Jason Beede of the Orlando Sentinel reports.</t>
  </si>
  <si>
    <t>2026-10-05: Claxton tweaked his hamstring and will be re-evaluated in two weeks, Chuck Swirsky of the Bulls Radio Network of the Bulls Radio Network reports.</t>
  </si>
  <si>
    <t>2026-10-11: Kessler (finger) was a full participant in Sunday's practice, Law Murray of The Athletic reports.</t>
  </si>
  <si>
    <t>2026-10-07: Sensabaugh (hip) won't play in Tuesday's preseason game against the Nuggets.</t>
  </si>
  <si>
    <t>2026-10-10: Gobert (rest) has been ruled out for Saturday's game against the Heat.</t>
  </si>
  <si>
    <t>2026-10-11: Johnson (rest) won't play in Sunday's preseason game against the Rockets, Grant Afseth of DallasHoopsJournal.com reports.</t>
  </si>
  <si>
    <t>2026-09-11: Williams underwent surgery Thursday to repair a torn labrum in his left shoulder and will miss an extended period of time, Shams Charania of ESPN reports.</t>
  </si>
  <si>
    <t>2026-09-28: Moody has progressed to light on-court activities as he continues his recovery from a ruptured left patellar tendon, Evan Webeck of The Mercury News reports.</t>
  </si>
  <si>
    <t>2026-10-10: McCain (rest) has been ruled out for Monday's game against the Hawks, Clemente Almanza of USA Today reports.</t>
  </si>
  <si>
    <t>2026-10-10: Mitchell (rest) won't play in Monday's preseason game against the Hawks, Clemente Almanza of USA Today reports.</t>
  </si>
  <si>
    <t>2026-10-11: Aldama (knee) won't play in Sunday's preseason game against the Rockets, Grant Afseth of DallasHoopsJournal.com reports.</t>
  </si>
  <si>
    <t>2026-10-10: Hartenstein (ankle) won't play in Monday's preseason game against the Hawks, Clemente Almanza of USA Today reports.</t>
  </si>
  <si>
    <t>2026-10-09: Jones (hip) has been ruled out for Friday's preseason game against the Grizzlies, K.C. Johnson of Chicago Sports Network reports.</t>
  </si>
  <si>
    <t>2026-10-07: Nurkic will miss at least the next four weeks due to a partial plantar plate tear of second toe in right foot, Chris Haynes of NBA TV reports.</t>
  </si>
  <si>
    <t>2026-10-10: Jazz head coach Will Hardy said Saturday that Filipowski is progressing well and doing the necessary steps to get back on the court, but the big man doesn't have a return timeline, Shreyas Laddha of The Salt Lake Tribune reports.</t>
  </si>
  <si>
    <t>2026-10-11: Lively (foot) won't play in Sunday's preseason game against the Rockets, Grant Afseth of DallasHoopsJournal.com reports.</t>
  </si>
  <si>
    <t>2026-10-10: Mitchell (rest) won't suit up for Saturday's exhibition against the Timberwolves, Eric Nehm of The Athletic reports.</t>
  </si>
  <si>
    <t>2026-10-08: Sharpe has been ruled out for Thursday's preseason matchup against Philadelphia due to left shoulder soreness, Brian Lewis of the New York Post reports.</t>
  </si>
  <si>
    <t>2026-10-11: Middleton did not leave the bench during Saturday's 114-108 preseason win over the Pistons.</t>
  </si>
  <si>
    <t>2026-10-11: McConnell (undisclosed) did not play during Saturday's 119-117 preseason loss to the Hawks.</t>
  </si>
  <si>
    <t>2026-10-05: Strus has been diagnosed with a partially torn plantar fascia in his right foot and he will be re-evaluated in four weeks, Ohm Youngmisuk of ESPN.com reports.</t>
  </si>
  <si>
    <t>2026-10-10: Wallace (rest) won't play in Monday's preseason game against the Hawks, Clemente Almanza of USA Today reports.</t>
  </si>
  <si>
    <t>2026-10-11: Ament (ankle) is out for Sunday's preseason game against the Hornets, Justin Garcia of the Milwaukee Bucks Radio Networkreports.</t>
  </si>
  <si>
    <t>2026-10-01: The Wizards announced Thursday that Vukcevic (hip) will be re-evaluated in four weeks.</t>
  </si>
  <si>
    <t>2026-10-09: The Grizzlies announced Friday that Stewart (ankle) will miss at least two weeks.</t>
  </si>
  <si>
    <t>2026-09-25: Williams will miss the preseason after suffering a right hamstring injury, the Hornets announced Friday.</t>
  </si>
  <si>
    <t>2026-10-10: Williams (heel) won't play in Monday's preseason game against Atlanta, Clemente Almanza of USA Today reports.</t>
  </si>
  <si>
    <t>2026-10-09: Collins (toe) won't play in Friday's preseason game against the Grizzlies, K.C. Johnson of Chicago Sports Network reports.</t>
  </si>
  <si>
    <t>2026-10-10: Jackson-Davis (dental) will not play against the Clippers in Saturday's preseason game, Michael Grange of Sportsnet.ca reports.</t>
  </si>
  <si>
    <t>2026-10-07: Bona (left foot) isn't expected to play in either of Philadelphia's next two preseason games against Brooklyn and Boston, Dave McMenamin of ESPN.com reports.</t>
  </si>
  <si>
    <t>2026-07-19: Gueye underwent surgery Tuesday to repair a fractured left foot that he suffered during a workout last week, Brad Rowland of the Locked On Podcast Network reports.</t>
  </si>
  <si>
    <t>2026-10-11: Adams (rest) isn't expected to play in Sunday's preseason game against the Mavericks, Will Guillory of The Athletic reports.</t>
  </si>
  <si>
    <t>2026-10-11: Isaac (personal, knee) is out for Sunday's preseason game against the Cavaliers, Jason Beede of the Orlando Sentinel reports.</t>
  </si>
  <si>
    <t>Yellow cells are yours. Your GP / Your MPG replace the projection for that player. Return comes from ESPN; Games Out counts his team's games before it, and GP is capped at 82 − Games Out. MPG Δ is green/red when projected minutes moved 3+ from last season.</t>
  </si>
  <si>
    <t>Category</t>
  </si>
  <si>
    <t>Weight</t>
  </si>
  <si>
    <t>League</t>
  </si>
  <si>
    <t>Notes</t>
  </si>
  <si>
    <t>Slot</t>
  </si>
  <si>
    <t>Count</t>
  </si>
  <si>
    <t>DIFF (ADP − RK)</t>
  </si>
  <si>
    <t>Meaning</t>
  </si>
  <si>
    <t>Number of Teams</t>
  </si>
  <si>
    <t>Yahoo public prize leagues: 12</t>
  </si>
  <si>
    <t>≥ +24</t>
  </si>
  <si>
    <t>Steal (&gt;2 rounds)</t>
  </si>
  <si>
    <t>Players Drafted</t>
  </si>
  <si>
    <t>teams × (starters + bench); IL excluded</t>
  </si>
  <si>
    <t>SG</t>
  </si>
  <si>
    <t>+12 to +23</t>
  </si>
  <si>
    <t>Potential steal (1–2 rounds)</t>
  </si>
  <si>
    <t>Replacement Rank</t>
  </si>
  <si>
    <t>first player left on waivers</t>
  </si>
  <si>
    <t>G</t>
  </si>
  <si>
    <t>−12 to −23</t>
  </si>
  <si>
    <t>Potential reach (1–2 rounds)</t>
  </si>
  <si>
    <t>Value Pool</t>
  </si>
  <si>
    <t>players the averages / stdevs are measured against</t>
  </si>
  <si>
    <t>≤ −24</t>
  </si>
  <si>
    <t>Reach (&gt;2 rounds)</t>
  </si>
  <si>
    <t>Games Played Projection</t>
  </si>
  <si>
    <t>Yes</t>
  </si>
  <si>
    <t>"Yes" = projected GP, "No" = Flat GP for everyone</t>
  </si>
  <si>
    <t>F</t>
  </si>
  <si>
    <t>Flat GP</t>
  </si>
  <si>
    <t>used when Games Played Projection is No</t>
  </si>
  <si>
    <t>Util</t>
  </si>
  <si>
    <t>Boost or Bust</t>
  </si>
  <si>
    <t>ON</t>
  </si>
  <si>
    <t>"ON" / "OFF" — your ADJ marks on The List</t>
  </si>
  <si>
    <t>BN</t>
  </si>
  <si>
    <t>IL</t>
  </si>
  <si>
    <t>1 = counts, 0 = punt, or any weight in between.</t>
  </si>
  <si>
    <t>+ + +</t>
  </si>
  <si>
    <t>Multiplies every counting stat and attempt; FG% / FT% are unchanged.</t>
  </si>
  <si>
    <t>TO is scored in reverse automatically.</t>
  </si>
  <si>
    <t>+ +</t>
  </si>
  <si>
    <t>Max games played: 82 per slot</t>
  </si>
  <si>
    <t>+</t>
  </si>
  <si>
    <t>-</t>
  </si>
  <si>
    <t>- -</t>
  </si>
  <si>
    <t>- - -</t>
  </si>
  <si>
    <t>FGA (est.)</t>
  </si>
  <si>
    <t>FTA (est.)</t>
  </si>
  <si>
    <t>FTr source</t>
  </si>
  <si>
    <t>Yahoo ADP</t>
  </si>
  <si>
    <t>ESPN ADP</t>
  </si>
  <si>
    <t>2025-26 (1321 FGA)</t>
  </si>
  <si>
    <t>2025-26 (598 FGA)</t>
  </si>
  <si>
    <t>2025-26 (1457 FGA)</t>
  </si>
  <si>
    <t>2025-26 (1231 FGA)</t>
  </si>
  <si>
    <t>2025-26 (287 FGA)</t>
  </si>
  <si>
    <t>2025-26 (1132 FGA)</t>
  </si>
  <si>
    <t>2025-26 (1403 FGA)</t>
  </si>
  <si>
    <t>2025-26 (1475 FGA)</t>
  </si>
  <si>
    <t>2025-26 (697 FGA)</t>
  </si>
  <si>
    <t>2025-26 (799 FGA)</t>
  </si>
  <si>
    <t>2025-26 (1198 FGA)</t>
  </si>
  <si>
    <t>2025-26 (1501 FGA)</t>
  </si>
  <si>
    <t>2025-26 (1376 FGA)</t>
  </si>
  <si>
    <t>2025-26 (1080 FGA)</t>
  </si>
  <si>
    <t>2025-26 (1543 FGA)</t>
  </si>
  <si>
    <t>2025-26 (1258 FGA)</t>
  </si>
  <si>
    <t>2025-26 (1189 FGA)</t>
  </si>
  <si>
    <t>PG median</t>
  </si>
  <si>
    <t>2025-26 (1152 FGA)</t>
  </si>
  <si>
    <t>2025-26 (1194 FGA)</t>
  </si>
  <si>
    <t>2025-26 (762 FGA)</t>
  </si>
  <si>
    <t>2025-26 (1244 FGA)</t>
  </si>
  <si>
    <t>2025-26 (1360 FGA)</t>
  </si>
  <si>
    <t>2025-26 (1064 FGA)</t>
  </si>
  <si>
    <t>2025-26 (507 FGA)</t>
  </si>
  <si>
    <t>2025-26 (805 FGA)</t>
  </si>
  <si>
    <t>2025-26 (807 FGA)</t>
  </si>
  <si>
    <t>2025-26 (1155 FGA)</t>
  </si>
  <si>
    <t>2025-26 (334 FGA)</t>
  </si>
  <si>
    <t>2025-26 (515 FGA)</t>
  </si>
  <si>
    <t>2025-26 (895 FGA)</t>
  </si>
  <si>
    <t>2025-26 (919 FGA)</t>
  </si>
  <si>
    <t>2025-26 (1288 FGA)</t>
  </si>
  <si>
    <t>2025-26 (1228 FGA)</t>
  </si>
  <si>
    <t>2025-26 (177 FGA)</t>
  </si>
  <si>
    <t>2025-26 (1032 FGA)</t>
  </si>
  <si>
    <t>2025-26 (1044 FGA)</t>
  </si>
  <si>
    <t>2025-26 (958 FGA)</t>
  </si>
  <si>
    <t>2025-26 (322 FGA)</t>
  </si>
  <si>
    <t>2025-26 (1123 FGA)</t>
  </si>
  <si>
    <t>2025-26 (446 FGA)</t>
  </si>
  <si>
    <t>2025-26 (512 FGA)</t>
  </si>
  <si>
    <t>2025-26 (719 FGA)</t>
  </si>
  <si>
    <t>2025-26 (623 FGA)</t>
  </si>
  <si>
    <t>2025-26 (881 FGA)</t>
  </si>
  <si>
    <t>2025-26 (1050 FGA)</t>
  </si>
  <si>
    <t>2025-26 (672 FGA)</t>
  </si>
  <si>
    <t>SF median</t>
  </si>
  <si>
    <t>2025-26 (547 FGA)</t>
  </si>
  <si>
    <t>2025-26 (816 FGA)</t>
  </si>
  <si>
    <t>2025-26 (1145 FGA)</t>
  </si>
  <si>
    <t>2025-26 (1207 FGA)</t>
  </si>
  <si>
    <t>2025-26 (1205 FGA)</t>
  </si>
  <si>
    <t>2025-26 (1047 FGA)</t>
  </si>
  <si>
    <t>2025-26 (513 FGA)</t>
  </si>
  <si>
    <t>2025-26 (1154 FGA)</t>
  </si>
  <si>
    <t>2025-26 (859 FGA)</t>
  </si>
  <si>
    <t>2025-26 (1084 FGA)</t>
  </si>
  <si>
    <t>2025-26 (462 FGA)</t>
  </si>
  <si>
    <t>2025-26 (717 FGA)</t>
  </si>
  <si>
    <t>PF median</t>
  </si>
  <si>
    <t>2025-26 (803 FGA)</t>
  </si>
  <si>
    <t>2025-26 (221 FGA)</t>
  </si>
  <si>
    <t>2025-26 (1042 FGA)</t>
  </si>
  <si>
    <t>2025-26 (215 FGA)</t>
  </si>
  <si>
    <t>2025-26 (959 FGA)</t>
  </si>
  <si>
    <t>2025-26 (388 FGA)</t>
  </si>
  <si>
    <t>2025-26 (1108 FGA)</t>
  </si>
  <si>
    <t>2025-26 (817 FGA)</t>
  </si>
  <si>
    <t>2025-26 (182 FGA)</t>
  </si>
  <si>
    <t>2025-26 (804 FGA)</t>
  </si>
  <si>
    <t>2025-26 (1005 FGA)</t>
  </si>
  <si>
    <t>2025-26 (905 FGA)</t>
  </si>
  <si>
    <t>2025-26 (1091 FGA)</t>
  </si>
  <si>
    <t>2025-26 (1195 FGA)</t>
  </si>
  <si>
    <t>2025-26 (779 FGA)</t>
  </si>
  <si>
    <t>2025-26 (659 FGA)</t>
  </si>
  <si>
    <t>2025-26 (821 FGA)</t>
  </si>
  <si>
    <t>2025-26 (482 FGA)</t>
  </si>
  <si>
    <t>2025-26 (742 FGA)</t>
  </si>
  <si>
    <t>2025-26 (1030 FGA)</t>
  </si>
  <si>
    <t>2025-26 (963 FGA)</t>
  </si>
  <si>
    <t>2025-26 (528 FGA)</t>
  </si>
  <si>
    <t>2025-26 (656 FGA)</t>
  </si>
  <si>
    <t>2025-26 (398 FGA)</t>
  </si>
  <si>
    <t>2025-26 (871 FGA)</t>
  </si>
  <si>
    <t>2025-26 (339 FGA)</t>
  </si>
  <si>
    <t>2025-26 (501 FGA)</t>
  </si>
  <si>
    <t>2025-26 (730 FGA)</t>
  </si>
  <si>
    <t>2025-26 (747 FGA)</t>
  </si>
  <si>
    <t>2025-26 (860 FGA)</t>
  </si>
  <si>
    <t>2025-26 (648 FGA)</t>
  </si>
  <si>
    <t>2025-26 (866 FGA)</t>
  </si>
  <si>
    <t>2025-26 (755 FGA)</t>
  </si>
  <si>
    <t>2025-26 (475 FGA)</t>
  </si>
  <si>
    <t>2025-26 (677 FGA)</t>
  </si>
  <si>
    <t>2025-26 (974 FGA)</t>
  </si>
  <si>
    <t>2025-26 (809 FGA)</t>
  </si>
  <si>
    <t>2025-26 (967 FGA)</t>
  </si>
  <si>
    <t>2025-26 (892 FGA)</t>
  </si>
  <si>
    <t>2025-26 (868 FGA)</t>
  </si>
  <si>
    <t>2025-26 (658 FGA)</t>
  </si>
  <si>
    <t>2025-26 (649 FGA)</t>
  </si>
  <si>
    <t>2025-26 (753 FGA)</t>
  </si>
  <si>
    <t>2025-26 (915 FGA)</t>
  </si>
  <si>
    <t>2025-26 (1006 FGA)</t>
  </si>
  <si>
    <t>2025-26 (300 FGA)</t>
  </si>
  <si>
    <t>2025-26 (581 FGA)</t>
  </si>
  <si>
    <t>2025-26 (597 FGA)</t>
  </si>
  <si>
    <t>2025-26 (728 FGA)</t>
  </si>
  <si>
    <t>2025-26 (632 FGA)</t>
  </si>
  <si>
    <t>2025-26 (48 FGA)</t>
  </si>
  <si>
    <t>2025-26 (750 FGA)</t>
  </si>
  <si>
    <t>2025-26 (646 FGA)</t>
  </si>
  <si>
    <t>2025-26 (577 FGA)</t>
  </si>
  <si>
    <t>2025-26 (592 FGA)</t>
  </si>
  <si>
    <t>2025-26 (725 FGA)</t>
  </si>
  <si>
    <t>2025-26 (389 FGA)</t>
  </si>
  <si>
    <t>2025-26 (310 FGA)</t>
  </si>
  <si>
    <t>2025-26 (667 FGA)</t>
  </si>
  <si>
    <t>2025-26 (449 FGA)</t>
  </si>
  <si>
    <t>2025-26 (342 FGA)</t>
  </si>
  <si>
    <t>2025-26 (777 FGA)</t>
  </si>
  <si>
    <t>2025-26 (772 FGA)</t>
  </si>
  <si>
    <t>2025-26 (689 FGA)</t>
  </si>
  <si>
    <t>2025-26 (583 FGA)</t>
  </si>
  <si>
    <t>2025-26 (698 FGA)</t>
  </si>
  <si>
    <t>2025-26 (544 FGA)</t>
  </si>
  <si>
    <t>2025-26 (98 FGA)</t>
  </si>
  <si>
    <t>2025-26 (37 FGA)</t>
  </si>
  <si>
    <t>2025-26 (857 FGA)</t>
  </si>
  <si>
    <t>2025-26 (748 FGA)</t>
  </si>
  <si>
    <t>2025-26 (491 FGA)</t>
  </si>
  <si>
    <t>2025-26 (514 FGA)</t>
  </si>
  <si>
    <t>2025-26 (797 FGA)</t>
  </si>
  <si>
    <t>2025-26 (444 FGA)</t>
  </si>
  <si>
    <t>2025-26 (670 FGA)</t>
  </si>
  <si>
    <t>2025-26 (891 FGA)</t>
  </si>
  <si>
    <t>C median</t>
  </si>
  <si>
    <t>2025-26 (438 FGA)</t>
  </si>
  <si>
    <t>2025-26 (709 FGA)</t>
  </si>
  <si>
    <t>2025-26 (557 FGA)</t>
  </si>
  <si>
    <t>2025-26 (480 FGA)</t>
  </si>
  <si>
    <t>2025-26 (946 FGA)</t>
  </si>
  <si>
    <t>2025-26 (637 FGA)</t>
  </si>
  <si>
    <t>2025-26 (543 FGA)</t>
  </si>
  <si>
    <t>2025-26 (684 FGA)</t>
  </si>
  <si>
    <t>2025-26 (601 FGA)</t>
  </si>
  <si>
    <t>2025-26 (590 FGA)</t>
  </si>
  <si>
    <t>2025-26 (404 FGA)</t>
  </si>
  <si>
    <t>2025-26 (476 FGA)</t>
  </si>
  <si>
    <t>2025-26 (842 FGA)</t>
  </si>
  <si>
    <t>2025-26 (379 FGA)</t>
  </si>
  <si>
    <t>2025-26 (199 FGA)</t>
  </si>
  <si>
    <t>2025-26 (296 FGA)</t>
  </si>
  <si>
    <t>2025-26 (484 FGA)</t>
  </si>
  <si>
    <t>2025-26 (96 FGA)</t>
  </si>
  <si>
    <t>2025-26 (629 FGA)</t>
  </si>
  <si>
    <t>2025-26 (617 FGA)</t>
  </si>
  <si>
    <t>2025-26 (358 FGA)</t>
  </si>
  <si>
    <t>2025-26 (541 FGA)</t>
  </si>
  <si>
    <t>2025-26 (542 FGA)</t>
  </si>
  <si>
    <t>2025-26 (440 FGA)</t>
  </si>
  <si>
    <t>2025-26 (657 FGA)</t>
  </si>
  <si>
    <t>2025-26 (316 FGA)</t>
  </si>
  <si>
    <t>2025-26 (596 FGA)</t>
  </si>
  <si>
    <t>2025-26 (580 FGA)</t>
  </si>
  <si>
    <t>2025-26 (499 FGA)</t>
  </si>
  <si>
    <t>2025-26 (524 FGA)</t>
  </si>
  <si>
    <t>2025-26 (18 FGA)</t>
  </si>
  <si>
    <t>2025-26 (533 FGA)</t>
  </si>
  <si>
    <t>2025-26 (356 FGA)</t>
  </si>
  <si>
    <t>2025-26 (478 FGA)</t>
  </si>
  <si>
    <t>2025-26 (540 FGA)</t>
  </si>
  <si>
    <t>2025-26 (450 FGA)</t>
  </si>
  <si>
    <t>2025-26 (536 FGA)</t>
  </si>
  <si>
    <t>2025-26 (106 FGA)</t>
  </si>
  <si>
    <t>2025-26 (584 FGA)</t>
  </si>
  <si>
    <t>2025-26 (324 FGA)</t>
  </si>
  <si>
    <t>2025-26 (631 FGA)</t>
  </si>
  <si>
    <t>2025-26 (741 FGA)</t>
  </si>
  <si>
    <t>2025-26 (411 FGA)</t>
  </si>
  <si>
    <t>2025-26 (294 FGA)</t>
  </si>
  <si>
    <t>2025-26 (625 FGA)</t>
  </si>
  <si>
    <t>2025-26 (443 FGA)</t>
  </si>
  <si>
    <t>2025-26 (523 FGA)</t>
  </si>
  <si>
    <t>2025-26 (317 FGA)</t>
  </si>
  <si>
    <t>2025-26 (402 FGA)</t>
  </si>
  <si>
    <t>2025-26 (314 FGA)</t>
  </si>
  <si>
    <t>2025-26 (620 FGA)</t>
  </si>
  <si>
    <t>2025-26 (363 FGA)</t>
  </si>
  <si>
    <t>2025-26 (237 FGA)</t>
  </si>
  <si>
    <t>2025-26 (733 FGA)</t>
  </si>
  <si>
    <t>2025-26 (460 FGA)</t>
  </si>
  <si>
    <t>2025-26 (366 FGA)</t>
  </si>
  <si>
    <t>2025-26 (504 FGA)</t>
  </si>
  <si>
    <t>2025-26 (333 FGA)</t>
  </si>
  <si>
    <t>2025-26 (129 FGA)</t>
  </si>
  <si>
    <t>2025-26 (206 FGA)</t>
  </si>
  <si>
    <t>2025-26 (291 FGA)</t>
  </si>
  <si>
    <t>2025-26 (183 FGA)</t>
  </si>
  <si>
    <t>2025-26 (352 FGA)</t>
  </si>
  <si>
    <t>2025-26 (250 FGA)</t>
  </si>
  <si>
    <t>2025-26 (362 FGA)</t>
  </si>
  <si>
    <t>2025-26 (64 FGA)</t>
  </si>
  <si>
    <t>2025-26 (337 FGA)</t>
  </si>
  <si>
    <t>2025-26 (134 FGA)</t>
  </si>
  <si>
    <t>2025-26 (477 FGA)</t>
  </si>
  <si>
    <t>2025-26 (262 FGA)</t>
  </si>
  <si>
    <t>2025-26 (387 FGA)</t>
  </si>
  <si>
    <t>2025-26 (105 FGA)</t>
  </si>
  <si>
    <t>2025-26 (124 FGA)</t>
  </si>
  <si>
    <t>2025-26 (202 FGA)</t>
  </si>
  <si>
    <t>2025-26 (272 FGA)</t>
  </si>
  <si>
    <t>2025-26 (225 FGA)</t>
  </si>
  <si>
    <t>2025-26 (267 FGA)</t>
  </si>
  <si>
    <t>2025-26 (227 FGA)</t>
  </si>
  <si>
    <t>2025-26 (220 FGA)</t>
  </si>
  <si>
    <t>2025-26 (240 FGA)</t>
  </si>
  <si>
    <t>2025-26 (290 FGA)</t>
  </si>
  <si>
    <t>2025-26 (60 FGA)</t>
  </si>
  <si>
    <t>2025-26 (185 FGA)</t>
  </si>
  <si>
    <t>2025-26 (139 FGA)</t>
  </si>
  <si>
    <t>2025-26 (109 FGA)</t>
  </si>
  <si>
    <t>2025-26 (44 FGA)</t>
  </si>
  <si>
    <t>All mean</t>
  </si>
  <si>
    <t>All stdev</t>
  </si>
  <si>
    <t>Pool mean</t>
  </si>
  <si>
    <t>Pool stdev</t>
  </si>
  <si>
    <t>Shooting average (makes ÷ attempts)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</si>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</sst>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+0;\-0;0"/>
    <numFmt numFmtId="165" formatCode="0.0"/>
    <numFmt numFmtId="166" formatCode=".000"/>
    <numFmt numFmtId="167" formatCode="yyyy\-mm\-dd"/>
    <numFmt numFmtId="168" formatCode="mmm\ d"/>
    <numFmt numFmtId="169" formatCode="\+0.0;\-0.0;0.0"/>
    <numFmt numFmtId="170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63BE7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869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69" fontId="0" fillId="0" borderId="0" xfId="0" applyNumberFormat="1"/>
    <xf numFmtId="168" fontId="0" fillId="3" borderId="0" xfId="0" applyNumberFormat="1" applyFill="1"/>
    <xf numFmtId="0" fontId="2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70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6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63BE7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66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outlineLevelCol="1" x14ac:dyDescent="0.2"/>
  <cols>
    <col min="1" max="1" width="7" customWidth="1"/>
    <col min="2" max="2" width="26" customWidth="1"/>
    <col min="3" max="3" width="10" customWidth="1"/>
    <col min="4" max="10" width="7" customWidth="1"/>
    <col min="12" max="26" width="7" customWidth="1"/>
    <col min="28" max="36" width="7" customWidth="1"/>
    <col min="38" max="46" width="7" hidden="1" customWidth="1" outlineLevel="1"/>
    <col min="47" max="47" width="8.83203125" collapsed="1"/>
  </cols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</row>
    <row r="2" spans="1:46" x14ac:dyDescent="0.2">
      <c r="A2">
        <f t="shared" ref="A2:A65" si="0">RANK(H2,$H$2:$H$266)</f>
        <v>1</v>
      </c>
      <c r="B2" t="s">
        <v>43</v>
      </c>
      <c r="C2" t="str">
        <f>INDEX('Player Data'!$C:$C,AL2)</f>
        <v>C</v>
      </c>
      <c r="D2">
        <f t="shared" ref="D2:D65" si="1">SUMPRODUCT(($AN$2:$AN$266=AN2)*($H$2:$H$266&gt;H2))+1</f>
        <v>1</v>
      </c>
      <c r="E2" t="str">
        <f>INDEX('Player Data'!$B:$B,AL2)</f>
        <v>DEN</v>
      </c>
      <c r="F2" s="2"/>
      <c r="G2" s="3">
        <f>Settings!$B$2*AB2+Settings!$B$3*AC2+Settings!$B$4*AD2+Settings!$B$5*AE2+Settings!$B$6*AF2+Settings!$B$7*AG2+Settings!$B$8*AH2+Settings!$B$9*AI2+Settings!$B$10*AJ2</f>
        <v>10.7676529383527</v>
      </c>
      <c r="H2" s="3">
        <f>G2-LARGE($G$2:$G$266,Settings!$F$4)</f>
        <v>13.983917704799865</v>
      </c>
      <c r="I2">
        <f>IF(INDEX('Player Data'!$R:$R,AL2)="","",INDEX('Player Data'!$R:$R,AL2))</f>
        <v>2</v>
      </c>
      <c r="J2" s="4">
        <f t="shared" ref="J2:J65" si="2">IF(I2="","",I2-A2)</f>
        <v>1</v>
      </c>
      <c r="L2" s="5">
        <f>IF(Settings!$F$7="Yes",INDEX('Minutes &amp; Health'!$O:$O,AL2),Settings!$F$8)</f>
        <v>75</v>
      </c>
      <c r="M2" s="6">
        <f>INDEX('Minutes &amp; Health'!$P:$P,AL2)</f>
        <v>36.200000000000003</v>
      </c>
      <c r="N2" s="5">
        <f>INDEX('Player Data'!$F:$F,AL2)/INDEX('Player Data'!$E:$E,AL2)*M2*L2*AM2</f>
        <v>2045.7395143487861</v>
      </c>
      <c r="O2" s="5">
        <f>INDEX('Player Data'!$G:$G,AL2)/INDEX('Player Data'!$E:$E,AL2)*M2*L2*AM2</f>
        <v>931.9701986754967</v>
      </c>
      <c r="P2" s="5">
        <f>INDEX('Player Data'!$H:$H,AL2)/INDEX('Player Data'!$E:$E,AL2)*M2*L2*AM2</f>
        <v>721.20309050772642</v>
      </c>
      <c r="Q2" s="5">
        <f>INDEX('Player Data'!$I:$I,AL2)/INDEX('Player Data'!$E:$E,AL2)*M2*L2*AM2</f>
        <v>110.87748344370863</v>
      </c>
      <c r="R2" s="5">
        <f>INDEX('Player Data'!$J:$J,AL2)/INDEX('Player Data'!$E:$E,AL2)*M2*L2*AM2</f>
        <v>60.932671081677711</v>
      </c>
      <c r="S2" s="5">
        <f>INDEX('Player Data'!$K:$K,AL2)/INDEX('Player Data'!$E:$E,AL2)*M2*L2*AM2</f>
        <v>124.86203090507728</v>
      </c>
      <c r="T2" s="5">
        <f>INDEX('Player Data'!$L:$L,AL2)/INDEX('Player Data'!$E:$E,AL2)*M2*L2*AM2</f>
        <v>247.72626931567333</v>
      </c>
      <c r="U2" s="7">
        <f>INDEX('Player Data'!$M:$M,AL2)</f>
        <v>0.56299999999999994</v>
      </c>
      <c r="V2" s="7">
        <f>INDEX('Player Data'!$N:$N,AL2)</f>
        <v>0.81899999999999995</v>
      </c>
      <c r="W2" s="5">
        <f t="shared" ref="W2:W65" si="3">X2*U2</f>
        <v>740.03398289183224</v>
      </c>
      <c r="X2" s="5">
        <f>INDEX('Player Data'!$O:$O,AL2)/INDEX('Player Data'!$E:$E,AL2)*M2*L2*AM2</f>
        <v>1314.4475717439295</v>
      </c>
      <c r="Y2" s="5">
        <f t="shared" ref="Y2:Y65" si="4">Z2*V2</f>
        <v>440.87194867549664</v>
      </c>
      <c r="Z2" s="5">
        <f>INDEX('Player Data'!$P:$P,AL2)/INDEX('Player Data'!$E:$E,AL2)*M2*L2*AM2</f>
        <v>538.30518763796908</v>
      </c>
      <c r="AB2" s="3">
        <f>(N2-Pool!$D$2)/Pool!$E$2</f>
        <v>1.9876450990079013</v>
      </c>
      <c r="AC2" s="3">
        <f>(O2-Pool!$D$3)/Pool!$E$3</f>
        <v>2.9250704335242652</v>
      </c>
      <c r="AD2" s="3">
        <f>(P2-Pool!$D$4)/Pool!$E$4</f>
        <v>2.9835776680272663</v>
      </c>
      <c r="AE2" s="3">
        <f>(Q2-Pool!$D$5)/Pool!$E$5</f>
        <v>1.6182583502681107</v>
      </c>
      <c r="AF2" s="3">
        <f>(R2-Pool!$D$6)/Pool!$E$6</f>
        <v>0.3067301891889197</v>
      </c>
      <c r="AG2" s="3">
        <f>(S2-Pool!$D$7)/Pool!$E$7</f>
        <v>2.041524062869092E-2</v>
      </c>
      <c r="AH2" s="3">
        <f>(AS2-Pool!$D$8)/Pool!$E$8</f>
        <v>2.2688516674414188</v>
      </c>
      <c r="AI2" s="3">
        <f>(AT2-Pool!$D$9)/Pool!$E$9</f>
        <v>0.45508798654560484</v>
      </c>
      <c r="AJ2" s="3">
        <f>-(T2-Pool!$D$10)/Pool!$E$10</f>
        <v>-1.7979836962794764</v>
      </c>
      <c r="AL2">
        <f>MATCH(B2,'Player Data'!$A:$A,0)</f>
        <v>7</v>
      </c>
      <c r="AM2" s="3">
        <f>1+IF(Settings!$F$10="ON",IFERROR(VLOOKUP(TRIM(F2),Settings!$D$12:$F$17,3,FALSE),0),0)</f>
        <v>1</v>
      </c>
      <c r="AN2" t="str">
        <f t="shared" ref="AN2:AN65" si="5">IFERROR(LEFT(C2,FIND(",",C2)-1),C2)</f>
        <v>C</v>
      </c>
      <c r="AO2" s="6">
        <f>X2*(U2-Pool!$B$12)</f>
        <v>108.30158151696386</v>
      </c>
      <c r="AP2" s="6">
        <f>Z2*(V2-Pool!$B$13)</f>
        <v>15.557204434372577</v>
      </c>
      <c r="AQ2" s="3">
        <f>Settings!$B$2*(N2-Pool!$B$2)/Pool!$C$2+Settings!$B$3*(O2-Pool!$B$3)/Pool!$C$3+Settings!$B$4*(P2-Pool!$B$4)/Pool!$C$4+Settings!$B$5*(Q2-Pool!$B$5)/Pool!$C$5+Settings!$B$6*(R2-Pool!$B$6)/Pool!$C$6+Settings!$B$7*(S2-Pool!$B$7)/Pool!$C$7+Settings!$B$8*(AO2-Pool!$B$8)/Pool!$C$8+Settings!$B$9*(AP2-Pool!$B$9)/Pool!$C$9+Settings!$B$10*-(T2-Pool!$B$10)/Pool!$C$10</f>
        <v>13.321661135018779</v>
      </c>
      <c r="AR2">
        <f>IF(RANK(AQ2,$AQ$2:$AQ$266)&lt;=Settings!$F$5,1,0)</f>
        <v>1</v>
      </c>
      <c r="AS2" s="6">
        <f>X2*(U2-Pool!$D$12)</f>
        <v>103.74462384445781</v>
      </c>
      <c r="AT2" s="6">
        <f>Z2*(V2-Pool!$D$13)</f>
        <v>10.153280561276528</v>
      </c>
    </row>
    <row r="3" spans="1:46" x14ac:dyDescent="0.2">
      <c r="A3">
        <f t="shared" si="0"/>
        <v>2</v>
      </c>
      <c r="B3" t="s">
        <v>44</v>
      </c>
      <c r="C3" t="str">
        <f>INDEX('Player Data'!$C:$C,AL3)</f>
        <v>PG</v>
      </c>
      <c r="D3">
        <f t="shared" si="1"/>
        <v>1</v>
      </c>
      <c r="E3" t="str">
        <f>INDEX('Player Data'!$B:$B,AL3)</f>
        <v>OKC</v>
      </c>
      <c r="F3" s="2"/>
      <c r="G3" s="3">
        <f>Settings!$B$2*AB3+Settings!$B$3*AC3+Settings!$B$4*AD3+Settings!$B$5*AE3+Settings!$B$6*AF3+Settings!$B$7*AG3+Settings!$B$8*AH3+Settings!$B$9*AI3+Settings!$B$10*AJ3</f>
        <v>10.116327975369092</v>
      </c>
      <c r="H3" s="3">
        <f>G3-LARGE($G$2:$G$266,Settings!$F$4)</f>
        <v>13.332592741816256</v>
      </c>
      <c r="I3">
        <f>IF(INDEX('Player Data'!$R:$R,AL3)="","",INDEX('Player Data'!$R:$R,AL3))</f>
        <v>4</v>
      </c>
      <c r="J3" s="4">
        <f t="shared" si="2"/>
        <v>2</v>
      </c>
      <c r="L3" s="5">
        <f>IF(Settings!$F$7="Yes",INDEX('Minutes &amp; Health'!$O:$O,AL3),Settings!$F$8)</f>
        <v>77</v>
      </c>
      <c r="M3" s="6">
        <f>INDEX('Minutes &amp; Health'!$P:$P,AL3)</f>
        <v>34.299999999999997</v>
      </c>
      <c r="N3" s="5">
        <f>INDEX('Player Data'!$F:$F,AL3)/INDEX('Player Data'!$E:$E,AL3)*M3*L3*AM3</f>
        <v>2421.0916698220367</v>
      </c>
      <c r="O3" s="5">
        <f>INDEX('Player Data'!$G:$G,AL3)/INDEX('Player Data'!$E:$E,AL3)*M3*L3*AM3</f>
        <v>350.01325255585004</v>
      </c>
      <c r="P3" s="5">
        <f>INDEX('Player Data'!$H:$H,AL3)/INDEX('Player Data'!$E:$E,AL3)*M3*L3*AM3</f>
        <v>484.01832639151837</v>
      </c>
      <c r="Q3" s="5">
        <f>INDEX('Player Data'!$I:$I,AL3)/INDEX('Player Data'!$E:$E,AL3)*M3*L3*AM3</f>
        <v>124.00469519121545</v>
      </c>
      <c r="R3" s="5">
        <f>INDEX('Player Data'!$J:$J,AL3)/INDEX('Player Data'!$E:$E,AL3)*M3*L3*AM3</f>
        <v>63.002385460052999</v>
      </c>
      <c r="S3" s="5">
        <f>INDEX('Player Data'!$K:$K,AL3)/INDEX('Player Data'!$E:$E,AL3)*M3*L3*AM3</f>
        <v>133.00503597122301</v>
      </c>
      <c r="T3" s="5">
        <f>INDEX('Player Data'!$L:$L,AL3)/INDEX('Player Data'!$E:$E,AL3)*M3*L3*AM3</f>
        <v>180.00681560015141</v>
      </c>
      <c r="U3" s="7">
        <f>INDEX('Player Data'!$M:$M,AL3)</f>
        <v>0.52800000000000002</v>
      </c>
      <c r="V3" s="7">
        <f>INDEX('Player Data'!$N:$N,AL3)</f>
        <v>0.88700000000000001</v>
      </c>
      <c r="W3" s="5">
        <f t="shared" si="3"/>
        <v>836.6476780007572</v>
      </c>
      <c r="X3" s="5">
        <f>INDEX('Player Data'!$O:$O,AL3)/INDEX('Player Data'!$E:$E,AL3)*M3*L3*AM3</f>
        <v>1584.5599962135552</v>
      </c>
      <c r="Y3" s="5">
        <f t="shared" si="4"/>
        <v>614.80297829231358</v>
      </c>
      <c r="Z3" s="5">
        <f>INDEX('Player Data'!$P:$P,AL3)/INDEX('Player Data'!$E:$E,AL3)*M3*L3*AM3</f>
        <v>693.12624384702769</v>
      </c>
      <c r="AB3" s="3">
        <f>(N3-Pool!$D$2)/Pool!$E$2</f>
        <v>2.912873580507505</v>
      </c>
      <c r="AC3" s="3">
        <f>(O3-Pool!$D$3)/Pool!$E$3</f>
        <v>-0.46221560061481787</v>
      </c>
      <c r="AD3" s="3">
        <f>(P3-Pool!$D$4)/Pool!$E$4</f>
        <v>1.3794193994278461</v>
      </c>
      <c r="AE3" s="3">
        <f>(Q3-Pool!$D$5)/Pool!$E$5</f>
        <v>2.1978007142613589</v>
      </c>
      <c r="AF3" s="3">
        <f>(R3-Pool!$D$6)/Pool!$E$6</f>
        <v>0.3666292254542729</v>
      </c>
      <c r="AG3" s="3">
        <f>(S3-Pool!$D$7)/Pool!$E$7</f>
        <v>0.13510386336049351</v>
      </c>
      <c r="AH3" s="3">
        <f>(AS3-Pool!$D$8)/Pool!$E$8</f>
        <v>1.5222110512233162</v>
      </c>
      <c r="AI3" s="3">
        <f>(AT3-Pool!$D$9)/Pool!$E$9</f>
        <v>2.698540857516301</v>
      </c>
      <c r="AJ3" s="3">
        <f>-(T3-Pool!$D$10)/Pool!$E$10</f>
        <v>-0.63403511576718252</v>
      </c>
      <c r="AL3">
        <f>MATCH(B3,'Player Data'!$A:$A,0)</f>
        <v>2</v>
      </c>
      <c r="AM3" s="3">
        <f>1+IF(Settings!$F$10="ON",IFERROR(VLOOKUP(TRIM(F3),Settings!$D$12:$F$17,3,FALSE),0),0)</f>
        <v>1</v>
      </c>
      <c r="AN3" t="str">
        <f t="shared" si="5"/>
        <v>PG</v>
      </c>
      <c r="AO3" s="6">
        <f>X3*(U3-Pool!$B$12)</f>
        <v>75.097416850020224</v>
      </c>
      <c r="AP3" s="6">
        <f>Z3*(V3-Pool!$B$13)</f>
        <v>67.164170607495635</v>
      </c>
      <c r="AQ3" s="3">
        <f>Settings!$B$2*(N3-Pool!$B$2)/Pool!$C$2+Settings!$B$3*(O3-Pool!$B$3)/Pool!$C$3+Settings!$B$4*(P3-Pool!$B$4)/Pool!$C$4+Settings!$B$5*(Q3-Pool!$B$5)/Pool!$C$5+Settings!$B$6*(R3-Pool!$B$6)/Pool!$C$6+Settings!$B$7*(S3-Pool!$B$7)/Pool!$C$7+Settings!$B$8*(AO3-Pool!$B$8)/Pool!$C$8+Settings!$B$9*(AP3-Pool!$B$9)/Pool!$C$9+Settings!$B$10*-(T3-Pool!$B$10)/Pool!$C$10</f>
        <v>12.769623837463271</v>
      </c>
      <c r="AR3">
        <f>IF(RANK(AQ3,$AQ$2:$AQ$266)&lt;=Settings!$F$5,1,0)</f>
        <v>1</v>
      </c>
      <c r="AS3" s="6">
        <f>X3*(U3-Pool!$D$12)</f>
        <v>69.604027088790389</v>
      </c>
      <c r="AT3" s="6">
        <f>Z3*(V3-Pool!$D$13)</f>
        <v>60.206033212183357</v>
      </c>
    </row>
    <row r="4" spans="1:46" x14ac:dyDescent="0.2">
      <c r="A4">
        <f t="shared" si="0"/>
        <v>3</v>
      </c>
      <c r="B4" t="s">
        <v>45</v>
      </c>
      <c r="C4" t="str">
        <f>INDEX('Player Data'!$C:$C,AL4)</f>
        <v>C</v>
      </c>
      <c r="D4">
        <f t="shared" si="1"/>
        <v>2</v>
      </c>
      <c r="E4" t="str">
        <f>INDEX('Player Data'!$B:$B,AL4)</f>
        <v>SAS</v>
      </c>
      <c r="F4" s="2"/>
      <c r="G4" s="3">
        <f>Settings!$B$2*AB4+Settings!$B$3*AC4+Settings!$B$4*AD4+Settings!$B$5*AE4+Settings!$B$6*AF4+Settings!$B$7*AG4+Settings!$B$8*AH4+Settings!$B$9*AI4+Settings!$B$10*AJ4</f>
        <v>9.2094555959393105</v>
      </c>
      <c r="H4" s="3">
        <f>G4-LARGE($G$2:$G$266,Settings!$F$4)</f>
        <v>12.425720362386475</v>
      </c>
      <c r="I4">
        <f>IF(INDEX('Player Data'!$R:$R,AL4)="","",INDEX('Player Data'!$R:$R,AL4))</f>
        <v>1</v>
      </c>
      <c r="J4" s="4">
        <f t="shared" si="2"/>
        <v>-2</v>
      </c>
      <c r="L4" s="5">
        <f>IF(Settings!$F$7="Yes",INDEX('Minutes &amp; Health'!$O:$O,AL4),Settings!$F$8)</f>
        <v>73</v>
      </c>
      <c r="M4" s="6">
        <f>INDEX('Minutes &amp; Health'!$P:$P,AL4)</f>
        <v>31.9</v>
      </c>
      <c r="N4" s="5">
        <f>INDEX('Player Data'!$F:$F,AL4)/INDEX('Player Data'!$E:$E,AL4)*M4*L4*AM4</f>
        <v>1826.1172828890799</v>
      </c>
      <c r="O4" s="5">
        <f>INDEX('Player Data'!$G:$G,AL4)/INDEX('Player Data'!$E:$E,AL4)*M4*L4*AM4</f>
        <v>834.96809974204643</v>
      </c>
      <c r="P4" s="5">
        <f>INDEX('Player Data'!$H:$H,AL4)/INDEX('Player Data'!$E:$E,AL4)*M4*L4*AM4</f>
        <v>242.2809114359415</v>
      </c>
      <c r="Q4" s="5">
        <f>INDEX('Player Data'!$I:$I,AL4)/INDEX('Player Data'!$E:$E,AL4)*M4*L4*AM4</f>
        <v>80.092863284608768</v>
      </c>
      <c r="R4" s="5">
        <f>INDEX('Player Data'!$J:$J,AL4)/INDEX('Player Data'!$E:$E,AL4)*M4*L4*AM4</f>
        <v>227.26349957007739</v>
      </c>
      <c r="S4" s="5">
        <f>INDEX('Player Data'!$K:$K,AL4)/INDEX('Player Data'!$E:$E,AL4)*M4*L4*AM4</f>
        <v>149.17295786758385</v>
      </c>
      <c r="T4" s="5">
        <f>INDEX('Player Data'!$L:$L,AL4)/INDEX('Player Data'!$E:$E,AL4)*M4*L4*AM4</f>
        <v>195.22635425623386</v>
      </c>
      <c r="U4" s="7">
        <f>INDEX('Player Data'!$M:$M,AL4)</f>
        <v>0.49099999999999999</v>
      </c>
      <c r="V4" s="7">
        <f>INDEX('Player Data'!$N:$N,AL4)</f>
        <v>0.82699999999999996</v>
      </c>
      <c r="W4" s="5">
        <f t="shared" si="3"/>
        <v>626.11264328890798</v>
      </c>
      <c r="X4" s="5">
        <f>INDEX('Player Data'!$O:$O,AL4)/INDEX('Player Data'!$E:$E,AL4)*M4*L4*AM4</f>
        <v>1275.1784995700773</v>
      </c>
      <c r="Y4" s="5">
        <f t="shared" si="4"/>
        <v>424.66067076956136</v>
      </c>
      <c r="Z4" s="5">
        <f>INDEX('Player Data'!$P:$P,AL4)/INDEX('Player Data'!$E:$E,AL4)*M4*L4*AM4</f>
        <v>513.49536973344789</v>
      </c>
      <c r="AB4" s="3">
        <f>(N4-Pool!$D$2)/Pool!$E$2</f>
        <v>1.4462848303801126</v>
      </c>
      <c r="AC4" s="3">
        <f>(O4-Pool!$D$3)/Pool!$E$3</f>
        <v>2.3604687783841252</v>
      </c>
      <c r="AD4" s="3">
        <f>(P4-Pool!$D$4)/Pool!$E$4</f>
        <v>-0.25552993838393451</v>
      </c>
      <c r="AE4" s="3">
        <f>(Q4-Pool!$D$5)/Pool!$E$5</f>
        <v>0.25917373391556492</v>
      </c>
      <c r="AF4" s="3">
        <f>(R4-Pool!$D$6)/Pool!$E$6</f>
        <v>5.1204650850608013</v>
      </c>
      <c r="AG4" s="3">
        <f>(S4-Pool!$D$7)/Pool!$E$7</f>
        <v>0.3628179172836663</v>
      </c>
      <c r="AH4" s="3">
        <f>(AS4-Pool!$D$8)/Pool!$E$8</f>
        <v>0.1931610170643592</v>
      </c>
      <c r="AI4" s="3">
        <f>(AT4-Pool!$D$9)/Pool!$E$9</f>
        <v>0.61823970911204429</v>
      </c>
      <c r="AJ4" s="3">
        <f>-(T4-Pool!$D$10)/Pool!$E$10</f>
        <v>-0.89562553687742785</v>
      </c>
      <c r="AL4">
        <f>MATCH(B4,'Player Data'!$A:$A,0)</f>
        <v>15</v>
      </c>
      <c r="AM4" s="3">
        <f>1+IF(Settings!$F$10="ON",IFERROR(VLOOKUP(TRIM(F4),Settings!$D$12:$F$17,3,FALSE),0),0)</f>
        <v>1</v>
      </c>
      <c r="AN4" t="str">
        <f t="shared" si="5"/>
        <v>C</v>
      </c>
      <c r="AO4" s="6">
        <f>X4*(U4-Pool!$B$12)</f>
        <v>13.253223840003736</v>
      </c>
      <c r="AP4" s="6">
        <f>Z4*(V4-Pool!$B$13)</f>
        <v>18.948155150887263</v>
      </c>
      <c r="AQ4" s="3">
        <f>Settings!$B$2*(N4-Pool!$B$2)/Pool!$C$2+Settings!$B$3*(O4-Pool!$B$3)/Pool!$C$3+Settings!$B$4*(P4-Pool!$B$4)/Pool!$C$4+Settings!$B$5*(Q4-Pool!$B$5)/Pool!$C$5+Settings!$B$6*(R4-Pool!$B$6)/Pool!$C$6+Settings!$B$7*(S4-Pool!$B$7)/Pool!$C$7+Settings!$B$8*(AO4-Pool!$B$8)/Pool!$C$8+Settings!$B$9*(AP4-Pool!$B$9)/Pool!$C$9+Settings!$B$10*-(T4-Pool!$B$10)/Pool!$C$10</f>
        <v>12.037916126557294</v>
      </c>
      <c r="AR4">
        <f>IF(RANK(AQ4,$AQ$2:$AQ$266)&lt;=Settings!$F$5,1,0)</f>
        <v>1</v>
      </c>
      <c r="AS4" s="6">
        <f>X4*(U4-Pool!$D$12)</f>
        <v>8.8324051079785182</v>
      </c>
      <c r="AT4" s="6">
        <f>Z4*(V4-Pool!$D$13)</f>
        <v>13.79329142125685</v>
      </c>
    </row>
    <row r="5" spans="1:46" x14ac:dyDescent="0.2">
      <c r="A5">
        <f t="shared" si="0"/>
        <v>4</v>
      </c>
      <c r="B5" t="s">
        <v>46</v>
      </c>
      <c r="C5" t="str">
        <f>INDEX('Player Data'!$C:$C,AL5)</f>
        <v>PG,SG</v>
      </c>
      <c r="D5">
        <f t="shared" si="1"/>
        <v>2</v>
      </c>
      <c r="E5" t="str">
        <f>INDEX('Player Data'!$B:$B,AL5)</f>
        <v>PHI</v>
      </c>
      <c r="F5" s="2"/>
      <c r="G5" s="3">
        <f>Settings!$B$2*AB5+Settings!$B$3*AC5+Settings!$B$4*AD5+Settings!$B$5*AE5+Settings!$B$6*AF5+Settings!$B$7*AG5+Settings!$B$8*AH5+Settings!$B$9*AI5+Settings!$B$10*AJ5</f>
        <v>5.7287660230009054</v>
      </c>
      <c r="H5" s="3">
        <f>G5-LARGE($G$2:$G$266,Settings!$F$4)</f>
        <v>8.9450307894480705</v>
      </c>
      <c r="I5">
        <f>IF(INDEX('Player Data'!$R:$R,AL5)="","",INDEX('Player Data'!$R:$R,AL5))</f>
        <v>7</v>
      </c>
      <c r="J5" s="4">
        <f t="shared" si="2"/>
        <v>3</v>
      </c>
      <c r="L5" s="5">
        <f>IF(Settings!$F$7="Yes",INDEX('Minutes &amp; Health'!$O:$O,AL5),Settings!$F$8)</f>
        <v>75</v>
      </c>
      <c r="M5" s="6">
        <f>INDEX('Minutes &amp; Health'!$P:$P,AL5)</f>
        <v>35.9</v>
      </c>
      <c r="N5" s="5">
        <f>INDEX('Player Data'!$F:$F,AL5)/INDEX('Player Data'!$E:$E,AL5)*M5*L5*AM5</f>
        <v>1901.646862235425</v>
      </c>
      <c r="O5" s="5">
        <f>INDEX('Player Data'!$G:$G,AL5)/INDEX('Player Data'!$E:$E,AL5)*M5*L5*AM5</f>
        <v>283.94727070181949</v>
      </c>
      <c r="P5" s="5">
        <f>INDEX('Player Data'!$H:$H,AL5)/INDEX('Player Data'!$E:$E,AL5)*M5*L5*AM5</f>
        <v>447.91682138878571</v>
      </c>
      <c r="Q5" s="5">
        <f>INDEX('Player Data'!$I:$I,AL5)/INDEX('Player Data'!$E:$E,AL5)*M5*L5*AM5</f>
        <v>118.97790568139621</v>
      </c>
      <c r="R5" s="5">
        <f>INDEX('Player Data'!$J:$J,AL5)/INDEX('Player Data'!$E:$E,AL5)*M5*L5*AM5</f>
        <v>48.990902339398446</v>
      </c>
      <c r="S5" s="5">
        <f>INDEX('Player Data'!$K:$K,AL5)/INDEX('Player Data'!$E:$E,AL5)*M5*L5*AM5</f>
        <v>206.96156702562197</v>
      </c>
      <c r="T5" s="5">
        <f>INDEX('Player Data'!$L:$L,AL5)/INDEX('Player Data'!$E:$E,AL5)*M5*L5*AM5</f>
        <v>164.96936502042334</v>
      </c>
      <c r="U5" s="7">
        <f>INDEX('Player Data'!$M:$M,AL5)</f>
        <v>0.46800000000000003</v>
      </c>
      <c r="V5" s="7">
        <f>INDEX('Player Data'!$N:$N,AL5)</f>
        <v>0.88900000000000001</v>
      </c>
      <c r="W5" s="5">
        <f t="shared" si="3"/>
        <v>671.68926661715568</v>
      </c>
      <c r="X5" s="5">
        <f>INDEX('Player Data'!$O:$O,AL5)/INDEX('Player Data'!$E:$E,AL5)*M5*L5*AM5</f>
        <v>1435.2334756776829</v>
      </c>
      <c r="Y5" s="5">
        <f t="shared" si="4"/>
        <v>351.35645274786481</v>
      </c>
      <c r="Z5" s="5">
        <f>INDEX('Player Data'!$P:$P,AL5)/INDEX('Player Data'!$E:$E,AL5)*M5*L5*AM5</f>
        <v>395.22660601559596</v>
      </c>
      <c r="AB5" s="3">
        <f>(N5-Pool!$D$2)/Pool!$E$2</f>
        <v>1.632462309283395</v>
      </c>
      <c r="AC5" s="3">
        <f>(O5-Pool!$D$3)/Pool!$E$3</f>
        <v>-0.8467532870501906</v>
      </c>
      <c r="AD5" s="3">
        <f>(P5-Pool!$D$4)/Pool!$E$4</f>
        <v>1.1352530931526132</v>
      </c>
      <c r="AE5" s="3">
        <f>(Q5-Pool!$D$5)/Pool!$E$5</f>
        <v>1.9758771609698231</v>
      </c>
      <c r="AF5" s="3">
        <f>(R5-Pool!$D$6)/Pool!$E$6</f>
        <v>-3.8873265297275458E-2</v>
      </c>
      <c r="AG5" s="3">
        <f>(S5-Pool!$D$7)/Pool!$E$7</f>
        <v>1.1767307099302347</v>
      </c>
      <c r="AH5" s="3">
        <f>(AS5-Pool!$D$8)/Pool!$E$8</f>
        <v>-0.50451726148703679</v>
      </c>
      <c r="AI5" s="3">
        <f>(AT5-Pool!$D$9)/Pool!$E$9</f>
        <v>1.5741609520089686</v>
      </c>
      <c r="AJ5" s="3">
        <f>-(T5-Pool!$D$10)/Pool!$E$10</f>
        <v>-0.37557438850962555</v>
      </c>
      <c r="AL5">
        <f>MATCH(B5,'Player Data'!$A:$A,0)</f>
        <v>13</v>
      </c>
      <c r="AM5" s="3">
        <f>1+IF(Settings!$F$10="ON",IFERROR(VLOOKUP(TRIM(F5),Settings!$D$12:$F$17,3,FALSE),0),0)</f>
        <v>1</v>
      </c>
      <c r="AN5" t="str">
        <f t="shared" si="5"/>
        <v>PG</v>
      </c>
      <c r="AO5" s="6">
        <f>X5*(U5-Pool!$B$12)</f>
        <v>-18.093657870679642</v>
      </c>
      <c r="AP5" s="6">
        <f>Z5*(V5-Pool!$B$13)</f>
        <v>39.088046804391865</v>
      </c>
      <c r="AQ5" s="3">
        <f>Settings!$B$2*(N5-Pool!$B$2)/Pool!$C$2+Settings!$B$3*(O5-Pool!$B$3)/Pool!$C$3+Settings!$B$4*(P5-Pool!$B$4)/Pool!$C$4+Settings!$B$5*(Q5-Pool!$B$5)/Pool!$C$5+Settings!$B$6*(R5-Pool!$B$6)/Pool!$C$6+Settings!$B$7*(S5-Pool!$B$7)/Pool!$C$7+Settings!$B$8*(AO5-Pool!$B$8)/Pool!$C$8+Settings!$B$9*(AP5-Pool!$B$9)/Pool!$C$9+Settings!$B$10*-(T5-Pool!$B$10)/Pool!$C$10</f>
        <v>7.8129103344941697</v>
      </c>
      <c r="AR5">
        <f>IF(RANK(AQ5,$AQ$2:$AQ$266)&lt;=Settings!$F$5,1,0)</f>
        <v>1</v>
      </c>
      <c r="AS5" s="6">
        <f>X5*(U5-Pool!$D$12)</f>
        <v>-23.069358948014873</v>
      </c>
      <c r="AT5" s="6">
        <f>Z5*(V5-Pool!$D$13)</f>
        <v>35.120456410359111</v>
      </c>
    </row>
    <row r="6" spans="1:46" x14ac:dyDescent="0.2">
      <c r="A6">
        <f t="shared" si="0"/>
        <v>5</v>
      </c>
      <c r="B6" t="s">
        <v>47</v>
      </c>
      <c r="C6" t="str">
        <f>INDEX('Player Data'!$C:$C,AL6)</f>
        <v>PG,SG</v>
      </c>
      <c r="D6">
        <f t="shared" si="1"/>
        <v>3</v>
      </c>
      <c r="E6" t="str">
        <f>INDEX('Player Data'!$B:$B,AL6)</f>
        <v>LAL</v>
      </c>
      <c r="F6" s="2"/>
      <c r="G6" s="3">
        <f>Settings!$B$2*AB6+Settings!$B$3*AC6+Settings!$B$4*AD6+Settings!$B$5*AE6+Settings!$B$6*AF6+Settings!$B$7*AG6+Settings!$B$8*AH6+Settings!$B$9*AI6+Settings!$B$10*AJ6</f>
        <v>5.5059441887879554</v>
      </c>
      <c r="H6" s="3">
        <f>G6-LARGE($G$2:$G$266,Settings!$F$4)</f>
        <v>8.7222089552351214</v>
      </c>
      <c r="I6">
        <f>IF(INDEX('Player Data'!$R:$R,AL6)="","",INDEX('Player Data'!$R:$R,AL6))</f>
        <v>3</v>
      </c>
      <c r="J6" s="4">
        <f t="shared" si="2"/>
        <v>-2</v>
      </c>
      <c r="L6" s="5">
        <f>IF(Settings!$F$7="Yes",INDEX('Minutes &amp; Health'!$O:$O,AL6),Settings!$F$8)</f>
        <v>74</v>
      </c>
      <c r="M6" s="6">
        <f>INDEX('Minutes &amp; Health'!$P:$P,AL6)</f>
        <v>36.1</v>
      </c>
      <c r="N6" s="5">
        <f>INDEX('Player Data'!$F:$F,AL6)/INDEX('Player Data'!$E:$E,AL6)*M6*L6*AM6</f>
        <v>2291.6274597830152</v>
      </c>
      <c r="O6" s="5">
        <f>INDEX('Player Data'!$G:$G,AL6)/INDEX('Player Data'!$E:$E,AL6)*M6*L6*AM6</f>
        <v>587.64803591470252</v>
      </c>
      <c r="P6" s="5">
        <f>INDEX('Player Data'!$H:$H,AL6)/INDEX('Player Data'!$E:$E,AL6)*M6*L6*AM6</f>
        <v>598.64145155256278</v>
      </c>
      <c r="Q6" s="5">
        <f>INDEX('Player Data'!$I:$I,AL6)/INDEX('Player Data'!$E:$E,AL6)*M6*L6*AM6</f>
        <v>114.93116348671904</v>
      </c>
      <c r="R6" s="5">
        <f>INDEX('Player Data'!$J:$J,AL6)/INDEX('Player Data'!$E:$E,AL6)*M6*L6*AM6</f>
        <v>33.97964833520389</v>
      </c>
      <c r="S6" s="5">
        <f>INDEX('Player Data'!$K:$K,AL6)/INDEX('Player Data'!$E:$E,AL6)*M6*L6*AM6</f>
        <v>271.83718668163112</v>
      </c>
      <c r="T6" s="5">
        <f>INDEX('Player Data'!$L:$L,AL6)/INDEX('Player Data'!$E:$E,AL6)*M6*L6*AM6</f>
        <v>297.8216236438459</v>
      </c>
      <c r="U6" s="7">
        <f>INDEX('Player Data'!$M:$M,AL6)</f>
        <v>0.46899999999999997</v>
      </c>
      <c r="V6" s="7">
        <f>INDEX('Player Data'!$N:$N,AL6)</f>
        <v>0.78700000000000003</v>
      </c>
      <c r="W6" s="5">
        <f t="shared" si="3"/>
        <v>746.62291999251784</v>
      </c>
      <c r="X6" s="5">
        <f>INDEX('Player Data'!$O:$O,AL6)/INDEX('Player Data'!$E:$E,AL6)*M6*L6*AM6</f>
        <v>1591.9465245043025</v>
      </c>
      <c r="Y6" s="5">
        <f t="shared" si="4"/>
        <v>526.50245825664058</v>
      </c>
      <c r="Z6" s="5">
        <f>INDEX('Player Data'!$P:$P,AL6)/INDEX('Player Data'!$E:$E,AL6)*M6*L6*AM6</f>
        <v>668.99931163486724</v>
      </c>
      <c r="AB6" s="3">
        <f>(N6-Pool!$D$2)/Pool!$E$2</f>
        <v>2.5937493322081342</v>
      </c>
      <c r="AC6" s="3">
        <f>(O6-Pool!$D$3)/Pool!$E$3</f>
        <v>0.92093995455853273</v>
      </c>
      <c r="AD6" s="3">
        <f>(P6-Pool!$D$4)/Pool!$E$4</f>
        <v>2.1546531488844818</v>
      </c>
      <c r="AE6" s="3">
        <f>(Q6-Pool!$D$5)/Pool!$E$5</f>
        <v>1.7972209022696577</v>
      </c>
      <c r="AF6" s="3">
        <f>(R6-Pool!$D$6)/Pool!$E$6</f>
        <v>-0.47330985103115492</v>
      </c>
      <c r="AG6" s="3">
        <f>(S6-Pool!$D$7)/Pool!$E$7</f>
        <v>2.0904591685005922</v>
      </c>
      <c r="AH6" s="3">
        <f>(AS6-Pool!$D$8)/Pool!$E$8</f>
        <v>-0.52479026135800033</v>
      </c>
      <c r="AI6" s="3">
        <f>(AT6-Pool!$D$9)/Pool!$E$9</f>
        <v>-0.39396546396570775</v>
      </c>
      <c r="AJ6" s="3">
        <f>-(T6-Pool!$D$10)/Pool!$E$10</f>
        <v>-2.65901274127858</v>
      </c>
      <c r="AL6">
        <f>MATCH(B6,'Player Data'!$A:$A,0)</f>
        <v>4</v>
      </c>
      <c r="AM6" s="3">
        <f>1+IF(Settings!$F$10="ON",IFERROR(VLOOKUP(TRIM(F6),Settings!$D$12:$F$17,3,FALSE),0),0)</f>
        <v>1</v>
      </c>
      <c r="AN6" t="str">
        <f t="shared" si="5"/>
        <v>PG</v>
      </c>
      <c r="AO6" s="6">
        <f>X6*(U6-Pool!$B$12)</f>
        <v>-18.477356659214898</v>
      </c>
      <c r="AP6" s="6">
        <f>Z6*(V6-Pool!$B$13)</f>
        <v>-2.0736685571930322</v>
      </c>
      <c r="AQ6" s="3">
        <f>Settings!$B$2*(N6-Pool!$B$2)/Pool!$C$2+Settings!$B$3*(O6-Pool!$B$3)/Pool!$C$3+Settings!$B$4*(P6-Pool!$B$4)/Pool!$C$4+Settings!$B$5*(Q6-Pool!$B$5)/Pool!$C$5+Settings!$B$6*(R6-Pool!$B$6)/Pool!$C$6+Settings!$B$7*(S6-Pool!$B$7)/Pool!$C$7+Settings!$B$8*(AO6-Pool!$B$8)/Pool!$C$8+Settings!$B$9*(AP6-Pool!$B$9)/Pool!$C$9+Settings!$B$10*-(T6-Pool!$B$10)/Pool!$C$10</f>
        <v>7.3753021915320476</v>
      </c>
      <c r="AR6">
        <f>IF(RANK(AQ6,$AQ$2:$AQ$266)&lt;=Settings!$F$5,1,0)</f>
        <v>1</v>
      </c>
      <c r="AS6" s="6">
        <f>X6*(U6-Pool!$D$12)</f>
        <v>-23.996354209976463</v>
      </c>
      <c r="AT6" s="6">
        <f>Z6*(V6-Pool!$D$13)</f>
        <v>-8.7896011438577144</v>
      </c>
    </row>
    <row r="7" spans="1:46" x14ac:dyDescent="0.2">
      <c r="A7">
        <f t="shared" si="0"/>
        <v>6</v>
      </c>
      <c r="B7" t="s">
        <v>48</v>
      </c>
      <c r="C7" t="str">
        <f>INDEX('Player Data'!$C:$C,AL7)</f>
        <v>PG,SG</v>
      </c>
      <c r="D7">
        <f t="shared" si="1"/>
        <v>4</v>
      </c>
      <c r="E7" t="str">
        <f>INDEX('Player Data'!$B:$B,AL7)</f>
        <v>CLE</v>
      </c>
      <c r="F7" s="2"/>
      <c r="G7" s="3">
        <f>Settings!$B$2*AB7+Settings!$B$3*AC7+Settings!$B$4*AD7+Settings!$B$5*AE7+Settings!$B$6*AF7+Settings!$B$7*AG7+Settings!$B$8*AH7+Settings!$B$9*AI7+Settings!$B$10*AJ7</f>
        <v>4.4031471618136919</v>
      </c>
      <c r="H7" s="3">
        <f>G7-LARGE($G$2:$G$266,Settings!$F$4)</f>
        <v>7.619411928260857</v>
      </c>
      <c r="I7">
        <f>IF(INDEX('Player Data'!$R:$R,AL7)="","",INDEX('Player Data'!$R:$R,AL7))</f>
        <v>19</v>
      </c>
      <c r="J7" s="4">
        <f t="shared" si="2"/>
        <v>13</v>
      </c>
      <c r="L7" s="5">
        <f>IF(Settings!$F$7="Yes",INDEX('Minutes &amp; Health'!$O:$O,AL7),Settings!$F$8)</f>
        <v>75</v>
      </c>
      <c r="M7" s="6">
        <f>INDEX('Minutes &amp; Health'!$P:$P,AL7)</f>
        <v>33.200000000000003</v>
      </c>
      <c r="N7" s="5">
        <f>INDEX('Player Data'!$F:$F,AL7)/INDEX('Player Data'!$E:$E,AL7)*M7*L7*AM7</f>
        <v>1997.6045016077171</v>
      </c>
      <c r="O7" s="5">
        <f>INDEX('Player Data'!$G:$G,AL7)/INDEX('Player Data'!$E:$E,AL7)*M7*L7*AM7</f>
        <v>360.28938906752416</v>
      </c>
      <c r="P7" s="5">
        <f>INDEX('Player Data'!$H:$H,AL7)/INDEX('Player Data'!$E:$E,AL7)*M7*L7*AM7</f>
        <v>415.33360128617369</v>
      </c>
      <c r="Q7" s="5">
        <f>INDEX('Player Data'!$I:$I,AL7)/INDEX('Player Data'!$E:$E,AL7)*M7*L7*AM7</f>
        <v>117.09405144694536</v>
      </c>
      <c r="R7" s="5">
        <f>INDEX('Player Data'!$J:$J,AL7)/INDEX('Player Data'!$E:$E,AL7)*M7*L7*AM7</f>
        <v>22.017684887459811</v>
      </c>
      <c r="S7" s="5">
        <f>INDEX('Player Data'!$K:$K,AL7)/INDEX('Player Data'!$E:$E,AL7)*M7*L7*AM7</f>
        <v>242.19453376205789</v>
      </c>
      <c r="T7" s="5">
        <f>INDEX('Player Data'!$L:$L,AL7)/INDEX('Player Data'!$E:$E,AL7)*M7*L7*AM7</f>
        <v>194.15594855305466</v>
      </c>
      <c r="U7" s="7">
        <f>INDEX('Player Data'!$M:$M,AL7)</f>
        <v>0.46300000000000002</v>
      </c>
      <c r="V7" s="7">
        <f>INDEX('Player Data'!$N:$N,AL7)</f>
        <v>0.84199999999999997</v>
      </c>
      <c r="W7" s="5">
        <f t="shared" si="3"/>
        <v>689.45147628617383</v>
      </c>
      <c r="X7" s="5">
        <f>INDEX('Player Data'!$O:$O,AL7)/INDEX('Player Data'!$E:$E,AL7)*M7*L7*AM7</f>
        <v>1489.096061093248</v>
      </c>
      <c r="Y7" s="5">
        <f t="shared" si="4"/>
        <v>376.50801607717045</v>
      </c>
      <c r="Z7" s="5">
        <f>INDEX('Player Data'!$P:$P,AL7)/INDEX('Player Data'!$E:$E,AL7)*M7*L7*AM7</f>
        <v>447.1591639871383</v>
      </c>
      <c r="AB7" s="3">
        <f>(N7-Pool!$D$2)/Pool!$E$2</f>
        <v>1.868994162558018</v>
      </c>
      <c r="AC7" s="3">
        <f>(O7-Pool!$D$3)/Pool!$E$3</f>
        <v>-0.40240324864790095</v>
      </c>
      <c r="AD7" s="3">
        <f>(P7-Pool!$D$4)/Pool!$E$4</f>
        <v>0.91488210035313033</v>
      </c>
      <c r="AE7" s="3">
        <f>(Q7-Pool!$D$5)/Pool!$E$5</f>
        <v>1.892708445674308</v>
      </c>
      <c r="AF7" s="3">
        <f>(R7-Pool!$D$6)/Pool!$E$6</f>
        <v>-0.81949775495039434</v>
      </c>
      <c r="AG7" s="3">
        <f>(S7-Pool!$D$7)/Pool!$E$7</f>
        <v>1.6729628007779762</v>
      </c>
      <c r="AH7" s="3">
        <f>(AS7-Pool!$D$8)/Pool!$E$8</f>
        <v>-0.68628073716451765</v>
      </c>
      <c r="AI7" s="3">
        <f>(AT7-Pool!$D$9)/Pool!$E$9</f>
        <v>0.83900900851213855</v>
      </c>
      <c r="AJ7" s="3">
        <f>-(T7-Pool!$D$10)/Pool!$E$10</f>
        <v>-0.87722761529906568</v>
      </c>
      <c r="AL7">
        <f>MATCH(B7,'Player Data'!$A:$A,0)</f>
        <v>8</v>
      </c>
      <c r="AM7" s="3">
        <f>1+IF(Settings!$F$10="ON",IFERROR(VLOOKUP(TRIM(F7),Settings!$D$12:$F$17,3,FALSE),0),0)</f>
        <v>1</v>
      </c>
      <c r="AN7" t="str">
        <f t="shared" si="5"/>
        <v>PG</v>
      </c>
      <c r="AO7" s="6">
        <f>X7*(U7-Pool!$B$12)</f>
        <v>-26.218171385066356</v>
      </c>
      <c r="AP7" s="6">
        <f>Z7*(V7-Pool!$B$13)</f>
        <v>23.207713880992795</v>
      </c>
      <c r="AQ7" s="3">
        <f>Settings!$B$2*(N7-Pool!$B$2)/Pool!$C$2+Settings!$B$3*(O7-Pool!$B$3)/Pool!$C$3+Settings!$B$4*(P7-Pool!$B$4)/Pool!$C$4+Settings!$B$5*(Q7-Pool!$B$5)/Pool!$C$5+Settings!$B$6*(R7-Pool!$B$6)/Pool!$C$6+Settings!$B$7*(S7-Pool!$B$7)/Pool!$C$7+Settings!$B$8*(AO7-Pool!$B$8)/Pool!$C$8+Settings!$B$9*(AP7-Pool!$B$9)/Pool!$C$9+Settings!$B$10*-(T7-Pool!$B$10)/Pool!$C$10</f>
        <v>6.2774217813005695</v>
      </c>
      <c r="AR7">
        <f>IF(RANK(AQ7,$AQ$2:$AQ$266)&lt;=Settings!$F$5,1,0)</f>
        <v>1</v>
      </c>
      <c r="AS7" s="6">
        <f>X7*(U7-Pool!$D$12)</f>
        <v>-31.380604536884274</v>
      </c>
      <c r="AT7" s="6">
        <f>Z7*(V7-Pool!$D$13)</f>
        <v>18.718784298228123</v>
      </c>
    </row>
    <row r="8" spans="1:46" x14ac:dyDescent="0.2">
      <c r="A8">
        <f t="shared" si="0"/>
        <v>7</v>
      </c>
      <c r="B8" t="s">
        <v>49</v>
      </c>
      <c r="C8" t="str">
        <f>INDEX('Player Data'!$C:$C,AL8)</f>
        <v>PF,SF,SG</v>
      </c>
      <c r="D8">
        <f t="shared" si="1"/>
        <v>1</v>
      </c>
      <c r="E8" t="str">
        <f>INDEX('Player Data'!$B:$B,AL8)</f>
        <v>TOR</v>
      </c>
      <c r="F8" s="2"/>
      <c r="G8" s="3">
        <f>Settings!$B$2*AB8+Settings!$B$3*AC8+Settings!$B$4*AD8+Settings!$B$5*AE8+Settings!$B$6*AF8+Settings!$B$7*AG8+Settings!$B$8*AH8+Settings!$B$9*AI8+Settings!$B$10*AJ8</f>
        <v>4.3671984661883174</v>
      </c>
      <c r="H8" s="3">
        <f>G8-LARGE($G$2:$G$266,Settings!$F$4)</f>
        <v>7.5834632326354825</v>
      </c>
      <c r="I8">
        <f>IF(INDEX('Player Data'!$R:$R,AL8)="","",INDEX('Player Data'!$R:$R,AL8))</f>
        <v>17</v>
      </c>
      <c r="J8" s="4">
        <f t="shared" si="2"/>
        <v>10</v>
      </c>
      <c r="L8" s="5">
        <f>IF(Settings!$F$7="Yes",INDEX('Minutes &amp; Health'!$O:$O,AL8),Settings!$F$8)</f>
        <v>69</v>
      </c>
      <c r="M8" s="6">
        <f>INDEX('Minutes &amp; Health'!$P:$P,AL8)</f>
        <v>32.299999999999997</v>
      </c>
      <c r="N8" s="5">
        <f>INDEX('Player Data'!$F:$F,AL8)/INDEX('Player Data'!$E:$E,AL8)*M8*L8*AM8</f>
        <v>1707.2381443298968</v>
      </c>
      <c r="O8" s="5">
        <f>INDEX('Player Data'!$G:$G,AL8)/INDEX('Player Data'!$E:$E,AL8)*M8*L8*AM8</f>
        <v>425.56082474226798</v>
      </c>
      <c r="P8" s="5">
        <f>INDEX('Player Data'!$H:$H,AL8)/INDEX('Player Data'!$E:$E,AL8)*M8*L8*AM8</f>
        <v>252.73917525773194</v>
      </c>
      <c r="Q8" s="5">
        <f>INDEX('Player Data'!$I:$I,AL8)/INDEX('Player Data'!$E:$E,AL8)*M8*L8*AM8</f>
        <v>109.88659793814431</v>
      </c>
      <c r="R8" s="5">
        <f>INDEX('Player Data'!$J:$J,AL8)/INDEX('Player Data'!$E:$E,AL8)*M8*L8*AM8</f>
        <v>34.963917525773198</v>
      </c>
      <c r="S8" s="5">
        <f>INDEX('Player Data'!$K:$K,AL8)/INDEX('Player Data'!$E:$E,AL8)*M8*L8*AM8</f>
        <v>153.84123711340203</v>
      </c>
      <c r="T8" s="5">
        <f>INDEX('Player Data'!$L:$L,AL8)/INDEX('Player Data'!$E:$E,AL8)*M8*L8*AM8</f>
        <v>134.86082474226802</v>
      </c>
      <c r="U8" s="7">
        <f>INDEX('Player Data'!$M:$M,AL8)</f>
        <v>0.5</v>
      </c>
      <c r="V8" s="7">
        <f>INDEX('Player Data'!$N:$N,AL8)</f>
        <v>0.875</v>
      </c>
      <c r="W8" s="5">
        <f t="shared" si="3"/>
        <v>607.47309278350519</v>
      </c>
      <c r="X8" s="5">
        <f>INDEX('Player Data'!$O:$O,AL8)/INDEX('Player Data'!$E:$E,AL8)*M8*L8*AM8</f>
        <v>1214.9461855670104</v>
      </c>
      <c r="Y8" s="5">
        <f t="shared" si="4"/>
        <v>338.45072164948448</v>
      </c>
      <c r="Z8" s="5">
        <f>INDEX('Player Data'!$P:$P,AL8)/INDEX('Player Data'!$E:$E,AL8)*M8*L8*AM8</f>
        <v>386.80082474226799</v>
      </c>
      <c r="AB8" s="3">
        <f>(N8-Pool!$D$2)/Pool!$E$2</f>
        <v>1.1532523720679546</v>
      </c>
      <c r="AC8" s="3">
        <f>(O8-Pool!$D$3)/Pool!$E$3</f>
        <v>-2.24902259346847E-2</v>
      </c>
      <c r="AD8" s="3">
        <f>(P8-Pool!$D$4)/Pool!$E$4</f>
        <v>-0.1847972737145479</v>
      </c>
      <c r="AE8" s="3">
        <f>(Q8-Pool!$D$5)/Pool!$E$5</f>
        <v>1.57451256941328</v>
      </c>
      <c r="AF8" s="3">
        <f>(R8-Pool!$D$6)/Pool!$E$6</f>
        <v>-0.44482438629419851</v>
      </c>
      <c r="AG8" s="3">
        <f>(S8-Pool!$D$7)/Pool!$E$7</f>
        <v>0.42856741797552356</v>
      </c>
      <c r="AH8" s="3">
        <f>(AS8-Pool!$D$8)/Pool!$E$8</f>
        <v>0.42317046747275494</v>
      </c>
      <c r="AI8" s="3">
        <f>(AT8-Pool!$D$9)/Pool!$E$9</f>
        <v>1.2978822766758995</v>
      </c>
      <c r="AJ8" s="3">
        <f>-(T8-Pool!$D$10)/Pool!$E$10</f>
        <v>0.14192524852633473</v>
      </c>
      <c r="AL8">
        <f>MATCH(B8,'Player Data'!$A:$A,0)</f>
        <v>17</v>
      </c>
      <c r="AM8" s="3">
        <f>1+IF(Settings!$F$10="ON",IFERROR(VLOOKUP(TRIM(F8),Settings!$D$12:$F$17,3,FALSE),0),0)</f>
        <v>1</v>
      </c>
      <c r="AN8" t="str">
        <f t="shared" si="5"/>
        <v>PF</v>
      </c>
      <c r="AO8" s="6">
        <f>X8*(U8-Pool!$B$12)</f>
        <v>23.561731198209195</v>
      </c>
      <c r="AP8" s="6">
        <f>Z8*(V8-Pool!$B$13)</f>
        <v>32.839522602013545</v>
      </c>
      <c r="AQ8" s="3">
        <f>Settings!$B$2*(N8-Pool!$B$2)/Pool!$C$2+Settings!$B$3*(O8-Pool!$B$3)/Pool!$C$3+Settings!$B$4*(P8-Pool!$B$4)/Pool!$C$4+Settings!$B$5*(Q8-Pool!$B$5)/Pool!$C$5+Settings!$B$6*(R8-Pool!$B$6)/Pool!$C$6+Settings!$B$7*(S8-Pool!$B$7)/Pool!$C$7+Settings!$B$8*(AO8-Pool!$B$8)/Pool!$C$8+Settings!$B$9*(AP8-Pool!$B$9)/Pool!$C$9+Settings!$B$10*-(T8-Pool!$B$10)/Pool!$C$10</f>
        <v>6.5353224176974445</v>
      </c>
      <c r="AR8">
        <f>IF(RANK(AQ8,$AQ$2:$AQ$266)&lt;=Settings!$F$5,1,0)</f>
        <v>1</v>
      </c>
      <c r="AS8" s="6">
        <f>X8*(U8-Pool!$D$12)</f>
        <v>19.349727265137815</v>
      </c>
      <c r="AT8" s="6">
        <f>Z8*(V8-Pool!$D$13)</f>
        <v>28.956516718065512</v>
      </c>
    </row>
    <row r="9" spans="1:46" x14ac:dyDescent="0.2">
      <c r="A9">
        <f t="shared" si="0"/>
        <v>8</v>
      </c>
      <c r="B9" t="s">
        <v>50</v>
      </c>
      <c r="C9" t="str">
        <f>INDEX('Player Data'!$C:$C,AL9)</f>
        <v>PG</v>
      </c>
      <c r="D9">
        <f t="shared" si="1"/>
        <v>5</v>
      </c>
      <c r="E9" t="str">
        <f>INDEX('Player Data'!$B:$B,AL9)</f>
        <v>GSW</v>
      </c>
      <c r="F9" s="2"/>
      <c r="G9" s="3">
        <f>Settings!$B$2*AB9+Settings!$B$3*AC9+Settings!$B$4*AD9+Settings!$B$5*AE9+Settings!$B$6*AF9+Settings!$B$7*AG9+Settings!$B$8*AH9+Settings!$B$9*AI9+Settings!$B$10*AJ9</f>
        <v>4.192763830399171</v>
      </c>
      <c r="H9" s="3">
        <f>G9-LARGE($G$2:$G$266,Settings!$F$4)</f>
        <v>7.4090285968463361</v>
      </c>
      <c r="I9">
        <f>IF(INDEX('Player Data'!$R:$R,AL9)="","",INDEX('Player Data'!$R:$R,AL9))</f>
        <v>23</v>
      </c>
      <c r="J9" s="4">
        <f t="shared" si="2"/>
        <v>15</v>
      </c>
      <c r="L9" s="5">
        <f>IF(Settings!$F$7="Yes",INDEX('Minutes &amp; Health'!$O:$O,AL9),Settings!$F$8)</f>
        <v>73</v>
      </c>
      <c r="M9" s="6">
        <f>INDEX('Minutes &amp; Health'!$P:$P,AL9)</f>
        <v>31.7</v>
      </c>
      <c r="N9" s="5">
        <f>INDEX('Player Data'!$F:$F,AL9)/INDEX('Player Data'!$E:$E,AL9)*M9*L9*AM9</f>
        <v>1884.7103373702421</v>
      </c>
      <c r="O9" s="5">
        <f>INDEX('Player Data'!$G:$G,AL9)/INDEX('Player Data'!$E:$E,AL9)*M9*L9*AM9</f>
        <v>304.27612456747397</v>
      </c>
      <c r="P9" s="5">
        <f>INDEX('Player Data'!$H:$H,AL9)/INDEX('Player Data'!$E:$E,AL9)*M9*L9*AM9</f>
        <v>388.35242214532872</v>
      </c>
      <c r="Q9" s="5">
        <f>INDEX('Player Data'!$I:$I,AL9)/INDEX('Player Data'!$E:$E,AL9)*M9*L9*AM9</f>
        <v>81.073572664359858</v>
      </c>
      <c r="R9" s="5">
        <f>INDEX('Player Data'!$J:$J,AL9)/INDEX('Player Data'!$E:$E,AL9)*M9*L9*AM9</f>
        <v>29.026340830449826</v>
      </c>
      <c r="S9" s="5">
        <f>INDEX('Player Data'!$K:$K,AL9)/INDEX('Player Data'!$E:$E,AL9)*M9*L9*AM9</f>
        <v>336.3051903114187</v>
      </c>
      <c r="T9" s="5">
        <f>INDEX('Player Data'!$L:$L,AL9)/INDEX('Player Data'!$E:$E,AL9)*M9*L9*AM9</f>
        <v>215.19528546712803</v>
      </c>
      <c r="U9" s="7">
        <f>INDEX('Player Data'!$M:$M,AL9)</f>
        <v>0.45200000000000001</v>
      </c>
      <c r="V9" s="7">
        <f>INDEX('Player Data'!$N:$N,AL9)</f>
        <v>0.92800000000000005</v>
      </c>
      <c r="W9" s="5">
        <f t="shared" si="3"/>
        <v>604.9181512629757</v>
      </c>
      <c r="X9" s="5">
        <f>INDEX('Player Data'!$O:$O,AL9)/INDEX('Player Data'!$E:$E,AL9)*M9*L9*AM9</f>
        <v>1338.3144939446365</v>
      </c>
      <c r="Y9" s="5">
        <f t="shared" si="4"/>
        <v>338.65612373702425</v>
      </c>
      <c r="Z9" s="5">
        <f>INDEX('Player Data'!$P:$P,AL9)/INDEX('Player Data'!$E:$E,AL9)*M9*L9*AM9</f>
        <v>364.93116782006922</v>
      </c>
      <c r="AB9" s="3">
        <f>(N9-Pool!$D$2)/Pool!$E$2</f>
        <v>1.5907144334436085</v>
      </c>
      <c r="AC9" s="3">
        <f>(O9-Pool!$D$3)/Pool!$E$3</f>
        <v>-0.72842899648483905</v>
      </c>
      <c r="AD9" s="3">
        <f>(P9-Pool!$D$4)/Pool!$E$4</f>
        <v>0.73239954597563794</v>
      </c>
      <c r="AE9" s="3">
        <f>(Q9-Pool!$D$5)/Pool!$E$5</f>
        <v>0.30247025744724676</v>
      </c>
      <c r="AF9" s="3">
        <f>(R9-Pool!$D$6)/Pool!$E$6</f>
        <v>-0.61666216522516282</v>
      </c>
      <c r="AG9" s="3">
        <f>(S9-Pool!$D$7)/Pool!$E$7</f>
        <v>2.9984466358433841</v>
      </c>
      <c r="AH9" s="3">
        <f>(AS9-Pool!$D$8)/Pool!$E$8</f>
        <v>-0.93874211119822148</v>
      </c>
      <c r="AI9" s="3">
        <f>(AT9-Pool!$D$9)/Pool!$E$9</f>
        <v>2.0914138087351586</v>
      </c>
      <c r="AJ9" s="3">
        <f>-(T9-Pool!$D$10)/Pool!$E$10</f>
        <v>-1.2388475781376402</v>
      </c>
      <c r="AL9">
        <f>MATCH(B9,'Player Data'!$A:$A,0)</f>
        <v>11</v>
      </c>
      <c r="AM9" s="3">
        <f>1+IF(Settings!$F$10="ON",IFERROR(VLOOKUP(TRIM(F9),Settings!$D$12:$F$17,3,FALSE),0),0)</f>
        <v>1</v>
      </c>
      <c r="AN9" t="str">
        <f t="shared" si="5"/>
        <v>PG</v>
      </c>
      <c r="AO9" s="6">
        <f>X9*(U9-Pool!$B$12)</f>
        <v>-38.284854493074533</v>
      </c>
      <c r="AP9" s="6">
        <f>Z9*(V9-Pool!$B$13)</f>
        <v>50.324133127651635</v>
      </c>
      <c r="AQ9" s="3">
        <f>Settings!$B$2*(N9-Pool!$B$2)/Pool!$C$2+Settings!$B$3*(O9-Pool!$B$3)/Pool!$C$3+Settings!$B$4*(P9-Pool!$B$4)/Pool!$C$4+Settings!$B$5*(Q9-Pool!$B$5)/Pool!$C$5+Settings!$B$6*(R9-Pool!$B$6)/Pool!$C$6+Settings!$B$7*(S9-Pool!$B$7)/Pool!$C$7+Settings!$B$8*(AO9-Pool!$B$8)/Pool!$C$8+Settings!$B$9*(AP9-Pool!$B$9)/Pool!$C$9+Settings!$B$10*-(T9-Pool!$B$10)/Pool!$C$10</f>
        <v>6.4940866443813778</v>
      </c>
      <c r="AR9">
        <f>IF(RANK(AQ9,$AQ$2:$AQ$266)&lt;=Settings!$F$5,1,0)</f>
        <v>1</v>
      </c>
      <c r="AS9" s="6">
        <f>X9*(U9-Pool!$D$12)</f>
        <v>-42.924554571272225</v>
      </c>
      <c r="AT9" s="6">
        <f>Z9*(V9-Pool!$D$13)</f>
        <v>46.660671776902063</v>
      </c>
    </row>
    <row r="10" spans="1:46" x14ac:dyDescent="0.2">
      <c r="A10">
        <f t="shared" si="0"/>
        <v>9</v>
      </c>
      <c r="B10" t="s">
        <v>51</v>
      </c>
      <c r="C10" t="str">
        <f>INDEX('Player Data'!$C:$C,AL10)</f>
        <v>PG,SF,SG</v>
      </c>
      <c r="D10">
        <f t="shared" si="1"/>
        <v>6</v>
      </c>
      <c r="E10" t="str">
        <f>INDEX('Player Data'!$B:$B,AL10)</f>
        <v>MIN</v>
      </c>
      <c r="F10" s="2"/>
      <c r="G10" s="3">
        <f>Settings!$B$2*AB10+Settings!$B$3*AC10+Settings!$B$4*AD10+Settings!$B$5*AE10+Settings!$B$6*AF10+Settings!$B$7*AG10+Settings!$B$8*AH10+Settings!$B$9*AI10+Settings!$B$10*AJ10</f>
        <v>4.1660538152251023</v>
      </c>
      <c r="H10" s="3">
        <f>G10-LARGE($G$2:$G$266,Settings!$F$4)</f>
        <v>7.3823185816722674</v>
      </c>
      <c r="I10">
        <f>IF(INDEX('Player Data'!$R:$R,AL10)="","",INDEX('Player Data'!$R:$R,AL10))</f>
        <v>13</v>
      </c>
      <c r="J10" s="4">
        <f t="shared" si="2"/>
        <v>4</v>
      </c>
      <c r="L10" s="5">
        <f>IF(Settings!$F$7="Yes",INDEX('Minutes &amp; Health'!$O:$O,AL10),Settings!$F$8)</f>
        <v>75</v>
      </c>
      <c r="M10" s="6">
        <f>INDEX('Minutes &amp; Health'!$P:$P,AL10)</f>
        <v>35.9</v>
      </c>
      <c r="N10" s="5">
        <f>INDEX('Player Data'!$F:$F,AL10)/INDEX('Player Data'!$E:$E,AL10)*M10*L10*AM10</f>
        <v>2150.6006312662457</v>
      </c>
      <c r="O10" s="5">
        <f>INDEX('Player Data'!$G:$G,AL10)/INDEX('Player Data'!$E:$E,AL10)*M10*L10*AM10</f>
        <v>411.92350538432964</v>
      </c>
      <c r="P10" s="5">
        <f>INDEX('Player Data'!$H:$H,AL10)/INDEX('Player Data'!$E:$E,AL10)*M10*L10*AM10</f>
        <v>317.94095803936131</v>
      </c>
      <c r="Q10" s="5">
        <f>INDEX('Player Data'!$I:$I,AL10)/INDEX('Player Data'!$E:$E,AL10)*M10*L10*AM10</f>
        <v>101.98106201262532</v>
      </c>
      <c r="R10" s="5">
        <f>INDEX('Player Data'!$J:$J,AL10)/INDEX('Player Data'!$E:$E,AL10)*M10*L10*AM10</f>
        <v>56.989417007055323</v>
      </c>
      <c r="S10" s="5">
        <f>INDEX('Player Data'!$K:$K,AL10)/INDEX('Player Data'!$E:$E,AL10)*M10*L10*AM10</f>
        <v>264.95079836613445</v>
      </c>
      <c r="T10" s="5">
        <f>INDEX('Player Data'!$L:$L,AL10)/INDEX('Player Data'!$E:$E,AL10)*M10*L10*AM10</f>
        <v>221.95878202747866</v>
      </c>
      <c r="U10" s="7">
        <f>INDEX('Player Data'!$M:$M,AL10)</f>
        <v>0.47</v>
      </c>
      <c r="V10" s="7">
        <f>INDEX('Player Data'!$N:$N,AL10)</f>
        <v>0.80800000000000005</v>
      </c>
      <c r="W10" s="5">
        <f t="shared" si="3"/>
        <v>728.97562848124767</v>
      </c>
      <c r="X10" s="5">
        <f>INDEX('Player Data'!$O:$O,AL10)/INDEX('Player Data'!$E:$E,AL10)*M10*L10*AM10</f>
        <v>1551.0119754920165</v>
      </c>
      <c r="Y10" s="5">
        <f t="shared" si="4"/>
        <v>427.67578017081325</v>
      </c>
      <c r="Z10" s="5">
        <f>INDEX('Player Data'!$P:$P,AL10)/INDEX('Player Data'!$E:$E,AL10)*M10*L10*AM10</f>
        <v>529.30170813219456</v>
      </c>
      <c r="AB10" s="3">
        <f>(N10-Pool!$D$2)/Pool!$E$2</f>
        <v>2.2461236785476095</v>
      </c>
      <c r="AC10" s="3">
        <f>(O10-Pool!$D$3)/Pool!$E$3</f>
        <v>-0.10186637517088955</v>
      </c>
      <c r="AD10" s="3">
        <f>(P10-Pool!$D$4)/Pool!$E$4</f>
        <v>0.2561837453079408</v>
      </c>
      <c r="AE10" s="3">
        <f>(Q10-Pool!$D$5)/Pool!$E$5</f>
        <v>1.2254976325757612</v>
      </c>
      <c r="AF10" s="3">
        <f>(R10-Pool!$D$6)/Pool!$E$6</f>
        <v>0.19260955433846194</v>
      </c>
      <c r="AG10" s="3">
        <f>(S10-Pool!$D$7)/Pool!$E$7</f>
        <v>1.9934691279584074</v>
      </c>
      <c r="AH10" s="3">
        <f>(AS10-Pool!$D$8)/Pool!$E$8</f>
        <v>-0.47737607119190761</v>
      </c>
      <c r="AI10" s="3">
        <f>(AT10-Pool!$D$9)/Pool!$E$9</f>
        <v>0.186509742552213</v>
      </c>
      <c r="AJ10" s="3">
        <f>-(T10-Pool!$D$10)/Pool!$E$10</f>
        <v>-1.3550972196924935</v>
      </c>
      <c r="AL10">
        <f>MATCH(B10,'Player Data'!$A:$A,0)</f>
        <v>5</v>
      </c>
      <c r="AM10" s="3">
        <f>1+IF(Settings!$F$10="ON",IFERROR(VLOOKUP(TRIM(F10),Settings!$D$12:$F$17,3,FALSE),0),0)</f>
        <v>1</v>
      </c>
      <c r="AN10" t="str">
        <f t="shared" si="5"/>
        <v>PG</v>
      </c>
      <c r="AO10" s="6">
        <f>X10*(U10-Pool!$B$12)</f>
        <v>-16.451226801217604</v>
      </c>
      <c r="AP10" s="6">
        <f>Z10*(V10-Pool!$B$13)</f>
        <v>9.4746820011330257</v>
      </c>
      <c r="AQ10" s="3">
        <f>Settings!$B$2*(N10-Pool!$B$2)/Pool!$C$2+Settings!$B$3*(O10-Pool!$B$3)/Pool!$C$3+Settings!$B$4*(P10-Pool!$B$4)/Pool!$C$4+Settings!$B$5*(Q10-Pool!$B$5)/Pool!$C$5+Settings!$B$6*(R10-Pool!$B$6)/Pool!$C$6+Settings!$B$7*(S10-Pool!$B$7)/Pool!$C$7+Settings!$B$8*(AO10-Pool!$B$8)/Pool!$C$8+Settings!$B$9*(AP10-Pool!$B$9)/Pool!$C$9+Settings!$B$10*-(T10-Pool!$B$10)/Pool!$C$10</f>
        <v>6.1455081685717037</v>
      </c>
      <c r="AR10">
        <f>IF(RANK(AQ10,$AQ$2:$AQ$266)&lt;=Settings!$F$5,1,0)</f>
        <v>1</v>
      </c>
      <c r="AS10" s="6">
        <f>X10*(U10-Pool!$D$12)</f>
        <v>-21.82831149733056</v>
      </c>
      <c r="AT10" s="6">
        <f>Z10*(V10-Pool!$D$13)</f>
        <v>4.1611420198506064</v>
      </c>
    </row>
    <row r="11" spans="1:46" x14ac:dyDescent="0.2">
      <c r="A11">
        <f t="shared" si="0"/>
        <v>10</v>
      </c>
      <c r="B11" t="s">
        <v>52</v>
      </c>
      <c r="C11" t="str">
        <f>INDEX('Player Data'!$C:$C,AL11)</f>
        <v>PG,SG</v>
      </c>
      <c r="D11">
        <f t="shared" si="1"/>
        <v>7</v>
      </c>
      <c r="E11" t="str">
        <f>INDEX('Player Data'!$B:$B,AL11)</f>
        <v>IND</v>
      </c>
      <c r="F11" s="2"/>
      <c r="G11" s="3">
        <f>Settings!$B$2*AB11+Settings!$B$3*AC11+Settings!$B$4*AD11+Settings!$B$5*AE11+Settings!$B$6*AF11+Settings!$B$7*AG11+Settings!$B$8*AH11+Settings!$B$9*AI11+Settings!$B$10*AJ11</f>
        <v>4.1652500176574829</v>
      </c>
      <c r="H11" s="3">
        <f>G11-LARGE($G$2:$G$266,Settings!$F$4)</f>
        <v>7.381514784104648</v>
      </c>
      <c r="I11">
        <f>IF(INDEX('Player Data'!$R:$R,AL11)="","",INDEX('Player Data'!$R:$R,AL11))</f>
        <v>24</v>
      </c>
      <c r="J11" s="4">
        <f t="shared" si="2"/>
        <v>14</v>
      </c>
      <c r="L11" s="5">
        <f>IF(Settings!$F$7="Yes",INDEX('Minutes &amp; Health'!$O:$O,AL11),Settings!$F$8)</f>
        <v>71</v>
      </c>
      <c r="M11" s="6">
        <f>INDEX('Minutes &amp; Health'!$P:$P,AL11)</f>
        <v>33.5</v>
      </c>
      <c r="N11" s="5">
        <f>INDEX('Player Data'!$F:$F,AL11)/INDEX('Player Data'!$E:$E,AL11)*M11*L11*AM11</f>
        <v>1334.7194199243379</v>
      </c>
      <c r="O11" s="5">
        <f>INDEX('Player Data'!$G:$G,AL11)/INDEX('Player Data'!$E:$E,AL11)*M11*L11*AM11</f>
        <v>263.94451450189155</v>
      </c>
      <c r="P11" s="5">
        <f>INDEX('Player Data'!$H:$H,AL11)/INDEX('Player Data'!$E:$E,AL11)*M11*L11*AM11</f>
        <v>690.85477091214784</v>
      </c>
      <c r="Q11" s="5">
        <f>INDEX('Player Data'!$I:$I,AL11)/INDEX('Player Data'!$E:$E,AL11)*M11*L11*AM11</f>
        <v>86.981715006305166</v>
      </c>
      <c r="R11" s="5">
        <f>INDEX('Player Data'!$J:$J,AL11)/INDEX('Player Data'!$E:$E,AL11)*M11*L11*AM11</f>
        <v>43.990752416981927</v>
      </c>
      <c r="S11" s="5">
        <f>INDEX('Player Data'!$K:$K,AL11)/INDEX('Player Data'!$E:$E,AL11)*M11*L11*AM11</f>
        <v>199.95796553173605</v>
      </c>
      <c r="T11" s="5">
        <f>INDEX('Player Data'!$L:$L,AL11)/INDEX('Player Data'!$E:$E,AL11)*M11*L11*AM11</f>
        <v>130.9724674232871</v>
      </c>
      <c r="U11" s="7">
        <f>INDEX('Player Data'!$M:$M,AL11)</f>
        <v>0.47799999999999998</v>
      </c>
      <c r="V11" s="7">
        <f>INDEX('Player Data'!$N:$N,AL11)</f>
        <v>0.85199999999999998</v>
      </c>
      <c r="W11" s="5">
        <f t="shared" si="3"/>
        <v>461.69874329550225</v>
      </c>
      <c r="X11" s="5">
        <f>INDEX('Player Data'!$O:$O,AL11)/INDEX('Player Data'!$E:$E,AL11)*M11*L11*AM11</f>
        <v>965.89695250105081</v>
      </c>
      <c r="Y11" s="5">
        <f t="shared" si="4"/>
        <v>211.4219556116015</v>
      </c>
      <c r="Z11" s="5">
        <f>INDEX('Player Data'!$P:$P,AL11)/INDEX('Player Data'!$E:$E,AL11)*M11*L11*AM11</f>
        <v>248.1478352248844</v>
      </c>
      <c r="AB11" s="3">
        <f>(N11-Pool!$D$2)/Pool!$E$2</f>
        <v>0.23500818807661716</v>
      </c>
      <c r="AC11" s="3">
        <f>(O11-Pool!$D$3)/Pool!$E$3</f>
        <v>-0.96317952299784926</v>
      </c>
      <c r="AD11" s="3">
        <f>(P11-Pool!$D$4)/Pool!$E$4</f>
        <v>2.7783220395776547</v>
      </c>
      <c r="AE11" s="3">
        <f>(Q11-Pool!$D$5)/Pool!$E$5</f>
        <v>0.56330392460507972</v>
      </c>
      <c r="AF11" s="3">
        <f>(R11-Pool!$D$6)/Pool!$E$6</f>
        <v>-0.18358123305567653</v>
      </c>
      <c r="AG11" s="3">
        <f>(S11-Pool!$D$7)/Pool!$E$7</f>
        <v>1.0780898024309151</v>
      </c>
      <c r="AH11" s="3">
        <f>(AS11-Pool!$D$8)/Pool!$E$8</f>
        <v>-0.1282971458185154</v>
      </c>
      <c r="AI11" s="3">
        <f>(AT11-Pool!$D$9)/Pool!$E$9</f>
        <v>0.57682639954668358</v>
      </c>
      <c r="AJ11" s="3">
        <f>-(T11-Pool!$D$10)/Pool!$E$10</f>
        <v>0.20875756529257389</v>
      </c>
      <c r="AL11">
        <f>MATCH(B11,'Player Data'!$A:$A,0)</f>
        <v>62</v>
      </c>
      <c r="AM11" s="3">
        <f>1+IF(Settings!$F$10="ON",IFERROR(VLOOKUP(TRIM(F11),Settings!$D$12:$F$17,3,FALSE),0),0)</f>
        <v>1</v>
      </c>
      <c r="AN11" t="str">
        <f t="shared" si="5"/>
        <v>PG</v>
      </c>
      <c r="AO11" s="6">
        <f>X11*(U11-Pool!$B$12)</f>
        <v>-2.51787089367757</v>
      </c>
      <c r="AP11" s="6">
        <f>Z11*(V11-Pool!$B$13)</f>
        <v>15.360436056563071</v>
      </c>
      <c r="AQ11" s="3">
        <f>Settings!$B$2*(N11-Pool!$B$2)/Pool!$C$2+Settings!$B$3*(O11-Pool!$B$3)/Pool!$C$3+Settings!$B$4*(P11-Pool!$B$4)/Pool!$C$4+Settings!$B$5*(Q11-Pool!$B$5)/Pool!$C$5+Settings!$B$6*(R11-Pool!$B$6)/Pool!$C$6+Settings!$B$7*(S11-Pool!$B$7)/Pool!$C$7+Settings!$B$8*(AO11-Pool!$B$8)/Pool!$C$8+Settings!$B$9*(AP11-Pool!$B$9)/Pool!$C$9+Settings!$B$10*-(T11-Pool!$B$10)/Pool!$C$10</f>
        <v>6.3579600112036587</v>
      </c>
      <c r="AR11">
        <f>IF(RANK(AQ11,$AQ$2:$AQ$266)&lt;=Settings!$F$5,1,0)</f>
        <v>1</v>
      </c>
      <c r="AS11" s="6">
        <f>X11*(U11-Pool!$D$12)</f>
        <v>-5.8664651040272222</v>
      </c>
      <c r="AT11" s="6">
        <f>Z11*(V11-Pool!$D$13)</f>
        <v>12.869336134764225</v>
      </c>
    </row>
    <row r="12" spans="1:46" x14ac:dyDescent="0.2">
      <c r="A12">
        <f t="shared" si="0"/>
        <v>11</v>
      </c>
      <c r="B12" t="s">
        <v>53</v>
      </c>
      <c r="C12" t="str">
        <f>INDEX('Player Data'!$C:$C,AL12)</f>
        <v>PF,C</v>
      </c>
      <c r="D12">
        <f t="shared" si="1"/>
        <v>2</v>
      </c>
      <c r="E12" t="str">
        <f>INDEX('Player Data'!$B:$B,AL12)</f>
        <v>WAS</v>
      </c>
      <c r="F12" s="2"/>
      <c r="G12" s="3">
        <f>Settings!$B$2*AB12+Settings!$B$3*AC12+Settings!$B$4*AD12+Settings!$B$5*AE12+Settings!$B$6*AF12+Settings!$B$7*AG12+Settings!$B$8*AH12+Settings!$B$9*AI12+Settings!$B$10*AJ12</f>
        <v>4.0868766037265329</v>
      </c>
      <c r="H12" s="3">
        <f>G12-LARGE($G$2:$G$266,Settings!$F$4)</f>
        <v>7.303141370173698</v>
      </c>
      <c r="I12">
        <f>IF(INDEX('Player Data'!$R:$R,AL12)="","",INDEX('Player Data'!$R:$R,AL12))</f>
        <v>25</v>
      </c>
      <c r="J12" s="4">
        <f t="shared" si="2"/>
        <v>14</v>
      </c>
      <c r="L12" s="5">
        <f>IF(Settings!$F$7="Yes",INDEX('Minutes &amp; Health'!$O:$O,AL12),Settings!$F$8)</f>
        <v>70</v>
      </c>
      <c r="M12" s="6">
        <f>INDEX('Minutes &amp; Health'!$P:$P,AL12)</f>
        <v>32.299999999999997</v>
      </c>
      <c r="N12" s="5">
        <f>INDEX('Player Data'!$F:$F,AL12)/INDEX('Player Data'!$E:$E,AL12)*M12*L12*AM12</f>
        <v>1535.0367581930914</v>
      </c>
      <c r="O12" s="5">
        <f>INDEX('Player Data'!$G:$G,AL12)/INDEX('Player Data'!$E:$E,AL12)*M12*L12*AM12</f>
        <v>766.01638618246227</v>
      </c>
      <c r="P12" s="5">
        <f>INDEX('Player Data'!$H:$H,AL12)/INDEX('Player Data'!$E:$E,AL12)*M12*L12*AM12</f>
        <v>209.27767936226746</v>
      </c>
      <c r="Q12" s="5">
        <f>INDEX('Player Data'!$I:$I,AL12)/INDEX('Player Data'!$E:$E,AL12)*M12*L12*AM12</f>
        <v>76.100974313551802</v>
      </c>
      <c r="R12" s="5">
        <f>INDEX('Player Data'!$J:$J,AL12)/INDEX('Player Data'!$E:$E,AL12)*M12*L12*AM12</f>
        <v>138.18334809565985</v>
      </c>
      <c r="S12" s="5">
        <f>INDEX('Player Data'!$K:$K,AL12)/INDEX('Player Data'!$E:$E,AL12)*M12*L12*AM12</f>
        <v>38.050487156775901</v>
      </c>
      <c r="T12" s="5">
        <f>INDEX('Player Data'!$L:$L,AL12)/INDEX('Player Data'!$E:$E,AL12)*M12*L12*AM12</f>
        <v>150.19929140832593</v>
      </c>
      <c r="U12" s="7">
        <f>INDEX('Player Data'!$M:$M,AL12)</f>
        <v>0.51400000000000001</v>
      </c>
      <c r="V12" s="7">
        <f>INDEX('Player Data'!$N:$N,AL12)</f>
        <v>0.78300000000000003</v>
      </c>
      <c r="W12" s="5">
        <f t="shared" si="3"/>
        <v>632.03060761736049</v>
      </c>
      <c r="X12" s="5">
        <f>INDEX('Player Data'!$O:$O,AL12)/INDEX('Player Data'!$E:$E,AL12)*M12*L12*AM12</f>
        <v>1229.631532329495</v>
      </c>
      <c r="Y12" s="5">
        <f t="shared" si="4"/>
        <v>232.85996944198405</v>
      </c>
      <c r="Z12" s="5">
        <f>INDEX('Player Data'!$P:$P,AL12)/INDEX('Player Data'!$E:$E,AL12)*M12*L12*AM12</f>
        <v>297.39459698848538</v>
      </c>
      <c r="AB12" s="3">
        <f>(N12-Pool!$D$2)/Pool!$E$2</f>
        <v>0.72878264494835709</v>
      </c>
      <c r="AC12" s="3">
        <f>(O12-Pool!$D$3)/Pool!$E$3</f>
        <v>1.9591346626429933</v>
      </c>
      <c r="AD12" s="3">
        <f>(P12-Pool!$D$4)/Pool!$E$4</f>
        <v>-0.47874160975229779</v>
      </c>
      <c r="AE12" s="3">
        <f>(Q12-Pool!$D$5)/Pool!$E$5</f>
        <v>8.2939144607266951E-2</v>
      </c>
      <c r="AF12" s="3">
        <f>(R12-Pool!$D$6)/Pool!$E$6</f>
        <v>2.5424208488904583</v>
      </c>
      <c r="AG12" s="3">
        <f>(S12-Pool!$D$7)/Pool!$E$7</f>
        <v>-1.2022656135325422</v>
      </c>
      <c r="AH12" s="3">
        <f>(AS12-Pool!$D$8)/Pool!$E$8</f>
        <v>0.80476683558123296</v>
      </c>
      <c r="AI12" s="3">
        <f>(AT12-Pool!$D$9)/Pool!$E$9</f>
        <v>-0.22845102595482028</v>
      </c>
      <c r="AJ12" s="3">
        <f>-(T12-Pool!$D$10)/Pool!$E$10</f>
        <v>-0.12170928370411545</v>
      </c>
      <c r="AL12">
        <f>MATCH(B12,'Player Data'!$A:$A,0)</f>
        <v>31</v>
      </c>
      <c r="AM12" s="3">
        <f>1+IF(Settings!$F$10="ON",IFERROR(VLOOKUP(TRIM(F12),Settings!$D$12:$F$17,3,FALSE),0),0)</f>
        <v>1</v>
      </c>
      <c r="AN12" t="str">
        <f t="shared" si="5"/>
        <v>PF</v>
      </c>
      <c r="AO12" s="6">
        <f>X12*(U12-Pool!$B$12)</f>
        <v>41.061368962856875</v>
      </c>
      <c r="AP12" s="6">
        <f>Z12*(V12-Pool!$B$13)</f>
        <v>-2.1113997024588262</v>
      </c>
      <c r="AQ12" s="3">
        <f>Settings!$B$2*(N12-Pool!$B$2)/Pool!$C$2+Settings!$B$3*(O12-Pool!$B$3)/Pool!$C$3+Settings!$B$4*(P12-Pool!$B$4)/Pool!$C$4+Settings!$B$5*(Q12-Pool!$B$5)/Pool!$C$5+Settings!$B$6*(R12-Pool!$B$6)/Pool!$C$6+Settings!$B$7*(S12-Pool!$B$7)/Pool!$C$7+Settings!$B$8*(AO12-Pool!$B$8)/Pool!$C$8+Settings!$B$9*(AP12-Pool!$B$9)/Pool!$C$9+Settings!$B$10*-(T12-Pool!$B$10)/Pool!$C$10</f>
        <v>6.4983472598920349</v>
      </c>
      <c r="AR12">
        <f>IF(RANK(AQ12,$AQ$2:$AQ$266)&lt;=Settings!$F$5,1,0)</f>
        <v>1</v>
      </c>
      <c r="AS12" s="6">
        <f>X12*(U12-Pool!$D$12)</f>
        <v>36.798453525179852</v>
      </c>
      <c r="AT12" s="6">
        <f>Z12*(V12-Pool!$D$13)</f>
        <v>-5.0968767130885091</v>
      </c>
    </row>
    <row r="13" spans="1:46" x14ac:dyDescent="0.2">
      <c r="A13">
        <f t="shared" si="0"/>
        <v>12</v>
      </c>
      <c r="B13" t="s">
        <v>54</v>
      </c>
      <c r="C13" t="str">
        <f>INDEX('Player Data'!$C:$C,AL13)</f>
        <v>PF,C</v>
      </c>
      <c r="D13">
        <f t="shared" si="1"/>
        <v>3</v>
      </c>
      <c r="E13" t="str">
        <f>INDEX('Player Data'!$B:$B,AL13)</f>
        <v>NYK</v>
      </c>
      <c r="F13" s="2"/>
      <c r="G13" s="3">
        <f>Settings!$B$2*AB13+Settings!$B$3*AC13+Settings!$B$4*AD13+Settings!$B$5*AE13+Settings!$B$6*AF13+Settings!$B$7*AG13+Settings!$B$8*AH13+Settings!$B$9*AI13+Settings!$B$10*AJ13</f>
        <v>3.8784685125672995</v>
      </c>
      <c r="H13" s="3">
        <f>G13-LARGE($G$2:$G$266,Settings!$F$4)</f>
        <v>7.0947332790144646</v>
      </c>
      <c r="I13">
        <f>IF(INDEX('Player Data'!$R:$R,AL13)="","",INDEX('Player Data'!$R:$R,AL13))</f>
        <v>11</v>
      </c>
      <c r="J13" s="4">
        <f t="shared" si="2"/>
        <v>-1</v>
      </c>
      <c r="L13" s="5">
        <f>IF(Settings!$F$7="Yes",INDEX('Minutes &amp; Health'!$O:$O,AL13),Settings!$F$8)</f>
        <v>74</v>
      </c>
      <c r="M13" s="6">
        <f>INDEX('Minutes &amp; Health'!$P:$P,AL13)</f>
        <v>32.799999999999997</v>
      </c>
      <c r="N13" s="5">
        <f>INDEX('Player Data'!$F:$F,AL13)/INDEX('Player Data'!$E:$E,AL13)*M13*L13*AM13</f>
        <v>1573.0739273927391</v>
      </c>
      <c r="O13" s="5">
        <f>INDEX('Player Data'!$G:$G,AL13)/INDEX('Player Data'!$E:$E,AL13)*M13*L13*AM13</f>
        <v>870.14719471947183</v>
      </c>
      <c r="P13" s="5">
        <f>INDEX('Player Data'!$H:$H,AL13)/INDEX('Player Data'!$E:$E,AL13)*M13*L13*AM13</f>
        <v>271.35775577557757</v>
      </c>
      <c r="Q13" s="5">
        <f>INDEX('Player Data'!$I:$I,AL13)/INDEX('Player Data'!$E:$E,AL13)*M13*L13*AM13</f>
        <v>68.089768976897673</v>
      </c>
      <c r="R13" s="5">
        <f>INDEX('Player Data'!$J:$J,AL13)/INDEX('Player Data'!$E:$E,AL13)*M13*L13*AM13</f>
        <v>50.066006600660067</v>
      </c>
      <c r="S13" s="5">
        <f>INDEX('Player Data'!$K:$K,AL13)/INDEX('Player Data'!$E:$E,AL13)*M13*L13*AM13</f>
        <v>128.16897689768976</v>
      </c>
      <c r="T13" s="5">
        <f>INDEX('Player Data'!$L:$L,AL13)/INDEX('Player Data'!$E:$E,AL13)*M13*L13*AM13</f>
        <v>188.24818481848183</v>
      </c>
      <c r="U13" s="7">
        <f>INDEX('Player Data'!$M:$M,AL13)</f>
        <v>0.51</v>
      </c>
      <c r="V13" s="7">
        <f>INDEX('Player Data'!$N:$N,AL13)</f>
        <v>0.85099999999999998</v>
      </c>
      <c r="W13" s="5">
        <f t="shared" si="3"/>
        <v>549.68870495049509</v>
      </c>
      <c r="X13" s="5">
        <f>INDEX('Player Data'!$O:$O,AL13)/INDEX('Player Data'!$E:$E,AL13)*M13*L13*AM13</f>
        <v>1077.82099009901</v>
      </c>
      <c r="Y13" s="5">
        <f t="shared" si="4"/>
        <v>345.53605181518145</v>
      </c>
      <c r="Z13" s="5">
        <f>INDEX('Player Data'!$P:$P,AL13)/INDEX('Player Data'!$E:$E,AL13)*M13*L13*AM13</f>
        <v>406.03531353135304</v>
      </c>
      <c r="AB13" s="3">
        <f>(N13-Pool!$D$2)/Pool!$E$2</f>
        <v>0.82254278935131508</v>
      </c>
      <c r="AC13" s="3">
        <f>(O13-Pool!$D$3)/Pool!$E$3</f>
        <v>2.5652290409864147</v>
      </c>
      <c r="AD13" s="3">
        <f>(P13-Pool!$D$4)/Pool!$E$4</f>
        <v>-5.8873713663899763E-2</v>
      </c>
      <c r="AE13" s="3">
        <f>(Q13-Pool!$D$5)/Pool!$E$5</f>
        <v>-0.27074090326136346</v>
      </c>
      <c r="AF13" s="3">
        <f>(R13-Pool!$D$6)/Pool!$E$6</f>
        <v>-7.7589676882993553E-3</v>
      </c>
      <c r="AG13" s="3">
        <f>(S13-Pool!$D$7)/Pool!$E$7</f>
        <v>6.6991299253286146E-2</v>
      </c>
      <c r="AH13" s="3">
        <f>(AS13-Pool!$D$8)/Pool!$E$8</f>
        <v>0.61112418676815117</v>
      </c>
      <c r="AI13" s="3">
        <f>(AT13-Pool!$D$9)/Pool!$E$9</f>
        <v>0.92564092117407282</v>
      </c>
      <c r="AJ13" s="3">
        <f>-(T13-Pool!$D$10)/Pool!$E$10</f>
        <v>-0.77568614035237804</v>
      </c>
      <c r="AL13">
        <f>MATCH(B13,'Player Data'!$A:$A,0)</f>
        <v>38</v>
      </c>
      <c r="AM13" s="3">
        <f>1+IF(Settings!$F$10="ON",IFERROR(VLOOKUP(TRIM(F13),Settings!$D$12:$F$17,3,FALSE),0),0)</f>
        <v>1</v>
      </c>
      <c r="AN13" t="str">
        <f t="shared" si="5"/>
        <v>PF</v>
      </c>
      <c r="AO13" s="6">
        <f>X13*(U13-Pool!$B$12)</f>
        <v>31.680640601366086</v>
      </c>
      <c r="AP13" s="6">
        <f>Z13*(V13-Pool!$B$13)</f>
        <v>24.727689768344554</v>
      </c>
      <c r="AQ13" s="3">
        <f>Settings!$B$2*(N13-Pool!$B$2)/Pool!$C$2+Settings!$B$3*(O13-Pool!$B$3)/Pool!$C$3+Settings!$B$4*(P13-Pool!$B$4)/Pool!$C$4+Settings!$B$5*(Q13-Pool!$B$5)/Pool!$C$5+Settings!$B$6*(R13-Pool!$B$6)/Pool!$C$6+Settings!$B$7*(S13-Pool!$B$7)/Pool!$C$7+Settings!$B$8*(AO13-Pool!$B$8)/Pool!$C$8+Settings!$B$9*(AP13-Pool!$B$9)/Pool!$C$9+Settings!$B$10*-(T13-Pool!$B$10)/Pool!$C$10</f>
        <v>6.3680096095532672</v>
      </c>
      <c r="AR13">
        <f>IF(RANK(AQ13,$AQ$2:$AQ$266)&lt;=Settings!$F$5,1,0)</f>
        <v>1</v>
      </c>
      <c r="AS13" s="6">
        <f>X13*(U13-Pool!$D$12)</f>
        <v>27.944025512258072</v>
      </c>
      <c r="AT13" s="6">
        <f>Z13*(V13-Pool!$D$13)</f>
        <v>20.65159320732127</v>
      </c>
    </row>
    <row r="14" spans="1:46" x14ac:dyDescent="0.2">
      <c r="A14">
        <f t="shared" si="0"/>
        <v>13</v>
      </c>
      <c r="B14" t="s">
        <v>55</v>
      </c>
      <c r="C14" t="str">
        <f>INDEX('Player Data'!$C:$C,AL14)</f>
        <v>SF,PF</v>
      </c>
      <c r="D14">
        <f t="shared" si="1"/>
        <v>1</v>
      </c>
      <c r="E14" t="str">
        <f>INDEX('Player Data'!$B:$B,AL14)</f>
        <v>BOS</v>
      </c>
      <c r="F14" s="2"/>
      <c r="G14" s="3">
        <f>Settings!$B$2*AB14+Settings!$B$3*AC14+Settings!$B$4*AD14+Settings!$B$5*AE14+Settings!$B$6*AF14+Settings!$B$7*AG14+Settings!$B$8*AH14+Settings!$B$9*AI14+Settings!$B$10*AJ14</f>
        <v>3.6371903488784803</v>
      </c>
      <c r="H14" s="3">
        <f>G14-LARGE($G$2:$G$266,Settings!$F$4)</f>
        <v>6.8534551153256453</v>
      </c>
      <c r="I14">
        <f>IF(INDEX('Player Data'!$R:$R,AL14)="","",INDEX('Player Data'!$R:$R,AL14))</f>
        <v>8</v>
      </c>
      <c r="J14" s="4">
        <f t="shared" si="2"/>
        <v>-5</v>
      </c>
      <c r="L14" s="5">
        <f>IF(Settings!$F$7="Yes",INDEX('Minutes &amp; Health'!$O:$O,AL14),Settings!$F$8)</f>
        <v>74</v>
      </c>
      <c r="M14" s="6">
        <f>INDEX('Minutes &amp; Health'!$P:$P,AL14)</f>
        <v>36.1</v>
      </c>
      <c r="N14" s="5">
        <f>INDEX('Player Data'!$F:$F,AL14)/INDEX('Player Data'!$E:$E,AL14)*M14*L14*AM14</f>
        <v>2043.3059528266567</v>
      </c>
      <c r="O14" s="5">
        <f>INDEX('Player Data'!$G:$G,AL14)/INDEX('Player Data'!$E:$E,AL14)*M14*L14*AM14</f>
        <v>660.09883938599774</v>
      </c>
      <c r="P14" s="5">
        <f>INDEX('Player Data'!$H:$H,AL14)/INDEX('Player Data'!$E:$E,AL14)*M14*L14*AM14</f>
        <v>421.06304754773498</v>
      </c>
      <c r="Q14" s="5">
        <f>INDEX('Player Data'!$I:$I,AL14)/INDEX('Player Data'!$E:$E,AL14)*M14*L14*AM14</f>
        <v>83.012429801572452</v>
      </c>
      <c r="R14" s="5">
        <f>INDEX('Player Data'!$J:$J,AL14)/INDEX('Player Data'!$E:$E,AL14)*M14*L14*AM14</f>
        <v>34.005091725945341</v>
      </c>
      <c r="S14" s="5">
        <f>INDEX('Player Data'!$K:$K,AL14)/INDEX('Player Data'!$E:$E,AL14)*M14*L14*AM14</f>
        <v>256.03833770123549</v>
      </c>
      <c r="T14" s="5">
        <f>INDEX('Player Data'!$L:$L,AL14)/INDEX('Player Data'!$E:$E,AL14)*M14*L14*AM14</f>
        <v>229.03429427180833</v>
      </c>
      <c r="U14" s="7">
        <f>INDEX('Player Data'!$M:$M,AL14)</f>
        <v>0.44700000000000001</v>
      </c>
      <c r="V14" s="7">
        <f>INDEX('Player Data'!$N:$N,AL14)</f>
        <v>0.81899999999999995</v>
      </c>
      <c r="W14" s="5">
        <f t="shared" si="3"/>
        <v>720.00130883564213</v>
      </c>
      <c r="X14" s="5">
        <f>INDEX('Player Data'!$O:$O,AL14)/INDEX('Player Data'!$E:$E,AL14)*M14*L14*AM14</f>
        <v>1610.741183077499</v>
      </c>
      <c r="Y14" s="5">
        <f t="shared" si="4"/>
        <v>347.30800389367278</v>
      </c>
      <c r="Z14" s="5">
        <f>INDEX('Player Data'!$P:$P,AL14)/INDEX('Player Data'!$E:$E,AL14)*M14*L14*AM14</f>
        <v>424.06349681767131</v>
      </c>
      <c r="AB14" s="3">
        <f>(N14-Pool!$D$2)/Pool!$E$2</f>
        <v>1.9816464643952485</v>
      </c>
      <c r="AC14" s="3">
        <f>(O14-Pool!$D$3)/Pool!$E$3</f>
        <v>1.3426405569773561</v>
      </c>
      <c r="AD14" s="3">
        <f>(P14-Pool!$D$4)/Pool!$E$4</f>
        <v>0.95363222255944757</v>
      </c>
      <c r="AE14" s="3">
        <f>(Q14-Pool!$D$5)/Pool!$E$5</f>
        <v>0.38806725019468047</v>
      </c>
      <c r="AF14" s="3">
        <f>(R14-Pool!$D$6)/Pool!$E$6</f>
        <v>-0.47257350083681937</v>
      </c>
      <c r="AG14" s="3">
        <f>(S14-Pool!$D$7)/Pool!$E$7</f>
        <v>1.8679432526205404</v>
      </c>
      <c r="AH14" s="3">
        <f>(AS14-Pool!$D$8)/Pool!$E$8</f>
        <v>-1.3059632183995129</v>
      </c>
      <c r="AI14" s="3">
        <f>(AT14-Pool!$D$9)/Pool!$E$9</f>
        <v>0.3585070464972599</v>
      </c>
      <c r="AJ14" s="3">
        <f>-(T14-Pool!$D$10)/Pool!$E$10</f>
        <v>-1.4767097251297194</v>
      </c>
      <c r="AL14">
        <f>MATCH(B14,'Player Data'!$A:$A,0)</f>
        <v>6</v>
      </c>
      <c r="AM14" s="3">
        <f>1+IF(Settings!$F$10="ON",IFERROR(VLOOKUP(TRIM(F14),Settings!$D$12:$F$17,3,FALSE),0),0)</f>
        <v>1</v>
      </c>
      <c r="AN14" t="str">
        <f t="shared" si="5"/>
        <v>SF</v>
      </c>
      <c r="AO14" s="6">
        <f>X14*(U14-Pool!$B$12)</f>
        <v>-54.131807960268908</v>
      </c>
      <c r="AP14" s="6">
        <f>Z14*(V14-Pool!$B$13)</f>
        <v>12.255580411727921</v>
      </c>
      <c r="AQ14" s="3">
        <f>Settings!$B$2*(N14-Pool!$B$2)/Pool!$C$2+Settings!$B$3*(O14-Pool!$B$3)/Pool!$C$3+Settings!$B$4*(P14-Pool!$B$4)/Pool!$C$4+Settings!$B$5*(Q14-Pool!$B$5)/Pool!$C$5+Settings!$B$6*(R14-Pool!$B$6)/Pool!$C$6+Settings!$B$7*(S14-Pool!$B$7)/Pool!$C$7+Settings!$B$8*(AO14-Pool!$B$8)/Pool!$C$8+Settings!$B$9*(AP14-Pool!$B$9)/Pool!$C$9+Settings!$B$10*-(T14-Pool!$B$10)/Pool!$C$10</f>
        <v>5.5593322546578614</v>
      </c>
      <c r="AR14">
        <f>IF(RANK(AQ14,$AQ$2:$AQ$266)&lt;=Settings!$F$5,1,0)</f>
        <v>1</v>
      </c>
      <c r="AS14" s="6">
        <f>X14*(U14-Pool!$D$12)</f>
        <v>-59.7159632742067</v>
      </c>
      <c r="AT14" s="6">
        <f>Z14*(V14-Pool!$D$13)</f>
        <v>7.9985030013894614</v>
      </c>
    </row>
    <row r="15" spans="1:46" x14ac:dyDescent="0.2">
      <c r="A15">
        <f t="shared" si="0"/>
        <v>14</v>
      </c>
      <c r="B15" t="s">
        <v>56</v>
      </c>
      <c r="C15" t="str">
        <f>INDEX('Player Data'!$C:$C,AL15)</f>
        <v>PF,SF,SG</v>
      </c>
      <c r="D15">
        <f t="shared" si="1"/>
        <v>4</v>
      </c>
      <c r="E15" t="str">
        <f>INDEX('Player Data'!$B:$B,AL15)</f>
        <v>HOU</v>
      </c>
      <c r="F15" s="2"/>
      <c r="G15" s="3">
        <f>Settings!$B$2*AB15+Settings!$B$3*AC15+Settings!$B$4*AD15+Settings!$B$5*AE15+Settings!$B$6*AF15+Settings!$B$7*AG15+Settings!$B$8*AH15+Settings!$B$9*AI15+Settings!$B$10*AJ15</f>
        <v>3.3433892351184888</v>
      </c>
      <c r="H15" s="3">
        <f>G15-LARGE($G$2:$G$266,Settings!$F$4)</f>
        <v>6.5596540015656544</v>
      </c>
      <c r="I15">
        <f>IF(INDEX('Player Data'!$R:$R,AL15)="","",INDEX('Player Data'!$R:$R,AL15))</f>
        <v>12</v>
      </c>
      <c r="J15" s="4">
        <f t="shared" si="2"/>
        <v>-2</v>
      </c>
      <c r="L15" s="5">
        <f>IF(Settings!$F$7="Yes",INDEX('Minutes &amp; Health'!$O:$O,AL15),Settings!$F$8)</f>
        <v>75</v>
      </c>
      <c r="M15" s="6">
        <f>INDEX('Minutes &amp; Health'!$P:$P,AL15)</f>
        <v>35.799999999999997</v>
      </c>
      <c r="N15" s="5">
        <f>INDEX('Player Data'!$F:$F,AL15)/INDEX('Player Data'!$E:$E,AL15)*M15*L15*AM15</f>
        <v>1890.1118568232662</v>
      </c>
      <c r="O15" s="5">
        <f>INDEX('Player Data'!$G:$G,AL15)/INDEX('Player Data'!$E:$E,AL15)*M15*L15*AM15</f>
        <v>425.47539149888138</v>
      </c>
      <c r="P15" s="5">
        <f>INDEX('Player Data'!$H:$H,AL15)/INDEX('Player Data'!$E:$E,AL15)*M15*L15*AM15</f>
        <v>314.35123042505586</v>
      </c>
      <c r="Q15" s="5">
        <f>INDEX('Player Data'!$I:$I,AL15)/INDEX('Player Data'!$E:$E,AL15)*M15*L15*AM15</f>
        <v>62.069351230425056</v>
      </c>
      <c r="R15" s="5">
        <f>INDEX('Player Data'!$J:$J,AL15)/INDEX('Player Data'!$E:$E,AL15)*M15*L15*AM15</f>
        <v>77.086129753914989</v>
      </c>
      <c r="S15" s="5">
        <f>INDEX('Player Data'!$K:$K,AL15)/INDEX('Player Data'!$E:$E,AL15)*M15*L15*AM15</f>
        <v>172.19239373601789</v>
      </c>
      <c r="T15" s="5">
        <f>INDEX('Player Data'!$L:$L,AL15)/INDEX('Player Data'!$E:$E,AL15)*M15*L15*AM15</f>
        <v>229.25615212527961</v>
      </c>
      <c r="U15" s="7">
        <f>INDEX('Player Data'!$M:$M,AL15)</f>
        <v>0.51700000000000002</v>
      </c>
      <c r="V15" s="7">
        <f>INDEX('Player Data'!$N:$N,AL15)</f>
        <v>0.86</v>
      </c>
      <c r="W15" s="5">
        <f t="shared" si="3"/>
        <v>675.33616554809839</v>
      </c>
      <c r="X15" s="5">
        <f>INDEX('Player Data'!$O:$O,AL15)/INDEX('Player Data'!$E:$E,AL15)*M15*L15*AM15</f>
        <v>1306.2595078299776</v>
      </c>
      <c r="Y15" s="5">
        <f t="shared" si="4"/>
        <v>367.20027964205815</v>
      </c>
      <c r="Z15" s="5">
        <f>INDEX('Player Data'!$P:$P,AL15)/INDEX('Player Data'!$E:$E,AL15)*M15*L15*AM15</f>
        <v>426.9770693512304</v>
      </c>
      <c r="AB15" s="3">
        <f>(N15-Pool!$D$2)/Pool!$E$2</f>
        <v>1.6040289690562013</v>
      </c>
      <c r="AC15" s="3">
        <f>(O15-Pool!$D$3)/Pool!$E$3</f>
        <v>-2.2987490954209273E-2</v>
      </c>
      <c r="AD15" s="3">
        <f>(P15-Pool!$D$4)/Pool!$E$4</f>
        <v>0.23190524134937121</v>
      </c>
      <c r="AE15" s="3">
        <f>(Q15-Pool!$D$5)/Pool!$E$5</f>
        <v>-0.53653132396363545</v>
      </c>
      <c r="AF15" s="3">
        <f>(R15-Pool!$D$6)/Pool!$E$6</f>
        <v>0.77422300700408453</v>
      </c>
      <c r="AG15" s="3">
        <f>(S15-Pool!$D$7)/Pool!$E$7</f>
        <v>0.6870308306207521</v>
      </c>
      <c r="AH15" s="3">
        <f>(AS15-Pool!$D$8)/Pool!$E$8</f>
        <v>0.94062021520438843</v>
      </c>
      <c r="AI15" s="3">
        <f>(AT15-Pool!$D$9)/Pool!$E$9</f>
        <v>1.1456227608494787</v>
      </c>
      <c r="AJ15" s="3">
        <f>-(T15-Pool!$D$10)/Pool!$E$10</f>
        <v>-1.4805229740479429</v>
      </c>
      <c r="AL15">
        <f>MATCH(B15,'Player Data'!$A:$A,0)</f>
        <v>14</v>
      </c>
      <c r="AM15" s="3">
        <f>1+IF(Settings!$F$10="ON",IFERROR(VLOOKUP(TRIM(F15),Settings!$D$12:$F$17,3,FALSE),0),0)</f>
        <v>1</v>
      </c>
      <c r="AN15" t="str">
        <f t="shared" si="5"/>
        <v>PF</v>
      </c>
      <c r="AO15" s="6">
        <f>X15*(U15-Pool!$B$12)</f>
        <v>47.539003120880864</v>
      </c>
      <c r="AP15" s="6">
        <f>Z15*(V15-Pool!$B$13)</f>
        <v>29.845843500015995</v>
      </c>
      <c r="AQ15" s="3">
        <f>Settings!$B$2*(N15-Pool!$B$2)/Pool!$C$2+Settings!$B$3*(O15-Pool!$B$3)/Pool!$C$3+Settings!$B$4*(P15-Pool!$B$4)/Pool!$C$4+Settings!$B$5*(Q15-Pool!$B$5)/Pool!$C$5+Settings!$B$6*(R15-Pool!$B$6)/Pool!$C$6+Settings!$B$7*(S15-Pool!$B$7)/Pool!$C$7+Settings!$B$8*(AO15-Pool!$B$8)/Pool!$C$8+Settings!$B$9*(AP15-Pool!$B$9)/Pool!$C$9+Settings!$B$10*-(T15-Pool!$B$10)/Pool!$C$10</f>
        <v>5.986833588967662</v>
      </c>
      <c r="AR15">
        <f>IF(RANK(AQ15,$AQ$2:$AQ$266)&lt;=Settings!$F$5,1,0)</f>
        <v>1</v>
      </c>
      <c r="AS15" s="6">
        <f>X15*(U15-Pool!$D$12)</f>
        <v>43.010432020405332</v>
      </c>
      <c r="AT15" s="6">
        <f>Z15*(V15-Pool!$D$13)</f>
        <v>25.55951739482623</v>
      </c>
    </row>
    <row r="16" spans="1:46" x14ac:dyDescent="0.2">
      <c r="A16">
        <f t="shared" si="0"/>
        <v>15</v>
      </c>
      <c r="B16" t="s">
        <v>57</v>
      </c>
      <c r="C16" t="str">
        <f>INDEX('Player Data'!$C:$C,AL16)</f>
        <v>PG,SG</v>
      </c>
      <c r="D16">
        <f t="shared" si="1"/>
        <v>8</v>
      </c>
      <c r="E16" t="str">
        <f>INDEX('Player Data'!$B:$B,AL16)</f>
        <v>DET</v>
      </c>
      <c r="F16" s="2"/>
      <c r="G16" s="3">
        <f>Settings!$B$2*AB16+Settings!$B$3*AC16+Settings!$B$4*AD16+Settings!$B$5*AE16+Settings!$B$6*AF16+Settings!$B$7*AG16+Settings!$B$8*AH16+Settings!$B$9*AI16+Settings!$B$10*AJ16</f>
        <v>3.292631182151756</v>
      </c>
      <c r="H16" s="3">
        <f>G16-LARGE($G$2:$G$266,Settings!$F$4)</f>
        <v>6.5088959485989211</v>
      </c>
      <c r="I16">
        <f>IF(INDEX('Player Data'!$R:$R,AL16)="","",INDEX('Player Data'!$R:$R,AL16))</f>
        <v>5</v>
      </c>
      <c r="J16" s="4">
        <f t="shared" si="2"/>
        <v>-10</v>
      </c>
      <c r="L16" s="5">
        <f>IF(Settings!$F$7="Yes",INDEX('Minutes &amp; Health'!$O:$O,AL16),Settings!$F$8)</f>
        <v>74</v>
      </c>
      <c r="M16" s="6">
        <f>INDEX('Minutes &amp; Health'!$P:$P,AL16)</f>
        <v>35.1</v>
      </c>
      <c r="N16" s="5">
        <f>INDEX('Player Data'!$F:$F,AL16)/INDEX('Player Data'!$E:$E,AL16)*M16*L16*AM16</f>
        <v>1817.6795375722545</v>
      </c>
      <c r="O16" s="5">
        <f>INDEX('Player Data'!$G:$G,AL16)/INDEX('Player Data'!$E:$E,AL16)*M16*L16*AM16</f>
        <v>427.39491329479773</v>
      </c>
      <c r="P16" s="5">
        <f>INDEX('Player Data'!$H:$H,AL16)/INDEX('Player Data'!$E:$E,AL16)*M16*L16*AM16</f>
        <v>701.64832369942201</v>
      </c>
      <c r="Q16" s="5">
        <f>INDEX('Player Data'!$I:$I,AL16)/INDEX('Player Data'!$E:$E,AL16)*M16*L16*AM16</f>
        <v>99.091560693641625</v>
      </c>
      <c r="R16" s="5">
        <f>INDEX('Player Data'!$J:$J,AL16)/INDEX('Player Data'!$E:$E,AL16)*M16*L16*AM16</f>
        <v>61.056416184971106</v>
      </c>
      <c r="S16" s="5">
        <f>INDEX('Player Data'!$K:$K,AL16)/INDEX('Player Data'!$E:$E,AL16)*M16*L16*AM16</f>
        <v>152.14057803468208</v>
      </c>
      <c r="T16" s="5">
        <f>INDEX('Player Data'!$L:$L,AL16)/INDEX('Player Data'!$E:$E,AL16)*M16*L16*AM16</f>
        <v>292.27005780346821</v>
      </c>
      <c r="U16" s="7">
        <f>INDEX('Player Data'!$M:$M,AL16)</f>
        <v>0.46100000000000002</v>
      </c>
      <c r="V16" s="7">
        <f>INDEX('Player Data'!$N:$N,AL16)</f>
        <v>0.82499999999999996</v>
      </c>
      <c r="W16" s="5">
        <f t="shared" si="3"/>
        <v>651.02644904046258</v>
      </c>
      <c r="X16" s="5">
        <f>INDEX('Player Data'!$O:$O,AL16)/INDEX('Player Data'!$E:$E,AL16)*M16*L16*AM16</f>
        <v>1412.204878612717</v>
      </c>
      <c r="Y16" s="5">
        <f t="shared" si="4"/>
        <v>363.50087514450871</v>
      </c>
      <c r="Z16" s="5">
        <f>INDEX('Player Data'!$P:$P,AL16)/INDEX('Player Data'!$E:$E,AL16)*M16*L16*AM16</f>
        <v>440.60712138728331</v>
      </c>
      <c r="AB16" s="3">
        <f>(N16-Pool!$D$2)/Pool!$E$2</f>
        <v>1.4254861159650487</v>
      </c>
      <c r="AC16" s="3">
        <f>(O16-Pool!$D$3)/Pool!$E$3</f>
        <v>-1.1814895773609316E-2</v>
      </c>
      <c r="AD16" s="3">
        <f>(P16-Pool!$D$4)/Pool!$E$4</f>
        <v>2.8513223733713837</v>
      </c>
      <c r="AE16" s="3">
        <f>(Q16-Pool!$D$5)/Pool!$E$5</f>
        <v>1.0979314397409834</v>
      </c>
      <c r="AF16" s="3">
        <f>(R16-Pool!$D$6)/Pool!$E$6</f>
        <v>0.31031146228982431</v>
      </c>
      <c r="AG16" s="3">
        <f>(S16-Pool!$D$7)/Pool!$E$7</f>
        <v>0.40461480516362369</v>
      </c>
      <c r="AH16" s="3">
        <f>(AS16-Pool!$D$8)/Pool!$E$8</f>
        <v>-0.71261250818668598</v>
      </c>
      <c r="AI16" s="3">
        <f>(AT16-Pool!$D$9)/Pool!$E$9</f>
        <v>0.49098591488863985</v>
      </c>
      <c r="AJ16" s="3">
        <f>-(T16-Pool!$D$10)/Pool!$E$10</f>
        <v>-2.5635935253074527</v>
      </c>
      <c r="AL16">
        <f>MATCH(B16,'Player Data'!$A:$A,0)</f>
        <v>18</v>
      </c>
      <c r="AM16" s="3">
        <f>1+IF(Settings!$F$10="ON",IFERROR(VLOOKUP(TRIM(F16),Settings!$D$12:$F$17,3,FALSE),0),0)</f>
        <v>1</v>
      </c>
      <c r="AN16" t="str">
        <f t="shared" si="5"/>
        <v>PG</v>
      </c>
      <c r="AO16" s="6">
        <f>X16*(U16-Pool!$B$12)</f>
        <v>-27.688775801624296</v>
      </c>
      <c r="AP16" s="6">
        <f>Z16*(V16-Pool!$B$13)</f>
        <v>15.377339560672217</v>
      </c>
      <c r="AQ16" s="3">
        <f>Settings!$B$2*(N16-Pool!$B$2)/Pool!$C$2+Settings!$B$3*(O16-Pool!$B$3)/Pool!$C$3+Settings!$B$4*(P16-Pool!$B$4)/Pool!$C$4+Settings!$B$5*(Q16-Pool!$B$5)/Pool!$C$5+Settings!$B$6*(R16-Pool!$B$6)/Pool!$C$6+Settings!$B$7*(S16-Pool!$B$7)/Pool!$C$7+Settings!$B$8*(AO16-Pool!$B$8)/Pool!$C$8+Settings!$B$9*(AP16-Pool!$B$9)/Pool!$C$9+Settings!$B$10*-(T16-Pool!$B$10)/Pool!$C$10</f>
        <v>5.4289758941665758</v>
      </c>
      <c r="AR16">
        <f>IF(RANK(AQ16,$AQ$2:$AQ$266)&lt;=Settings!$F$5,1,0)</f>
        <v>1</v>
      </c>
      <c r="AS16" s="6">
        <f>X16*(U16-Pool!$D$12)</f>
        <v>-32.584640798511664</v>
      </c>
      <c r="AT16" s="6">
        <f>Z16*(V16-Pool!$D$13)</f>
        <v>10.954184449779644</v>
      </c>
    </row>
    <row r="17" spans="1:46" x14ac:dyDescent="0.2">
      <c r="A17">
        <f t="shared" si="0"/>
        <v>16</v>
      </c>
      <c r="B17" t="s">
        <v>58</v>
      </c>
      <c r="C17" t="str">
        <f>INDEX('Player Data'!$C:$C,AL17)</f>
        <v>C,PF,SF,SG</v>
      </c>
      <c r="D17">
        <f t="shared" si="1"/>
        <v>3</v>
      </c>
      <c r="E17" t="str">
        <f>INDEX('Player Data'!$B:$B,AL17)</f>
        <v>TOR</v>
      </c>
      <c r="F17" s="2"/>
      <c r="G17" s="3">
        <f>Settings!$B$2*AB17+Settings!$B$3*AC17+Settings!$B$4*AD17+Settings!$B$5*AE17+Settings!$B$6*AF17+Settings!$B$7*AG17+Settings!$B$8*AH17+Settings!$B$9*AI17+Settings!$B$10*AJ17</f>
        <v>3.2910440328561017</v>
      </c>
      <c r="H17" s="3">
        <f>G17-LARGE($G$2:$G$266,Settings!$F$4)</f>
        <v>6.5073087993032672</v>
      </c>
      <c r="I17">
        <f>IF(INDEX('Player Data'!$R:$R,AL17)="","",INDEX('Player Data'!$R:$R,AL17))</f>
        <v>10</v>
      </c>
      <c r="J17" s="4">
        <f t="shared" si="2"/>
        <v>-6</v>
      </c>
      <c r="L17" s="5">
        <f>IF(Settings!$F$7="Yes",INDEX('Minutes &amp; Health'!$O:$O,AL17),Settings!$F$8)</f>
        <v>75</v>
      </c>
      <c r="M17" s="6">
        <f>INDEX('Minutes &amp; Health'!$P:$P,AL17)</f>
        <v>33.799999999999997</v>
      </c>
      <c r="N17" s="5">
        <f>INDEX('Player Data'!$F:$F,AL17)/INDEX('Player Data'!$E:$E,AL17)*M17*L17*AM17</f>
        <v>1399.1038294512434</v>
      </c>
      <c r="O17" s="5">
        <f>INDEX('Player Data'!$G:$G,AL17)/INDEX('Player Data'!$E:$E,AL17)*M17*L17*AM17</f>
        <v>560.44216344255824</v>
      </c>
      <c r="P17" s="5">
        <f>INDEX('Player Data'!$H:$H,AL17)/INDEX('Player Data'!$E:$E,AL17)*M17*L17*AM17</f>
        <v>440.34741413343858</v>
      </c>
      <c r="Q17" s="5">
        <f>INDEX('Player Data'!$I:$I,AL17)/INDEX('Player Data'!$E:$E,AL17)*M17*L17*AM17</f>
        <v>104.08211606790367</v>
      </c>
      <c r="R17" s="5">
        <f>INDEX('Player Data'!$J:$J,AL17)/INDEX('Player Data'!$E:$E,AL17)*M17*L17*AM17</f>
        <v>98.077378602447681</v>
      </c>
      <c r="S17" s="5">
        <f>INDEX('Player Data'!$K:$K,AL17)/INDEX('Player Data'!$E:$E,AL17)*M17*L17*AM17</f>
        <v>76.060007895775755</v>
      </c>
      <c r="T17" s="5">
        <f>INDEX('Player Data'!$L:$L,AL17)/INDEX('Player Data'!$E:$E,AL17)*M17*L17*AM17</f>
        <v>197.15554678247136</v>
      </c>
      <c r="U17" s="7">
        <f>INDEX('Player Data'!$M:$M,AL17)</f>
        <v>0.48699999999999999</v>
      </c>
      <c r="V17" s="7">
        <f>INDEX('Player Data'!$N:$N,AL17)</f>
        <v>0.79100000000000004</v>
      </c>
      <c r="W17" s="5">
        <f t="shared" si="3"/>
        <v>541.14303730754034</v>
      </c>
      <c r="X17" s="5">
        <f>INDEX('Player Data'!$O:$O,AL17)/INDEX('Player Data'!$E:$E,AL17)*M17*L17*AM17</f>
        <v>1111.1766679826292</v>
      </c>
      <c r="Y17" s="5">
        <f t="shared" si="4"/>
        <v>240.81218989340704</v>
      </c>
      <c r="Z17" s="5">
        <f>INDEX('Player Data'!$P:$P,AL17)/INDEX('Player Data'!$E:$E,AL17)*M17*L17*AM17</f>
        <v>304.44018949861822</v>
      </c>
      <c r="AB17" s="3">
        <f>(N17-Pool!$D$2)/Pool!$E$2</f>
        <v>0.39371325634436199</v>
      </c>
      <c r="AC17" s="3">
        <f>(O17-Pool!$D$3)/Pool!$E$3</f>
        <v>0.76258791067294096</v>
      </c>
      <c r="AD17" s="3">
        <f>(P17-Pool!$D$4)/Pool!$E$4</f>
        <v>1.0840587119186131</v>
      </c>
      <c r="AE17" s="3">
        <f>(Q17-Pool!$D$5)/Pool!$E$5</f>
        <v>1.318255322288878</v>
      </c>
      <c r="AF17" s="3">
        <f>(R17-Pool!$D$6)/Pool!$E$6</f>
        <v>1.381724983687616</v>
      </c>
      <c r="AG17" s="3">
        <f>(S17-Pool!$D$7)/Pool!$E$7</f>
        <v>-0.66692767024975408</v>
      </c>
      <c r="AH17" s="3">
        <f>(AS17-Pool!$D$8)/Pool!$E$8</f>
        <v>7.1114526577231829E-2</v>
      </c>
      <c r="AI17" s="3">
        <f>(AT17-Pool!$D$9)/Pool!$E$9</f>
        <v>-0.12469889181843076</v>
      </c>
      <c r="AJ17" s="3">
        <f>-(T17-Pool!$D$10)/Pool!$E$10</f>
        <v>-0.92878411656535553</v>
      </c>
      <c r="AL17">
        <f>MATCH(B17,'Player Data'!$A:$A,0)</f>
        <v>64</v>
      </c>
      <c r="AM17" s="3">
        <f>1+IF(Settings!$F$10="ON",IFERROR(VLOOKUP(TRIM(F17),Settings!$D$12:$F$17,3,FALSE),0),0)</f>
        <v>1</v>
      </c>
      <c r="AN17" t="str">
        <f t="shared" si="5"/>
        <v>C</v>
      </c>
      <c r="AO17" s="6">
        <f>X17*(U17-Pool!$B$12)</f>
        <v>7.1040083601440891</v>
      </c>
      <c r="AP17" s="6">
        <f>Z17*(V17-Pool!$B$13)</f>
        <v>0.27410052168359683</v>
      </c>
      <c r="AQ17" s="3">
        <f>Settings!$B$2*(N17-Pool!$B$2)/Pool!$C$2+Settings!$B$3*(O17-Pool!$B$3)/Pool!$C$3+Settings!$B$4*(P17-Pool!$B$4)/Pool!$C$4+Settings!$B$5*(Q17-Pool!$B$5)/Pool!$C$5+Settings!$B$6*(R17-Pool!$B$6)/Pool!$C$6+Settings!$B$7*(S17-Pool!$B$7)/Pool!$C$7+Settings!$B$8*(AO17-Pool!$B$8)/Pool!$C$8+Settings!$B$9*(AP17-Pool!$B$9)/Pool!$C$9+Settings!$B$10*-(T17-Pool!$B$10)/Pool!$C$10</f>
        <v>5.4403560895146335</v>
      </c>
      <c r="AR17">
        <f>IF(RANK(AQ17,$AQ$2:$AQ$266)&lt;=Settings!$F$5,1,0)</f>
        <v>1</v>
      </c>
      <c r="AS17" s="6">
        <f>X17*(U17-Pool!$D$12)</f>
        <v>3.2517550245811506</v>
      </c>
      <c r="AT17" s="6">
        <f>Z17*(V17-Pool!$D$13)</f>
        <v>-2.7821055965972272</v>
      </c>
    </row>
    <row r="18" spans="1:46" x14ac:dyDescent="0.2">
      <c r="A18">
        <f t="shared" si="0"/>
        <v>17</v>
      </c>
      <c r="B18" t="s">
        <v>59</v>
      </c>
      <c r="C18" t="str">
        <f>INDEX('Player Data'!$C:$C,AL18)</f>
        <v>PG,SG</v>
      </c>
      <c r="D18">
        <f t="shared" si="1"/>
        <v>9</v>
      </c>
      <c r="E18" t="str">
        <f>INDEX('Player Data'!$B:$B,AL18)</f>
        <v>CLE</v>
      </c>
      <c r="F18" s="2"/>
      <c r="G18" s="3">
        <f>Settings!$B$2*AB18+Settings!$B$3*AC18+Settings!$B$4*AD18+Settings!$B$5*AE18+Settings!$B$6*AF18+Settings!$B$7*AG18+Settings!$B$8*AH18+Settings!$B$9*AI18+Settings!$B$10*AJ18</f>
        <v>3.0962781672634536</v>
      </c>
      <c r="H18" s="3">
        <f>G18-LARGE($G$2:$G$266,Settings!$F$4)</f>
        <v>6.3125429337106187</v>
      </c>
      <c r="I18">
        <f>IF(INDEX('Player Data'!$R:$R,AL18)="","",INDEX('Player Data'!$R:$R,AL18))</f>
        <v>40</v>
      </c>
      <c r="J18" s="4">
        <f t="shared" si="2"/>
        <v>23</v>
      </c>
      <c r="L18" s="5">
        <f>IF(Settings!$F$7="Yes",INDEX('Minutes &amp; Health'!$O:$O,AL18),Settings!$F$8)</f>
        <v>76</v>
      </c>
      <c r="M18" s="6">
        <f>INDEX('Minutes &amp; Health'!$P:$P,AL18)</f>
        <v>33.5</v>
      </c>
      <c r="N18" s="5">
        <f>INDEX('Player Data'!$F:$F,AL18)/INDEX('Player Data'!$E:$E,AL18)*M18*L18*AM18</f>
        <v>1541.7888540031397</v>
      </c>
      <c r="O18" s="5">
        <f>INDEX('Player Data'!$G:$G,AL18)/INDEX('Player Data'!$E:$E,AL18)*M18*L18*AM18</f>
        <v>398.68681318681314</v>
      </c>
      <c r="P18" s="5">
        <f>INDEX('Player Data'!$H:$H,AL18)/INDEX('Player Data'!$E:$E,AL18)*M18*L18*AM18</f>
        <v>606.52354788069078</v>
      </c>
      <c r="Q18" s="5">
        <f>INDEX('Player Data'!$I:$I,AL18)/INDEX('Player Data'!$E:$E,AL18)*M18*L18*AM18</f>
        <v>95.924646781789619</v>
      </c>
      <c r="R18" s="5">
        <f>INDEX('Player Data'!$J:$J,AL18)/INDEX('Player Data'!$E:$E,AL18)*M18*L18*AM18</f>
        <v>42.966248037676607</v>
      </c>
      <c r="S18" s="5">
        <f>INDEX('Player Data'!$K:$K,AL18)/INDEX('Player Data'!$E:$E,AL18)*M18*L18*AM18</f>
        <v>209.83516483516485</v>
      </c>
      <c r="T18" s="5">
        <f>INDEX('Player Data'!$L:$L,AL18)/INDEX('Player Data'!$E:$E,AL18)*M18*L18*AM18</f>
        <v>251.80219780219778</v>
      </c>
      <c r="U18" s="7">
        <f>INDEX('Player Data'!$M:$M,AL18)</f>
        <v>0.42699999999999999</v>
      </c>
      <c r="V18" s="7">
        <f>INDEX('Player Data'!$N:$N,AL18)</f>
        <v>0.875</v>
      </c>
      <c r="W18" s="5">
        <f t="shared" si="3"/>
        <v>460.71268901098898</v>
      </c>
      <c r="X18" s="5">
        <f>INDEX('Player Data'!$O:$O,AL18)/INDEX('Player Data'!$E:$E,AL18)*M18*L18*AM18</f>
        <v>1078.9524332810047</v>
      </c>
      <c r="Y18" s="5">
        <f t="shared" si="4"/>
        <v>410.57747252747259</v>
      </c>
      <c r="Z18" s="5">
        <f>INDEX('Player Data'!$P:$P,AL18)/INDEX('Player Data'!$E:$E,AL18)*M18*L18*AM18</f>
        <v>469.23139717425437</v>
      </c>
      <c r="AB18" s="3">
        <f>(N18-Pool!$D$2)/Pool!$E$2</f>
        <v>0.74542629881360334</v>
      </c>
      <c r="AC18" s="3">
        <f>(O18-Pool!$D$3)/Pool!$E$3</f>
        <v>-0.17891067014460627</v>
      </c>
      <c r="AD18" s="3">
        <f>(P18-Pool!$D$4)/Pool!$E$4</f>
        <v>2.2079623487640689</v>
      </c>
      <c r="AE18" s="3">
        <f>(Q18-Pool!$D$5)/Pool!$E$5</f>
        <v>0.95811798884678279</v>
      </c>
      <c r="AF18" s="3">
        <f>(R18-Pool!$D$6)/Pool!$E$6</f>
        <v>-0.21323113335650698</v>
      </c>
      <c r="AG18" s="3">
        <f>(S18-Pool!$D$7)/Pool!$E$7</f>
        <v>1.217203357605694</v>
      </c>
      <c r="AH18" s="3">
        <f>(AS18-Pool!$D$8)/Pool!$E$8</f>
        <v>-1.3467221927941126</v>
      </c>
      <c r="AI18" s="3">
        <f>(AT18-Pool!$D$9)/Pool!$E$9</f>
        <v>1.5744721187141395</v>
      </c>
      <c r="AJ18" s="3">
        <f>-(T18-Pool!$D$10)/Pool!$E$10</f>
        <v>-1.868039949185609</v>
      </c>
      <c r="AL18">
        <f>MATCH(B18,'Player Data'!$A:$A,0)</f>
        <v>42</v>
      </c>
      <c r="AM18" s="3">
        <f>1+IF(Settings!$F$10="ON",IFERROR(VLOOKUP(TRIM(F18),Settings!$D$12:$F$17,3,FALSE),0),0)</f>
        <v>1</v>
      </c>
      <c r="AN18" t="str">
        <f t="shared" si="5"/>
        <v>PG</v>
      </c>
      <c r="AO18" s="6">
        <f>X18*(U18-Pool!$B$12)</f>
        <v>-57.83915459091952</v>
      </c>
      <c r="AP18" s="6">
        <f>Z18*(V18-Pool!$B$13)</f>
        <v>39.837906455721296</v>
      </c>
      <c r="AQ18" s="3">
        <f>Settings!$B$2*(N18-Pool!$B$2)/Pool!$C$2+Settings!$B$3*(O18-Pool!$B$3)/Pool!$C$3+Settings!$B$4*(P18-Pool!$B$4)/Pool!$C$4+Settings!$B$5*(Q18-Pool!$B$5)/Pool!$C$5+Settings!$B$6*(R18-Pool!$B$6)/Pool!$C$6+Settings!$B$7*(S18-Pool!$B$7)/Pool!$C$7+Settings!$B$8*(AO18-Pool!$B$8)/Pool!$C$8+Settings!$B$9*(AP18-Pool!$B$9)/Pool!$C$9+Settings!$B$10*-(T18-Pool!$B$10)/Pool!$C$10</f>
        <v>5.3523066869151394</v>
      </c>
      <c r="AR18">
        <f>IF(RANK(AQ18,$AQ$2:$AQ$266)&lt;=Settings!$F$5,1,0)</f>
        <v>1</v>
      </c>
      <c r="AS18" s="6">
        <f>X18*(U18-Pool!$D$12)</f>
        <v>-61.579692193789235</v>
      </c>
      <c r="AT18" s="6">
        <f>Z18*(V18-Pool!$D$13)</f>
        <v>35.127398722510456</v>
      </c>
    </row>
    <row r="19" spans="1:46" x14ac:dyDescent="0.2">
      <c r="A19">
        <f t="shared" si="0"/>
        <v>18</v>
      </c>
      <c r="B19" t="s">
        <v>60</v>
      </c>
      <c r="C19" t="str">
        <f>INDEX('Player Data'!$C:$C,AL19)</f>
        <v>PF,SF</v>
      </c>
      <c r="D19">
        <f t="shared" si="1"/>
        <v>5</v>
      </c>
      <c r="E19" t="str">
        <f>INDEX('Player Data'!$B:$B,AL19)</f>
        <v>ATL</v>
      </c>
      <c r="F19" s="2"/>
      <c r="G19" s="3">
        <f>Settings!$B$2*AB19+Settings!$B$3*AC19+Settings!$B$4*AD19+Settings!$B$5*AE19+Settings!$B$6*AF19+Settings!$B$7*AG19+Settings!$B$8*AH19+Settings!$B$9*AI19+Settings!$B$10*AJ19</f>
        <v>3.020860189079885</v>
      </c>
      <c r="H19" s="3">
        <f>G19-LARGE($G$2:$G$266,Settings!$F$4)</f>
        <v>6.23712495552705</v>
      </c>
      <c r="I19">
        <f>IF(INDEX('Player Data'!$R:$R,AL19)="","",INDEX('Player Data'!$R:$R,AL19))</f>
        <v>14</v>
      </c>
      <c r="J19" s="4">
        <f t="shared" si="2"/>
        <v>-4</v>
      </c>
      <c r="L19" s="5">
        <f>IF(Settings!$F$7="Yes",INDEX('Minutes &amp; Health'!$O:$O,AL19),Settings!$F$8)</f>
        <v>75</v>
      </c>
      <c r="M19" s="6">
        <f>INDEX('Minutes &amp; Health'!$P:$P,AL19)</f>
        <v>36.299999999999997</v>
      </c>
      <c r="N19" s="5">
        <f>INDEX('Player Data'!$F:$F,AL19)/INDEX('Player Data'!$E:$E,AL19)*M19*L19*AM19</f>
        <v>1600.8820286659313</v>
      </c>
      <c r="O19" s="5">
        <f>INDEX('Player Data'!$G:$G,AL19)/INDEX('Player Data'!$E:$E,AL19)*M19*L19*AM19</f>
        <v>736.40573318632835</v>
      </c>
      <c r="P19" s="5">
        <f>INDEX('Player Data'!$H:$H,AL19)/INDEX('Player Data'!$E:$E,AL19)*M19*L19*AM19</f>
        <v>537.29603087100327</v>
      </c>
      <c r="Q19" s="5">
        <f>INDEX('Player Data'!$I:$I,AL19)/INDEX('Player Data'!$E:$E,AL19)*M19*L19*AM19</f>
        <v>91.050165380374835</v>
      </c>
      <c r="R19" s="5">
        <f>INDEX('Player Data'!$J:$J,AL19)/INDEX('Player Data'!$E:$E,AL19)*M19*L19*AM19</f>
        <v>39.021499448732087</v>
      </c>
      <c r="S19" s="5">
        <f>INDEX('Player Data'!$K:$K,AL19)/INDEX('Player Data'!$E:$E,AL19)*M19*L19*AM19</f>
        <v>117.06449834619625</v>
      </c>
      <c r="T19" s="5">
        <f>INDEX('Player Data'!$L:$L,AL19)/INDEX('Player Data'!$E:$E,AL19)*M19*L19*AM19</f>
        <v>236.13009922822491</v>
      </c>
      <c r="U19" s="7">
        <f>INDEX('Player Data'!$M:$M,AL19)</f>
        <v>0.49</v>
      </c>
      <c r="V19" s="7">
        <f>INDEX('Player Data'!$N:$N,AL19)</f>
        <v>0.78300000000000003</v>
      </c>
      <c r="W19" s="5">
        <f t="shared" si="3"/>
        <v>597.98246692392502</v>
      </c>
      <c r="X19" s="5">
        <f>INDEX('Player Data'!$O:$O,AL19)/INDEX('Player Data'!$E:$E,AL19)*M19*L19*AM19</f>
        <v>1220.372381477398</v>
      </c>
      <c r="Y19" s="5">
        <f t="shared" si="4"/>
        <v>287.83278555678055</v>
      </c>
      <c r="Z19" s="5">
        <f>INDEX('Player Data'!$P:$P,AL19)/INDEX('Player Data'!$E:$E,AL19)*M19*L19*AM19</f>
        <v>367.60253583241445</v>
      </c>
      <c r="AB19" s="3">
        <f>(N19-Pool!$D$2)/Pool!$E$2</f>
        <v>0.89108867869606523</v>
      </c>
      <c r="AC19" s="3">
        <f>(O19-Pool!$D$3)/Pool!$E$3</f>
        <v>1.7867855704561599</v>
      </c>
      <c r="AD19" s="3">
        <f>(P19-Pool!$D$4)/Pool!$E$4</f>
        <v>1.7397539702052855</v>
      </c>
      <c r="AE19" s="3">
        <f>(Q19-Pool!$D$5)/Pool!$E$5</f>
        <v>0.74291855967984066</v>
      </c>
      <c r="AF19" s="3">
        <f>(R19-Pool!$D$6)/Pool!$E$6</f>
        <v>-0.32739502053613428</v>
      </c>
      <c r="AG19" s="3">
        <f>(S19-Pool!$D$7)/Pool!$E$7</f>
        <v>-8.9407639575869807E-2</v>
      </c>
      <c r="AH19" s="3">
        <f>(AS19-Pool!$D$8)/Pool!$E$8</f>
        <v>0.15817008102892627</v>
      </c>
      <c r="AI19" s="3">
        <f>(AT19-Pool!$D$9)/Pool!$E$9</f>
        <v>-0.28238299318450505</v>
      </c>
      <c r="AJ19" s="3">
        <f>-(T19-Pool!$D$10)/Pool!$E$10</f>
        <v>-1.5986710176898822</v>
      </c>
      <c r="AL19">
        <f>MATCH(B19,'Player Data'!$A:$A,0)</f>
        <v>36</v>
      </c>
      <c r="AM19" s="3">
        <f>1+IF(Settings!$F$10="ON",IFERROR(VLOOKUP(TRIM(F19),Settings!$D$12:$F$17,3,FALSE),0),0)</f>
        <v>1</v>
      </c>
      <c r="AN19" t="str">
        <f t="shared" si="5"/>
        <v>PF</v>
      </c>
      <c r="AO19" s="6">
        <f>X19*(U19-Pool!$B$12)</f>
        <v>11.46323885046492</v>
      </c>
      <c r="AP19" s="6">
        <f>Z19*(V19-Pool!$B$13)</f>
        <v>-2.6098520034972976</v>
      </c>
      <c r="AQ19" s="3">
        <f>Settings!$B$2*(N19-Pool!$B$2)/Pool!$C$2+Settings!$B$3*(O19-Pool!$B$3)/Pool!$C$3+Settings!$B$4*(P19-Pool!$B$4)/Pool!$C$4+Settings!$B$5*(Q19-Pool!$B$5)/Pool!$C$5+Settings!$B$6*(R19-Pool!$B$6)/Pool!$C$6+Settings!$B$7*(S19-Pool!$B$7)/Pool!$C$7+Settings!$B$8*(AO19-Pool!$B$8)/Pool!$C$8+Settings!$B$9*(AP19-Pool!$B$9)/Pool!$C$9+Settings!$B$10*-(T19-Pool!$B$10)/Pool!$C$10</f>
        <v>5.0941830149877001</v>
      </c>
      <c r="AR19">
        <f>IF(RANK(AQ19,$AQ$2:$AQ$266)&lt;=Settings!$F$5,1,0)</f>
        <v>1</v>
      </c>
      <c r="AS19" s="6">
        <f>X19*(U19-Pool!$D$12)</f>
        <v>7.2324232541382649</v>
      </c>
      <c r="AT19" s="6">
        <f>Z19*(V19-Pool!$D$13)</f>
        <v>-6.3001306127597916</v>
      </c>
    </row>
    <row r="20" spans="1:46" x14ac:dyDescent="0.2">
      <c r="A20">
        <f t="shared" si="0"/>
        <v>19</v>
      </c>
      <c r="B20" t="s">
        <v>61</v>
      </c>
      <c r="C20" t="str">
        <f>INDEX('Player Data'!$C:$C,AL20)</f>
        <v>PG</v>
      </c>
      <c r="D20">
        <f t="shared" si="1"/>
        <v>10</v>
      </c>
      <c r="E20" t="str">
        <f>INDEX('Player Data'!$B:$B,AL20)</f>
        <v>DEN</v>
      </c>
      <c r="F20" s="2"/>
      <c r="G20" s="3">
        <f>Settings!$B$2*AB20+Settings!$B$3*AC20+Settings!$B$4*AD20+Settings!$B$5*AE20+Settings!$B$6*AF20+Settings!$B$7*AG20+Settings!$B$8*AH20+Settings!$B$9*AI20+Settings!$B$10*AJ20</f>
        <v>2.984152737127455</v>
      </c>
      <c r="H20" s="3">
        <f>G20-LARGE($G$2:$G$266,Settings!$F$4)</f>
        <v>6.2004175035746201</v>
      </c>
      <c r="I20">
        <f>IF(INDEX('Player Data'!$R:$R,AL20)="","",INDEX('Player Data'!$R:$R,AL20))</f>
        <v>16</v>
      </c>
      <c r="J20" s="4">
        <f t="shared" si="2"/>
        <v>-3</v>
      </c>
      <c r="L20" s="5">
        <f>IF(Settings!$F$7="Yes",INDEX('Minutes &amp; Health'!$O:$O,AL20),Settings!$F$8)</f>
        <v>74</v>
      </c>
      <c r="M20" s="6">
        <f>INDEX('Minutes &amp; Health'!$P:$P,AL20)</f>
        <v>35.700000000000003</v>
      </c>
      <c r="N20" s="5">
        <f>INDEX('Player Data'!$F:$F,AL20)/INDEX('Player Data'!$E:$E,AL20)*M20*L20*AM20</f>
        <v>1655.5013252555852</v>
      </c>
      <c r="O20" s="5">
        <f>INDEX('Player Data'!$G:$G,AL20)/INDEX('Player Data'!$E:$E,AL20)*M20*L20*AM20</f>
        <v>304.09208633093527</v>
      </c>
      <c r="P20" s="5">
        <f>INDEX('Player Data'!$H:$H,AL20)/INDEX('Player Data'!$E:$E,AL20)*M20*L20*AM20</f>
        <v>462.13994698977666</v>
      </c>
      <c r="Q20" s="5">
        <f>INDEX('Player Data'!$I:$I,AL20)/INDEX('Player Data'!$E:$E,AL20)*M20*L20*AM20</f>
        <v>75.022718667171532</v>
      </c>
      <c r="R20" s="5">
        <f>INDEX('Player Data'!$J:$J,AL20)/INDEX('Player Data'!$E:$E,AL20)*M20*L20*AM20</f>
        <v>37.011207875804622</v>
      </c>
      <c r="S20" s="5">
        <f>INDEX('Player Data'!$K:$K,AL20)/INDEX('Player Data'!$E:$E,AL20)*M20*L20*AM20</f>
        <v>193.05846270352143</v>
      </c>
      <c r="T20" s="5">
        <f>INDEX('Player Data'!$L:$L,AL20)/INDEX('Player Data'!$E:$E,AL20)*M20*L20*AM20</f>
        <v>159.04816357440365</v>
      </c>
      <c r="U20" s="7">
        <f>INDEX('Player Data'!$M:$M,AL20)</f>
        <v>0.47499999999999998</v>
      </c>
      <c r="V20" s="7">
        <f>INDEX('Player Data'!$N:$N,AL20)</f>
        <v>0.88700000000000001</v>
      </c>
      <c r="W20" s="5">
        <f t="shared" si="3"/>
        <v>578.440165467626</v>
      </c>
      <c r="X20" s="5">
        <f>INDEX('Player Data'!$O:$O,AL20)/INDEX('Player Data'!$E:$E,AL20)*M20*L20*AM20</f>
        <v>1217.7687694055285</v>
      </c>
      <c r="Y20" s="5">
        <f t="shared" si="4"/>
        <v>305.57533549413102</v>
      </c>
      <c r="Z20" s="5">
        <f>INDEX('Player Data'!$P:$P,AL20)/INDEX('Player Data'!$E:$E,AL20)*M20*L20*AM20</f>
        <v>344.50432411965164</v>
      </c>
      <c r="AB20" s="3">
        <f>(N20-Pool!$D$2)/Pool!$E$2</f>
        <v>1.0257231229301902</v>
      </c>
      <c r="AC20" s="3">
        <f>(O20-Pool!$D$3)/Pool!$E$3</f>
        <v>-0.72950019282080802</v>
      </c>
      <c r="AD20" s="3">
        <f>(P20-Pool!$D$4)/Pool!$E$4</f>
        <v>1.2314487515169887</v>
      </c>
      <c r="AE20" s="3">
        <f>(Q20-Pool!$D$5)/Pool!$E$5</f>
        <v>3.5336132001717042E-2</v>
      </c>
      <c r="AF20" s="3">
        <f>(R20-Pool!$D$6)/Pool!$E$6</f>
        <v>-0.38557431768400491</v>
      </c>
      <c r="AG20" s="3">
        <f>(S20-Pool!$D$7)/Pool!$E$7</f>
        <v>0.98091505300187554</v>
      </c>
      <c r="AH20" s="3">
        <f>(AS20-Pool!$D$8)/Pool!$E$8</f>
        <v>-0.24164879667013703</v>
      </c>
      <c r="AI20" s="3">
        <f>(AT20-Pool!$D$9)/Pool!$E$9</f>
        <v>1.3412549336872179</v>
      </c>
      <c r="AJ20" s="3">
        <f>-(T20-Pool!$D$10)/Pool!$E$10</f>
        <v>-0.27380194883558456</v>
      </c>
      <c r="AL20">
        <f>MATCH(B20,'Player Data'!$A:$A,0)</f>
        <v>24</v>
      </c>
      <c r="AM20" s="3">
        <f>1+IF(Settings!$F$10="ON",IFERROR(VLOOKUP(TRIM(F20),Settings!$D$12:$F$17,3,FALSE),0),0)</f>
        <v>1</v>
      </c>
      <c r="AN20" t="str">
        <f t="shared" si="5"/>
        <v>PG</v>
      </c>
      <c r="AO20" s="6">
        <f>X20*(U20-Pool!$B$12)</f>
        <v>-6.8277490184625318</v>
      </c>
      <c r="AP20" s="6">
        <f>Z20*(V20-Pool!$B$13)</f>
        <v>33.382587090871816</v>
      </c>
      <c r="AQ20" s="3">
        <f>Settings!$B$2*(N20-Pool!$B$2)/Pool!$C$2+Settings!$B$3*(O20-Pool!$B$3)/Pool!$C$3+Settings!$B$4*(P20-Pool!$B$4)/Pool!$C$4+Settings!$B$5*(Q20-Pool!$B$5)/Pool!$C$5+Settings!$B$6*(R20-Pool!$B$6)/Pool!$C$6+Settings!$B$7*(S20-Pool!$B$7)/Pool!$C$7+Settings!$B$8*(AO20-Pool!$B$8)/Pool!$C$8+Settings!$B$9*(AP20-Pool!$B$9)/Pool!$C$9+Settings!$B$10*-(T20-Pool!$B$10)/Pool!$C$10</f>
        <v>5.2871834548909353</v>
      </c>
      <c r="AR20">
        <f>IF(RANK(AQ20,$AQ$2:$AQ$266)&lt;=Settings!$F$5,1,0)</f>
        <v>1</v>
      </c>
      <c r="AS20" s="6">
        <f>X20*(U20-Pool!$D$12)</f>
        <v>-11.049538351389883</v>
      </c>
      <c r="AT20" s="6">
        <f>Z20*(V20-Pool!$D$13)</f>
        <v>29.924186198129441</v>
      </c>
    </row>
    <row r="21" spans="1:46" x14ac:dyDescent="0.2">
      <c r="A21">
        <f t="shared" si="0"/>
        <v>20</v>
      </c>
      <c r="B21" t="s">
        <v>62</v>
      </c>
      <c r="C21" t="str">
        <f>INDEX('Player Data'!$C:$C,AL21)</f>
        <v>PG</v>
      </c>
      <c r="D21">
        <f t="shared" si="1"/>
        <v>11</v>
      </c>
      <c r="E21" t="str">
        <f>INDEX('Player Data'!$B:$B,AL21)</f>
        <v>DAL</v>
      </c>
      <c r="F21" s="2"/>
      <c r="G21" s="3">
        <f>Settings!$B$2*AB21+Settings!$B$3*AC21+Settings!$B$4*AD21+Settings!$B$5*AE21+Settings!$B$6*AF21+Settings!$B$7*AG21+Settings!$B$8*AH21+Settings!$B$9*AI21+Settings!$B$10*AJ21</f>
        <v>2.9067526009809241</v>
      </c>
      <c r="H21" s="3">
        <f>G21-LARGE($G$2:$G$266,Settings!$F$4)</f>
        <v>6.1230173674280888</v>
      </c>
      <c r="I21">
        <f>IF(INDEX('Player Data'!$R:$R,AL21)="","",INDEX('Player Data'!$R:$R,AL21))</f>
        <v>50</v>
      </c>
      <c r="J21" s="4">
        <f t="shared" si="2"/>
        <v>30</v>
      </c>
      <c r="L21" s="5">
        <f>IF(Settings!$F$7="Yes",INDEX('Minutes &amp; Health'!$O:$O,AL21),Settings!$F$8)</f>
        <v>69</v>
      </c>
      <c r="M21" s="6">
        <f>INDEX('Minutes &amp; Health'!$P:$P,AL21)</f>
        <v>35</v>
      </c>
      <c r="N21" s="5">
        <f>INDEX('Player Data'!$F:$F,AL21)/INDEX('Player Data'!$E:$E,AL21)*M21*L21*AM21</f>
        <v>1645.955334987593</v>
      </c>
      <c r="O21" s="5">
        <f>INDEX('Player Data'!$G:$G,AL21)/INDEX('Player Data'!$E:$E,AL21)*M21*L21*AM21</f>
        <v>308.61662531017373</v>
      </c>
      <c r="P21" s="5">
        <f>INDEX('Player Data'!$H:$H,AL21)/INDEX('Player Data'!$E:$E,AL21)*M21*L21*AM21</f>
        <v>332.5868486352357</v>
      </c>
      <c r="Q21" s="5">
        <f>INDEX('Player Data'!$I:$I,AL21)/INDEX('Player Data'!$E:$E,AL21)*M21*L21*AM21</f>
        <v>84.894540942928032</v>
      </c>
      <c r="R21" s="5">
        <f>INDEX('Player Data'!$J:$J,AL21)/INDEX('Player Data'!$E:$E,AL21)*M21*L21*AM21</f>
        <v>29.962779156327546</v>
      </c>
      <c r="S21" s="5">
        <f>INDEX('Player Data'!$K:$K,AL21)/INDEX('Player Data'!$E:$E,AL21)*M21*L21*AM21</f>
        <v>178.77791563275434</v>
      </c>
      <c r="T21" s="5">
        <f>INDEX('Player Data'!$L:$L,AL21)/INDEX('Player Data'!$E:$E,AL21)*M21*L21*AM21</f>
        <v>135.83126550868488</v>
      </c>
      <c r="U21" s="7">
        <f>INDEX('Player Data'!$M:$M,AL21)</f>
        <v>0.47799999999999998</v>
      </c>
      <c r="V21" s="7">
        <f>INDEX('Player Data'!$N:$N,AL21)</f>
        <v>0.91500000000000004</v>
      </c>
      <c r="W21" s="5">
        <f t="shared" si="3"/>
        <v>588.78598883374684</v>
      </c>
      <c r="X21" s="5">
        <f>INDEX('Player Data'!$O:$O,AL21)/INDEX('Player Data'!$E:$E,AL21)*M21*L21*AM21</f>
        <v>1231.7698511166252</v>
      </c>
      <c r="Y21" s="5">
        <f t="shared" si="4"/>
        <v>289.60374379652609</v>
      </c>
      <c r="Z21" s="5">
        <f>INDEX('Player Data'!$P:$P,AL21)/INDEX('Player Data'!$E:$E,AL21)*M21*L21*AM21</f>
        <v>316.50682382133999</v>
      </c>
      <c r="AB21" s="3">
        <f>(N21-Pool!$D$2)/Pool!$E$2</f>
        <v>1.0021926277637814</v>
      </c>
      <c r="AC21" s="3">
        <f>(O21-Pool!$D$3)/Pool!$E$3</f>
        <v>-0.70316506992643946</v>
      </c>
      <c r="AD21" s="3">
        <f>(P21-Pool!$D$4)/Pool!$E$4</f>
        <v>0.35523870184327461</v>
      </c>
      <c r="AE21" s="3">
        <f>(Q21-Pool!$D$5)/Pool!$E$5</f>
        <v>0.47115901112147485</v>
      </c>
      <c r="AF21" s="3">
        <f>(R21-Pool!$D$6)/Pool!$E$6</f>
        <v>-0.58956096042701678</v>
      </c>
      <c r="AG21" s="3">
        <f>(S21-Pool!$D$7)/Pool!$E$7</f>
        <v>0.77978337469651371</v>
      </c>
      <c r="AH21" s="3">
        <f>(AS21-Pool!$D$8)/Pool!$E$8</f>
        <v>-0.16361223192014143</v>
      </c>
      <c r="AI21" s="3">
        <f>(AT21-Pool!$D$9)/Pool!$E$9</f>
        <v>1.6294716433141796</v>
      </c>
      <c r="AJ21" s="3">
        <f>-(T21-Pool!$D$10)/Pool!$E$10</f>
        <v>0.1252455045152979</v>
      </c>
      <c r="AL21">
        <f>MATCH(B21,'Player Data'!$A:$A,0)</f>
        <v>19</v>
      </c>
      <c r="AM21" s="3">
        <f>1+IF(Settings!$F$10="ON",IFERROR(VLOOKUP(TRIM(F21),Settings!$D$12:$F$17,3,FALSE),0),0)</f>
        <v>1</v>
      </c>
      <c r="AN21" t="str">
        <f t="shared" si="5"/>
        <v>PG</v>
      </c>
      <c r="AO21" s="6">
        <f>X21*(U21-Pool!$B$12)</f>
        <v>-3.2109403055940691</v>
      </c>
      <c r="AP21" s="6">
        <f>Z21*(V21-Pool!$B$13)</f>
        <v>39.531810782427961</v>
      </c>
      <c r="AQ21" s="3">
        <f>Settings!$B$2*(N21-Pool!$B$2)/Pool!$C$2+Settings!$B$3*(O21-Pool!$B$3)/Pool!$C$3+Settings!$B$4*(P21-Pool!$B$4)/Pool!$C$4+Settings!$B$5*(Q21-Pool!$B$5)/Pool!$C$5+Settings!$B$6*(R21-Pool!$B$6)/Pool!$C$6+Settings!$B$7*(S21-Pool!$B$7)/Pool!$C$7+Settings!$B$8*(AO21-Pool!$B$8)/Pool!$C$8+Settings!$B$9*(AP21-Pool!$B$9)/Pool!$C$9+Settings!$B$10*-(T21-Pool!$B$10)/Pool!$C$10</f>
        <v>5.1524225160553661</v>
      </c>
      <c r="AR21">
        <f>IF(RANK(AQ21,$AQ$2:$AQ$266)&lt;=Settings!$F$5,1,0)</f>
        <v>1</v>
      </c>
      <c r="AS21" s="6">
        <f>X21*(U21-Pool!$D$12)</f>
        <v>-7.4812689169972586</v>
      </c>
      <c r="AT21" s="6">
        <f>Z21*(V21-Pool!$D$13)</f>
        <v>36.354470454813956</v>
      </c>
    </row>
    <row r="22" spans="1:46" x14ac:dyDescent="0.2">
      <c r="A22">
        <f t="shared" si="0"/>
        <v>21</v>
      </c>
      <c r="B22" t="s">
        <v>63</v>
      </c>
      <c r="C22" t="str">
        <f>INDEX('Player Data'!$C:$C,AL22)</f>
        <v>PF,SF,SG</v>
      </c>
      <c r="D22">
        <f t="shared" si="1"/>
        <v>6</v>
      </c>
      <c r="E22" t="str">
        <f>INDEX('Player Data'!$B:$B,AL22)</f>
        <v>DAL</v>
      </c>
      <c r="F22" s="2"/>
      <c r="G22" s="3">
        <f>Settings!$B$2*AB22+Settings!$B$3*AC22+Settings!$B$4*AD22+Settings!$B$5*AE22+Settings!$B$6*AF22+Settings!$B$7*AG22+Settings!$B$8*AH22+Settings!$B$9*AI22+Settings!$B$10*AJ22</f>
        <v>2.7710026106537202</v>
      </c>
      <c r="H22" s="3">
        <f>G22-LARGE($G$2:$G$266,Settings!$F$4)</f>
        <v>5.9872673771008849</v>
      </c>
      <c r="I22">
        <f>IF(INDEX('Player Data'!$R:$R,AL22)="","",INDEX('Player Data'!$R:$R,AL22))</f>
        <v>6</v>
      </c>
      <c r="J22" s="4">
        <f t="shared" si="2"/>
        <v>-15</v>
      </c>
      <c r="L22" s="5">
        <f>IF(Settings!$F$7="Yes",INDEX('Minutes &amp; Health'!$O:$O,AL22),Settings!$F$8)</f>
        <v>75</v>
      </c>
      <c r="M22" s="6">
        <f>INDEX('Minutes &amp; Health'!$P:$P,AL22)</f>
        <v>34.700000000000003</v>
      </c>
      <c r="N22" s="5">
        <f>INDEX('Player Data'!$F:$F,AL22)/INDEX('Player Data'!$E:$E,AL22)*M22*L22*AM22</f>
        <v>1782.3424289008458</v>
      </c>
      <c r="O22" s="5">
        <f>INDEX('Player Data'!$G:$G,AL22)/INDEX('Player Data'!$E:$E,AL22)*M22*L22*AM22</f>
        <v>481.0924289008455</v>
      </c>
      <c r="P22" s="5">
        <f>INDEX('Player Data'!$H:$H,AL22)/INDEX('Player Data'!$E:$E,AL22)*M22*L22*AM22</f>
        <v>376.07225211375868</v>
      </c>
      <c r="Q22" s="5">
        <f>INDEX('Player Data'!$I:$I,AL22)/INDEX('Player Data'!$E:$E,AL22)*M22*L22*AM22</f>
        <v>90.017294388931589</v>
      </c>
      <c r="R22" s="5">
        <f>INDEX('Player Data'!$J:$J,AL22)/INDEX('Player Data'!$E:$E,AL22)*M22*L22*AM22</f>
        <v>66.012682551883174</v>
      </c>
      <c r="S22" s="5">
        <f>INDEX('Player Data'!$K:$K,AL22)/INDEX('Player Data'!$E:$E,AL22)*M22*L22*AM22</f>
        <v>86.016525749423522</v>
      </c>
      <c r="T22" s="5">
        <f>INDEX('Player Data'!$L:$L,AL22)/INDEX('Player Data'!$E:$E,AL22)*M22*L22*AM22</f>
        <v>172.03305149884704</v>
      </c>
      <c r="U22" s="7">
        <f>INDEX('Player Data'!$M:$M,AL22)</f>
        <v>0.47599999999999998</v>
      </c>
      <c r="V22" s="7">
        <f>INDEX('Player Data'!$N:$N,AL22)</f>
        <v>0.83399999999999996</v>
      </c>
      <c r="W22" s="5">
        <f t="shared" si="3"/>
        <v>681.14406341275958</v>
      </c>
      <c r="X22" s="5">
        <f>INDEX('Player Data'!$O:$O,AL22)/INDEX('Player Data'!$E:$E,AL22)*M22*L22*AM22</f>
        <v>1430.9749231360495</v>
      </c>
      <c r="Y22" s="5">
        <f t="shared" si="4"/>
        <v>333.99776863950808</v>
      </c>
      <c r="Z22" s="5">
        <f>INDEX('Player Data'!$P:$P,AL22)/INDEX('Player Data'!$E:$E,AL22)*M22*L22*AM22</f>
        <v>400.47694081475788</v>
      </c>
      <c r="AB22" s="3">
        <f>(N22-Pool!$D$2)/Pool!$E$2</f>
        <v>1.3383815158718066</v>
      </c>
      <c r="AC22" s="3">
        <f>(O22-Pool!$D$3)/Pool!$E$3</f>
        <v>0.3007320132256277</v>
      </c>
      <c r="AD22" s="3">
        <f>(P22-Pool!$D$4)/Pool!$E$4</f>
        <v>0.64934473269809434</v>
      </c>
      <c r="AE22" s="3">
        <f>(Q22-Pool!$D$5)/Pool!$E$5</f>
        <v>0.69731919649483243</v>
      </c>
      <c r="AF22" s="3">
        <f>(R22-Pool!$D$6)/Pool!$E$6</f>
        <v>0.4537494081021648</v>
      </c>
      <c r="AG22" s="3">
        <f>(S22-Pool!$D$7)/Pool!$E$7</f>
        <v>-0.5266969678783564</v>
      </c>
      <c r="AH22" s="3">
        <f>(AS22-Pool!$D$8)/Pool!$E$8</f>
        <v>-0.2526616838350571</v>
      </c>
      <c r="AI22" s="3">
        <f>(AT22-Pool!$D$9)/Pool!$E$9</f>
        <v>0.6078180309953386</v>
      </c>
      <c r="AJ22" s="3">
        <f>-(T22-Pool!$D$10)/Pool!$E$10</f>
        <v>-0.4969836350207304</v>
      </c>
      <c r="AL22">
        <f>MATCH(B22,'Player Data'!$A:$A,0)</f>
        <v>21</v>
      </c>
      <c r="AM22" s="3">
        <f>1+IF(Settings!$F$10="ON",IFERROR(VLOOKUP(TRIM(F22),Settings!$D$12:$F$17,3,FALSE),0),0)</f>
        <v>1</v>
      </c>
      <c r="AN22" t="str">
        <f t="shared" si="5"/>
        <v>PF</v>
      </c>
      <c r="AO22" s="6">
        <f>X22*(U22-Pool!$B$12)</f>
        <v>-6.5921718945115977</v>
      </c>
      <c r="AP22" s="6">
        <f>Z22*(V22-Pool!$B$13)</f>
        <v>17.581074970842995</v>
      </c>
      <c r="AQ22" s="3">
        <f>Settings!$B$2*(N22-Pool!$B$2)/Pool!$C$2+Settings!$B$3*(O22-Pool!$B$3)/Pool!$C$3+Settings!$B$4*(P22-Pool!$B$4)/Pool!$C$4+Settings!$B$5*(Q22-Pool!$B$5)/Pool!$C$5+Settings!$B$6*(R22-Pool!$B$6)/Pool!$C$6+Settings!$B$7*(S22-Pool!$B$7)/Pool!$C$7+Settings!$B$8*(AO22-Pool!$B$8)/Pool!$C$8+Settings!$B$9*(AP22-Pool!$B$9)/Pool!$C$9+Settings!$B$10*-(T22-Pool!$B$10)/Pool!$C$10</f>
        <v>4.9072241892766586</v>
      </c>
      <c r="AR22">
        <f>IF(RANK(AQ22,$AQ$2:$AQ$266)&lt;=Settings!$F$5,1,0)</f>
        <v>1</v>
      </c>
      <c r="AS22" s="6">
        <f>X22*(U22-Pool!$D$12)</f>
        <v>-11.553109322009798</v>
      </c>
      <c r="AT22" s="6">
        <f>Z22*(V22-Pool!$D$13)</f>
        <v>13.560777654762109</v>
      </c>
    </row>
    <row r="23" spans="1:46" x14ac:dyDescent="0.2">
      <c r="A23">
        <f t="shared" si="0"/>
        <v>22</v>
      </c>
      <c r="B23" t="s">
        <v>64</v>
      </c>
      <c r="C23" t="str">
        <f>INDEX('Player Data'!$C:$C,AL23)</f>
        <v>PG</v>
      </c>
      <c r="D23">
        <f t="shared" si="1"/>
        <v>12</v>
      </c>
      <c r="E23" t="str">
        <f>INDEX('Player Data'!$B:$B,AL23)</f>
        <v>MIN</v>
      </c>
      <c r="F23" s="2"/>
      <c r="G23" s="3">
        <f>Settings!$B$2*AB23+Settings!$B$3*AC23+Settings!$B$4*AD23+Settings!$B$5*AE23+Settings!$B$6*AF23+Settings!$B$7*AG23+Settings!$B$8*AH23+Settings!$B$9*AI23+Settings!$B$10*AJ23</f>
        <v>2.7084632693752617</v>
      </c>
      <c r="H23" s="3">
        <f>G23-LARGE($G$2:$G$266,Settings!$F$4)</f>
        <v>5.9247280358224268</v>
      </c>
      <c r="I23">
        <f>IF(INDEX('Player Data'!$R:$R,AL23)="","",INDEX('Player Data'!$R:$R,AL23))</f>
        <v>22</v>
      </c>
      <c r="J23" s="4">
        <f t="shared" si="2"/>
        <v>0</v>
      </c>
      <c r="L23" s="5">
        <f>IF(Settings!$F$7="Yes",INDEX('Minutes &amp; Health'!$O:$O,AL23),Settings!$F$8)</f>
        <v>73</v>
      </c>
      <c r="M23" s="6">
        <f>INDEX('Minutes &amp; Health'!$P:$P,AL23)</f>
        <v>31.3</v>
      </c>
      <c r="N23" s="5">
        <f>INDEX('Player Data'!$F:$F,AL23)/INDEX('Player Data'!$E:$E,AL23)*M23*L23*AM23</f>
        <v>1668.9269584245076</v>
      </c>
      <c r="O23" s="5">
        <f>INDEX('Player Data'!$G:$G,AL23)/INDEX('Player Data'!$E:$E,AL23)*M23*L23*AM23</f>
        <v>380.98332603938735</v>
      </c>
      <c r="P23" s="5">
        <f>INDEX('Player Data'!$H:$H,AL23)/INDEX('Player Data'!$E:$E,AL23)*M23*L23*AM23</f>
        <v>580.9745733041575</v>
      </c>
      <c r="Q23" s="5">
        <f>INDEX('Player Data'!$I:$I,AL23)/INDEX('Player Data'!$E:$E,AL23)*M23*L23*AM23</f>
        <v>104.99540481400437</v>
      </c>
      <c r="R23" s="5">
        <f>INDEX('Player Data'!$J:$J,AL23)/INDEX('Player Data'!$E:$E,AL23)*M23*L23*AM23</f>
        <v>20.999080962800871</v>
      </c>
      <c r="S23" s="5">
        <f>INDEX('Player Data'!$K:$K,AL23)/INDEX('Player Data'!$E:$E,AL23)*M23*L23*AM23</f>
        <v>278.98778993435451</v>
      </c>
      <c r="T23" s="5">
        <f>INDEX('Player Data'!$L:$L,AL23)/INDEX('Player Data'!$E:$E,AL23)*M23*L23*AM23</f>
        <v>225.99010940919038</v>
      </c>
      <c r="U23" s="7">
        <f>INDEX('Player Data'!$M:$M,AL23)</f>
        <v>0.41399999999999998</v>
      </c>
      <c r="V23" s="7">
        <f>INDEX('Player Data'!$N:$N,AL23)</f>
        <v>0.88</v>
      </c>
      <c r="W23" s="5">
        <f t="shared" si="3"/>
        <v>594.22959319037193</v>
      </c>
      <c r="X23" s="5">
        <f>INDEX('Player Data'!$O:$O,AL23)/INDEX('Player Data'!$E:$E,AL23)*M23*L23*AM23</f>
        <v>1435.3371816192559</v>
      </c>
      <c r="Y23" s="5">
        <f t="shared" si="4"/>
        <v>201.51118074398249</v>
      </c>
      <c r="Z23" s="5">
        <f>INDEX('Player Data'!$P:$P,AL23)/INDEX('Player Data'!$E:$E,AL23)*M23*L23*AM23</f>
        <v>228.98997811816193</v>
      </c>
      <c r="AB23" s="3">
        <f>(N23-Pool!$D$2)/Pool!$E$2</f>
        <v>1.0588167871303895</v>
      </c>
      <c r="AC23" s="3">
        <f>(O23-Pool!$D$3)/Pool!$E$3</f>
        <v>-0.2819539883314251</v>
      </c>
      <c r="AD23" s="3">
        <f>(P23-Pool!$D$4)/Pool!$E$4</f>
        <v>2.0351662630884224</v>
      </c>
      <c r="AE23" s="3">
        <f>(Q23-Pool!$D$5)/Pool!$E$5</f>
        <v>1.3585753482855758</v>
      </c>
      <c r="AF23" s="3">
        <f>(R23-Pool!$D$6)/Pool!$E$6</f>
        <v>-0.84897689181133262</v>
      </c>
      <c r="AG23" s="3">
        <f>(S23-Pool!$D$7)/Pool!$E$7</f>
        <v>2.1911704946135897</v>
      </c>
      <c r="AH23" s="3">
        <f>(AS23-Pool!$D$8)/Pool!$E$8</f>
        <v>-2.199625904401608</v>
      </c>
      <c r="AI23" s="3">
        <f>(AT23-Pool!$D$9)/Pool!$E$9</f>
        <v>0.81967803842958908</v>
      </c>
      <c r="AJ23" s="3">
        <f>-(T23-Pool!$D$10)/Pool!$E$10</f>
        <v>-1.4243868776279383</v>
      </c>
      <c r="AL23">
        <f>MATCH(B23,'Player Data'!$A:$A,0)</f>
        <v>23</v>
      </c>
      <c r="AM23" s="3">
        <f>1+IF(Settings!$F$10="ON",IFERROR(VLOOKUP(TRIM(F23),Settings!$D$12:$F$17,3,FALSE),0),0)</f>
        <v>1</v>
      </c>
      <c r="AN23" t="str">
        <f t="shared" si="5"/>
        <v>PG</v>
      </c>
      <c r="AO23" s="6">
        <f>X23*(U23-Pool!$B$12)</f>
        <v>-95.603173075039805</v>
      </c>
      <c r="AP23" s="6">
        <f>Z23*(V23-Pool!$B$13)</f>
        <v>20.586277522341899</v>
      </c>
      <c r="AQ23" s="3">
        <f>Settings!$B$2*(N23-Pool!$B$2)/Pool!$C$2+Settings!$B$3*(O23-Pool!$B$3)/Pool!$C$3+Settings!$B$4*(P23-Pool!$B$4)/Pool!$C$4+Settings!$B$5*(Q23-Pool!$B$5)/Pool!$C$5+Settings!$B$6*(R23-Pool!$B$6)/Pool!$C$6+Settings!$B$7*(S23-Pool!$B$7)/Pool!$C$7+Settings!$B$8*(AO23-Pool!$B$8)/Pool!$C$8+Settings!$B$9*(AP23-Pool!$B$9)/Pool!$C$9+Settings!$B$10*-(T23-Pool!$B$10)/Pool!$C$10</f>
        <v>4.4322037810846293</v>
      </c>
      <c r="AR23">
        <f>IF(RANK(AQ23,$AQ$2:$AQ$266)&lt;=Settings!$F$5,1,0)</f>
        <v>1</v>
      </c>
      <c r="AS23" s="6">
        <f>X23*(U23-Pool!$D$12)</f>
        <v>-100.57923368256574</v>
      </c>
      <c r="AT23" s="6">
        <f>Z23*(V23-Pool!$D$13)</f>
        <v>18.287498989513221</v>
      </c>
    </row>
    <row r="24" spans="1:46" x14ac:dyDescent="0.2">
      <c r="A24">
        <f t="shared" si="0"/>
        <v>23</v>
      </c>
      <c r="B24" t="s">
        <v>65</v>
      </c>
      <c r="C24" t="str">
        <f>INDEX('Player Data'!$C:$C,AL24)</f>
        <v>PF,SF,SG</v>
      </c>
      <c r="D24">
        <f t="shared" si="1"/>
        <v>7</v>
      </c>
      <c r="E24" t="str">
        <f>INDEX('Player Data'!$B:$B,AL24)</f>
        <v>NOR</v>
      </c>
      <c r="F24" s="2"/>
      <c r="G24" s="3">
        <f>Settings!$B$2*AB24+Settings!$B$3*AC24+Settings!$B$4*AD24+Settings!$B$5*AE24+Settings!$B$6*AF24+Settings!$B$7*AG24+Settings!$B$8*AH24+Settings!$B$9*AI24+Settings!$B$10*AJ24</f>
        <v>2.4436854549865701</v>
      </c>
      <c r="H24" s="3">
        <f>G24-LARGE($G$2:$G$266,Settings!$F$4)</f>
        <v>5.6599502214337356</v>
      </c>
      <c r="I24">
        <f>IF(INDEX('Player Data'!$R:$R,AL24)="","",INDEX('Player Data'!$R:$R,AL24))</f>
        <v>37</v>
      </c>
      <c r="J24" s="4">
        <f t="shared" si="2"/>
        <v>14</v>
      </c>
      <c r="L24" s="5">
        <f>IF(Settings!$F$7="Yes",INDEX('Minutes &amp; Health'!$O:$O,AL24),Settings!$F$8)</f>
        <v>73</v>
      </c>
      <c r="M24" s="6">
        <f>INDEX('Minutes &amp; Health'!$P:$P,AL24)</f>
        <v>34.200000000000003</v>
      </c>
      <c r="N24" s="5">
        <f>INDEX('Player Data'!$F:$F,AL24)/INDEX('Player Data'!$E:$E,AL24)*M24*L24*AM24</f>
        <v>1465.5262229350444</v>
      </c>
      <c r="O24" s="5">
        <f>INDEX('Player Data'!$G:$G,AL24)/INDEX('Player Data'!$E:$E,AL24)*M24*L24*AM24</f>
        <v>376.39198075380921</v>
      </c>
      <c r="P24" s="5">
        <f>INDEX('Player Data'!$H:$H,AL24)/INDEX('Player Data'!$E:$E,AL24)*M24*L24*AM24</f>
        <v>244.25437048917405</v>
      </c>
      <c r="Q24" s="5">
        <f>INDEX('Player Data'!$I:$I,AL24)/INDEX('Player Data'!$E:$E,AL24)*M24*L24*AM24</f>
        <v>89.092782678428236</v>
      </c>
      <c r="R24" s="5">
        <f>INDEX('Player Data'!$J:$J,AL24)/INDEX('Player Data'!$E:$E,AL24)*M24*L24*AM24</f>
        <v>32.033360064153975</v>
      </c>
      <c r="S24" s="5">
        <f>INDEX('Player Data'!$K:$K,AL24)/INDEX('Player Data'!$E:$E,AL24)*M24*L24*AM24</f>
        <v>213.22205292702489</v>
      </c>
      <c r="T24" s="5">
        <f>INDEX('Player Data'!$L:$L,AL24)/INDEX('Player Data'!$E:$E,AL24)*M24*L24*AM24</f>
        <v>126.13135525260627</v>
      </c>
      <c r="U24" s="7">
        <f>INDEX('Player Data'!$M:$M,AL24)</f>
        <v>0.47399999999999998</v>
      </c>
      <c r="V24" s="7">
        <f>INDEX('Player Data'!$N:$N,AL24)</f>
        <v>0.88700000000000001</v>
      </c>
      <c r="W24" s="5">
        <f t="shared" si="3"/>
        <v>513.1654188452286</v>
      </c>
      <c r="X24" s="5">
        <f>INDEX('Player Data'!$O:$O,AL24)/INDEX('Player Data'!$E:$E,AL24)*M24*L24*AM24</f>
        <v>1082.6274659182038</v>
      </c>
      <c r="Y24" s="5">
        <f t="shared" si="4"/>
        <v>225.97683596631919</v>
      </c>
      <c r="Z24" s="5">
        <f>INDEX('Player Data'!$P:$P,AL24)/INDEX('Player Data'!$E:$E,AL24)*M24*L24*AM24</f>
        <v>254.76531676022455</v>
      </c>
      <c r="AB24" s="3">
        <f>(N24-Pool!$D$2)/Pool!$E$2</f>
        <v>0.55744187589391991</v>
      </c>
      <c r="AC24" s="3">
        <f>(O24-Pool!$D$3)/Pool!$E$3</f>
        <v>-0.30867795797805891</v>
      </c>
      <c r="AD24" s="3">
        <f>(P24-Pool!$D$4)/Pool!$E$4</f>
        <v>-0.24218278824222336</v>
      </c>
      <c r="AE24" s="3">
        <f>(Q24-Pool!$D$5)/Pool!$E$5</f>
        <v>0.65650369716792367</v>
      </c>
      <c r="AF24" s="3">
        <f>(R24-Pool!$D$6)/Pool!$E$6</f>
        <v>-0.52963684617043871</v>
      </c>
      <c r="AG24" s="3">
        <f>(S24-Pool!$D$7)/Pool!$E$7</f>
        <v>1.2649053456858792</v>
      </c>
      <c r="AH24" s="3">
        <f>(AS24-Pool!$D$8)/Pool!$E$8</f>
        <v>-0.23850854896402582</v>
      </c>
      <c r="AI24" s="3">
        <f>(AT24-Pool!$D$9)/Pool!$E$9</f>
        <v>0.9918750335289197</v>
      </c>
      <c r="AJ24" s="3">
        <f>-(T24-Pool!$D$10)/Pool!$E$10</f>
        <v>0.29196564406467412</v>
      </c>
      <c r="AL24">
        <f>MATCH(B24,'Player Data'!$A:$A,0)</f>
        <v>48</v>
      </c>
      <c r="AM24" s="3">
        <f>1+IF(Settings!$F$10="ON",IFERROR(VLOOKUP(TRIM(F24),Settings!$D$12:$F$17,3,FALSE),0),0)</f>
        <v>1</v>
      </c>
      <c r="AN24" t="str">
        <f t="shared" si="5"/>
        <v>PF</v>
      </c>
      <c r="AO24" s="6">
        <f>X24*(U24-Pool!$B$12)</f>
        <v>-7.1526703209275855</v>
      </c>
      <c r="AP24" s="6">
        <f>Z24*(V24-Pool!$B$13)</f>
        <v>24.686846518442884</v>
      </c>
      <c r="AQ24" s="3">
        <f>Settings!$B$2*(N24-Pool!$B$2)/Pool!$C$2+Settings!$B$3*(O24-Pool!$B$3)/Pool!$C$3+Settings!$B$4*(P24-Pool!$B$4)/Pool!$C$4+Settings!$B$5*(Q24-Pool!$B$5)/Pool!$C$5+Settings!$B$6*(R24-Pool!$B$6)/Pool!$C$6+Settings!$B$7*(S24-Pool!$B$7)/Pool!$C$7+Settings!$B$8*(AO24-Pool!$B$8)/Pool!$C$8+Settings!$B$9*(AP24-Pool!$B$9)/Pool!$C$9+Settings!$B$10*-(T24-Pool!$B$10)/Pool!$C$10</f>
        <v>4.5505283609163207</v>
      </c>
      <c r="AR24">
        <f>IF(RANK(AQ24,$AQ$2:$AQ$266)&lt;=Settings!$F$5,1,0)</f>
        <v>1</v>
      </c>
      <c r="AS24" s="6">
        <f>X24*(U24-Pool!$D$12)</f>
        <v>-10.905948613142995</v>
      </c>
      <c r="AT24" s="6">
        <f>Z24*(V24-Pool!$D$13)</f>
        <v>22.129315198118029</v>
      </c>
    </row>
    <row r="25" spans="1:46" x14ac:dyDescent="0.2">
      <c r="A25">
        <f t="shared" si="0"/>
        <v>24</v>
      </c>
      <c r="B25" t="s">
        <v>66</v>
      </c>
      <c r="C25" t="str">
        <f>INDEX('Player Data'!$C:$C,AL25)</f>
        <v>C</v>
      </c>
      <c r="D25">
        <f t="shared" si="1"/>
        <v>4</v>
      </c>
      <c r="E25" t="str">
        <f>INDEX('Player Data'!$B:$B,AL25)</f>
        <v>DET</v>
      </c>
      <c r="F25" s="2"/>
      <c r="G25" s="3">
        <f>Settings!$B$2*AB25+Settings!$B$3*AC25+Settings!$B$4*AD25+Settings!$B$5*AE25+Settings!$B$6*AF25+Settings!$B$7*AG25+Settings!$B$8*AH25+Settings!$B$9*AI25+Settings!$B$10*AJ25</f>
        <v>2.4030032485871744</v>
      </c>
      <c r="H25" s="3">
        <f>G25-LARGE($G$2:$G$266,Settings!$F$4)</f>
        <v>5.6192680150343399</v>
      </c>
      <c r="I25">
        <f>IF(INDEX('Player Data'!$R:$R,AL25)="","",INDEX('Player Data'!$R:$R,AL25))</f>
        <v>30</v>
      </c>
      <c r="J25" s="4">
        <f t="shared" si="2"/>
        <v>6</v>
      </c>
      <c r="L25" s="5">
        <f>IF(Settings!$F$7="Yes",INDEX('Minutes &amp; Health'!$O:$O,AL25),Settings!$F$8)</f>
        <v>75</v>
      </c>
      <c r="M25" s="6">
        <f>INDEX('Minutes &amp; Health'!$P:$P,AL25)</f>
        <v>30.3</v>
      </c>
      <c r="N25" s="5">
        <f>INDEX('Player Data'!$F:$F,AL25)/INDEX('Player Data'!$E:$E,AL25)*M25*L25*AM25</f>
        <v>1323.8738441215321</v>
      </c>
      <c r="O25" s="5">
        <f>INDEX('Player Data'!$G:$G,AL25)/INDEX('Player Data'!$E:$E,AL25)*M25*L25*AM25</f>
        <v>841.5554821664465</v>
      </c>
      <c r="P25" s="5">
        <f>INDEX('Player Data'!$H:$H,AL25)/INDEX('Player Data'!$E:$E,AL25)*M25*L25*AM25</f>
        <v>178.11756935270807</v>
      </c>
      <c r="Q25" s="5">
        <f>INDEX('Player Data'!$I:$I,AL25)/INDEX('Player Data'!$E:$E,AL25)*M25*L25*AM25</f>
        <v>64.042272126816371</v>
      </c>
      <c r="R25" s="5">
        <f>INDEX('Player Data'!$J:$J,AL25)/INDEX('Player Data'!$E:$E,AL25)*M25*L25*AM25</f>
        <v>83.054821664464995</v>
      </c>
      <c r="S25" s="5">
        <f>INDEX('Player Data'!$K:$K,AL25)/INDEX('Player Data'!$E:$E,AL25)*M25*L25*AM25</f>
        <v>0</v>
      </c>
      <c r="T25" s="5">
        <f>INDEX('Player Data'!$L:$L,AL25)/INDEX('Player Data'!$E:$E,AL25)*M25*L25*AM25</f>
        <v>146.09643328929988</v>
      </c>
      <c r="U25" s="7">
        <f>INDEX('Player Data'!$M:$M,AL25)</f>
        <v>0.65800000000000003</v>
      </c>
      <c r="V25" s="7">
        <f>INDEX('Player Data'!$N:$N,AL25)</f>
        <v>0.73</v>
      </c>
      <c r="W25" s="5">
        <f t="shared" si="3"/>
        <v>519.57075099075303</v>
      </c>
      <c r="X25" s="5">
        <f>INDEX('Player Data'!$O:$O,AL25)/INDEX('Player Data'!$E:$E,AL25)*M25*L25*AM25</f>
        <v>789.62120211360639</v>
      </c>
      <c r="Y25" s="5">
        <f t="shared" si="4"/>
        <v>284.74194848084545</v>
      </c>
      <c r="Z25" s="5">
        <f>INDEX('Player Data'!$P:$P,AL25)/INDEX('Player Data'!$E:$E,AL25)*M25*L25*AM25</f>
        <v>390.05746367239107</v>
      </c>
      <c r="AB25" s="3">
        <f>(N25-Pool!$D$2)/Pool!$E$2</f>
        <v>0.20827426505340446</v>
      </c>
      <c r="AC25" s="3">
        <f>(O25-Pool!$D$3)/Pool!$E$3</f>
        <v>2.3988107015048712</v>
      </c>
      <c r="AD25" s="3">
        <f>(P25-Pool!$D$4)/Pool!$E$4</f>
        <v>-0.68948764273868246</v>
      </c>
      <c r="AE25" s="3">
        <f>(Q25-Pool!$D$5)/Pool!$E$5</f>
        <v>-0.44943047861592034</v>
      </c>
      <c r="AF25" s="3">
        <f>(R25-Pool!$D$6)/Pool!$E$6</f>
        <v>0.94696128284647652</v>
      </c>
      <c r="AG25" s="3">
        <f>(S25-Pool!$D$7)/Pool!$E$7</f>
        <v>-1.7381805406185855</v>
      </c>
      <c r="AH25" s="3">
        <f>(AS25-Pool!$D$8)/Pool!$E$8</f>
        <v>3.0034805871607757</v>
      </c>
      <c r="AI25" s="3">
        <f>(AT25-Pool!$D$9)/Pool!$E$9</f>
        <v>-1.2262347564059106</v>
      </c>
      <c r="AJ25" s="3">
        <f>-(T25-Pool!$D$10)/Pool!$E$10</f>
        <v>-5.1190169599254889E-2</v>
      </c>
      <c r="AL25">
        <f>MATCH(B25,'Player Data'!$A:$A,0)</f>
        <v>69</v>
      </c>
      <c r="AM25" s="3">
        <f>1+IF(Settings!$F$10="ON",IFERROR(VLOOKUP(TRIM(F25),Settings!$D$12:$F$17,3,FALSE),0),0)</f>
        <v>1</v>
      </c>
      <c r="AN25" t="str">
        <f t="shared" si="5"/>
        <v>C</v>
      </c>
      <c r="AO25" s="6">
        <f>X25*(U25-Pool!$B$12)</f>
        <v>140.0734557689114</v>
      </c>
      <c r="AP25" s="6">
        <f>Z25*(V25-Pool!$B$13)</f>
        <v>-23.442319869057158</v>
      </c>
      <c r="AQ25" s="3">
        <f>Settings!$B$2*(N25-Pool!$B$2)/Pool!$C$2+Settings!$B$3*(O25-Pool!$B$3)/Pool!$C$3+Settings!$B$4*(P25-Pool!$B$4)/Pool!$C$4+Settings!$B$5*(Q25-Pool!$B$5)/Pool!$C$5+Settings!$B$6*(R25-Pool!$B$6)/Pool!$C$6+Settings!$B$7*(S25-Pool!$B$7)/Pool!$C$7+Settings!$B$8*(AO25-Pool!$B$8)/Pool!$C$8+Settings!$B$9*(AP25-Pool!$B$9)/Pool!$C$9+Settings!$B$10*-(T25-Pool!$B$10)/Pool!$C$10</f>
        <v>4.9559670989966023</v>
      </c>
      <c r="AR25">
        <f>IF(RANK(AQ25,$AQ$2:$AQ$266)&lt;=Settings!$F$5,1,0)</f>
        <v>1</v>
      </c>
      <c r="AS25" s="6">
        <f>X25*(U25-Pool!$D$12)</f>
        <v>137.3359784646085</v>
      </c>
      <c r="AT25" s="6">
        <f>Z25*(V25-Pool!$D$13)</f>
        <v>-27.358018413720139</v>
      </c>
    </row>
    <row r="26" spans="1:46" x14ac:dyDescent="0.2">
      <c r="A26">
        <f t="shared" si="0"/>
        <v>25</v>
      </c>
      <c r="B26" t="s">
        <v>67</v>
      </c>
      <c r="C26" t="str">
        <f>INDEX('Player Data'!$C:$C,AL26)</f>
        <v>PG,SF,SG</v>
      </c>
      <c r="D26">
        <f t="shared" si="1"/>
        <v>13</v>
      </c>
      <c r="E26" t="str">
        <f>INDEX('Player Data'!$B:$B,AL26)</f>
        <v>HOU</v>
      </c>
      <c r="F26" s="2"/>
      <c r="G26" s="3">
        <f>Settings!$B$2*AB26+Settings!$B$3*AC26+Settings!$B$4*AD26+Settings!$B$5*AE26+Settings!$B$6*AF26+Settings!$B$7*AG26+Settings!$B$8*AH26+Settings!$B$9*AI26+Settings!$B$10*AJ26</f>
        <v>2.3942353536266201</v>
      </c>
      <c r="H26" s="3">
        <f>G26-LARGE($G$2:$G$266,Settings!$F$4)</f>
        <v>5.6105001200737856</v>
      </c>
      <c r="I26">
        <f>IF(INDEX('Player Data'!$R:$R,AL26)="","",INDEX('Player Data'!$R:$R,AL26))</f>
        <v>27</v>
      </c>
      <c r="J26" s="4">
        <f t="shared" si="2"/>
        <v>2</v>
      </c>
      <c r="L26" s="5">
        <f>IF(Settings!$F$7="Yes",INDEX('Minutes &amp; Health'!$O:$O,AL26),Settings!$F$8)</f>
        <v>78</v>
      </c>
      <c r="M26" s="6">
        <f>INDEX('Minutes &amp; Health'!$P:$P,AL26)</f>
        <v>35.700000000000003</v>
      </c>
      <c r="N26" s="5">
        <f>INDEX('Player Data'!$F:$F,AL26)/INDEX('Player Data'!$E:$E,AL26)*M26*L26*AM26</f>
        <v>1292.8856835306783</v>
      </c>
      <c r="O26" s="5">
        <f>INDEX('Player Data'!$G:$G,AL26)/INDEX('Player Data'!$E:$E,AL26)*M26*L26*AM26</f>
        <v>593.48848223896664</v>
      </c>
      <c r="P26" s="5">
        <f>INDEX('Player Data'!$H:$H,AL26)/INDEX('Player Data'!$E:$E,AL26)*M26*L26*AM26</f>
        <v>371.67965554359529</v>
      </c>
      <c r="Q26" s="5">
        <f>INDEX('Player Data'!$I:$I,AL26)/INDEX('Player Data'!$E:$E,AL26)*M26*L26*AM26</f>
        <v>112.90269106566201</v>
      </c>
      <c r="R26" s="5">
        <f>INDEX('Player Data'!$J:$J,AL26)/INDEX('Player Data'!$E:$E,AL26)*M26*L26*AM26</f>
        <v>62.945748116254045</v>
      </c>
      <c r="S26" s="5">
        <f>INDEX('Player Data'!$K:$K,AL26)/INDEX('Player Data'!$E:$E,AL26)*M26*L26*AM26</f>
        <v>24.978471474703984</v>
      </c>
      <c r="T26" s="5">
        <f>INDEX('Player Data'!$L:$L,AL26)/INDEX('Player Data'!$E:$E,AL26)*M26*L26*AM26</f>
        <v>175.84843918191606</v>
      </c>
      <c r="U26" s="7">
        <f>INDEX('Player Data'!$M:$M,AL26)</f>
        <v>0.54300000000000004</v>
      </c>
      <c r="V26" s="7">
        <f>INDEX('Player Data'!$N:$N,AL26)</f>
        <v>0.75700000000000001</v>
      </c>
      <c r="W26" s="5">
        <f t="shared" si="3"/>
        <v>508.24435272335842</v>
      </c>
      <c r="X26" s="5">
        <f>INDEX('Player Data'!$O:$O,AL26)/INDEX('Player Data'!$E:$E,AL26)*M26*L26*AM26</f>
        <v>935.99328310010753</v>
      </c>
      <c r="Y26" s="5">
        <f t="shared" si="4"/>
        <v>251.41011384284178</v>
      </c>
      <c r="Z26" s="5">
        <f>INDEX('Player Data'!$P:$P,AL26)/INDEX('Player Data'!$E:$E,AL26)*M26*L26*AM26</f>
        <v>332.11375672766417</v>
      </c>
      <c r="AB26" s="3">
        <f>(N26-Pool!$D$2)/Pool!$E$2</f>
        <v>0.13188965303008343</v>
      </c>
      <c r="AC26" s="3">
        <f>(O26-Pool!$D$3)/Pool!$E$3</f>
        <v>0.95493432888335006</v>
      </c>
      <c r="AD26" s="3">
        <f>(P26-Pool!$D$4)/Pool!$E$4</f>
        <v>0.61963616294697543</v>
      </c>
      <c r="AE26" s="3">
        <f>(Q26-Pool!$D$5)/Pool!$E$5</f>
        <v>1.7076675588174375</v>
      </c>
      <c r="AF26" s="3">
        <f>(R26-Pool!$D$6)/Pool!$E$6</f>
        <v>0.36499009961853807</v>
      </c>
      <c r="AG26" s="3">
        <f>(S26-Pool!$D$7)/Pool!$E$7</f>
        <v>-1.3863759588813711</v>
      </c>
      <c r="AH26" s="3">
        <f>(AS26-Pool!$D$8)/Pool!$E$8</f>
        <v>1.2062107520711161</v>
      </c>
      <c r="AI26" s="3">
        <f>(AT26-Pool!$D$9)/Pool!$E$9</f>
        <v>-0.64215547874654166</v>
      </c>
      <c r="AJ26" s="3">
        <f>-(T26-Pool!$D$10)/Pool!$E$10</f>
        <v>-0.56256176411296754</v>
      </c>
      <c r="AL26">
        <f>MATCH(B26,'Player Data'!$A:$A,0)</f>
        <v>81</v>
      </c>
      <c r="AM26" s="3">
        <f>1+IF(Settings!$F$10="ON",IFERROR(VLOOKUP(TRIM(F26),Settings!$D$12:$F$17,3,FALSE),0),0)</f>
        <v>1</v>
      </c>
      <c r="AN26" t="str">
        <f t="shared" si="5"/>
        <v>PG</v>
      </c>
      <c r="AO26" s="6">
        <f>X26*(U26-Pool!$B$12)</f>
        <v>58.399644486665132</v>
      </c>
      <c r="AP26" s="6">
        <f>Z26*(V26-Pool!$B$13)</f>
        <v>-10.992851511048462</v>
      </c>
      <c r="AQ26" s="3">
        <f>Settings!$B$2*(N26-Pool!$B$2)/Pool!$C$2+Settings!$B$3*(O26-Pool!$B$3)/Pool!$C$3+Settings!$B$4*(P26-Pool!$B$4)/Pool!$C$4+Settings!$B$5*(Q26-Pool!$B$5)/Pool!$C$5+Settings!$B$6*(R26-Pool!$B$6)/Pool!$C$6+Settings!$B$7*(S26-Pool!$B$7)/Pool!$C$7+Settings!$B$8*(AO26-Pool!$B$8)/Pool!$C$8+Settings!$B$9*(AP26-Pool!$B$9)/Pool!$C$9+Settings!$B$10*-(T26-Pool!$B$10)/Pool!$C$10</f>
        <v>4.4763867980366898</v>
      </c>
      <c r="AR26">
        <f>IF(RANK(AQ26,$AQ$2:$AQ$266)&lt;=Settings!$F$5,1,0)</f>
        <v>1</v>
      </c>
      <c r="AS26" s="6">
        <f>X26*(U26-Pool!$D$12)</f>
        <v>55.15472101879471</v>
      </c>
      <c r="AT26" s="6">
        <f>Z26*(V26-Pool!$D$13)</f>
        <v>-14.326866303733787</v>
      </c>
    </row>
    <row r="27" spans="1:46" x14ac:dyDescent="0.2">
      <c r="A27">
        <f t="shared" si="0"/>
        <v>26</v>
      </c>
      <c r="B27" t="s">
        <v>68</v>
      </c>
      <c r="C27" t="str">
        <f>INDEX('Player Data'!$C:$C,AL27)</f>
        <v>PF,C</v>
      </c>
      <c r="D27">
        <f t="shared" si="1"/>
        <v>8</v>
      </c>
      <c r="E27" t="str">
        <f>INDEX('Player Data'!$B:$B,AL27)</f>
        <v>MIA</v>
      </c>
      <c r="F27" s="2"/>
      <c r="G27" s="3">
        <f>Settings!$B$2*AB27+Settings!$B$3*AC27+Settings!$B$4*AD27+Settings!$B$5*AE27+Settings!$B$6*AF27+Settings!$B$7*AG27+Settings!$B$8*AH27+Settings!$B$9*AI27+Settings!$B$10*AJ27</f>
        <v>2.2311473353246747</v>
      </c>
      <c r="H27" s="3">
        <f>G27-LARGE($G$2:$G$266,Settings!$F$4)</f>
        <v>5.4474121017718398</v>
      </c>
      <c r="I27">
        <f>IF(INDEX('Player Data'!$R:$R,AL27)="","",INDEX('Player Data'!$R:$R,AL27))</f>
        <v>9</v>
      </c>
      <c r="J27" s="4">
        <f t="shared" si="2"/>
        <v>-17</v>
      </c>
      <c r="L27" s="5">
        <f>IF(Settings!$F$7="Yes",INDEX('Minutes &amp; Health'!$O:$O,AL27),Settings!$F$8)</f>
        <v>73</v>
      </c>
      <c r="M27" s="6">
        <f>INDEX('Minutes &amp; Health'!$P:$P,AL27)</f>
        <v>33</v>
      </c>
      <c r="N27" s="5">
        <f>INDEX('Player Data'!$F:$F,AL27)/INDEX('Player Data'!$E:$E,AL27)*M27*L27*AM27</f>
        <v>2264.8803489821353</v>
      </c>
      <c r="O27" s="5">
        <f>INDEX('Player Data'!$G:$G,AL27)/INDEX('Player Data'!$E:$E,AL27)*M27*L27*AM27</f>
        <v>828.68799335272115</v>
      </c>
      <c r="P27" s="5">
        <f>INDEX('Player Data'!$H:$H,AL27)/INDEX('Player Data'!$E:$E,AL27)*M27*L27*AM27</f>
        <v>474.39385126713751</v>
      </c>
      <c r="Q27" s="5">
        <f>INDEX('Player Data'!$I:$I,AL27)/INDEX('Player Data'!$E:$E,AL27)*M27*L27*AM27</f>
        <v>79.065641877856251</v>
      </c>
      <c r="R27" s="5">
        <f>INDEX('Player Data'!$J:$J,AL27)/INDEX('Player Data'!$E:$E,AL27)*M27*L27*AM27</f>
        <v>63.052347320315754</v>
      </c>
      <c r="S27" s="5">
        <f>INDEX('Player Data'!$K:$K,AL27)/INDEX('Player Data'!$E:$E,AL27)*M27*L27*AM27</f>
        <v>26.021603656003322</v>
      </c>
      <c r="T27" s="5">
        <f>INDEX('Player Data'!$L:$L,AL27)/INDEX('Player Data'!$E:$E,AL27)*M27*L27*AM27</f>
        <v>245.20357291233901</v>
      </c>
      <c r="U27" s="7">
        <f>INDEX('Player Data'!$M:$M,AL27)</f>
        <v>0.60699999999999998</v>
      </c>
      <c r="V27" s="7">
        <f>INDEX('Player Data'!$N:$N,AL27)</f>
        <v>0.64</v>
      </c>
      <c r="W27" s="5">
        <f t="shared" si="3"/>
        <v>883.06834100540084</v>
      </c>
      <c r="X27" s="5">
        <f>INDEX('Player Data'!$O:$O,AL27)/INDEX('Player Data'!$E:$E,AL27)*M27*L27*AM27</f>
        <v>1454.8078105525549</v>
      </c>
      <c r="Y27" s="5">
        <f t="shared" si="4"/>
        <v>472.71245533859576</v>
      </c>
      <c r="Z27" s="5">
        <f>INDEX('Player Data'!$P:$P,AL27)/INDEX('Player Data'!$E:$E,AL27)*M27*L27*AM27</f>
        <v>738.61321146655587</v>
      </c>
      <c r="AB27" s="3">
        <f>(N27-Pool!$D$2)/Pool!$E$2</f>
        <v>2.5278187431601027</v>
      </c>
      <c r="AC27" s="3">
        <f>(O27-Pool!$D$3)/Pool!$E$3</f>
        <v>2.3239153583978025</v>
      </c>
      <c r="AD27" s="3">
        <f>(P27-Pool!$D$4)/Pool!$E$4</f>
        <v>1.3143259208933622</v>
      </c>
      <c r="AE27" s="3">
        <f>(Q27-Pool!$D$5)/Pool!$E$5</f>
        <v>0.21382378955080758</v>
      </c>
      <c r="AF27" s="3">
        <f>(R27-Pool!$D$6)/Pool!$E$6</f>
        <v>0.36807515795154461</v>
      </c>
      <c r="AG27" s="3">
        <f>(S27-Pool!$D$7)/Pool!$E$7</f>
        <v>-1.3716841599412204</v>
      </c>
      <c r="AH27" s="3">
        <f>(AS27-Pool!$D$8)/Pool!$E$8</f>
        <v>3.91103150707128</v>
      </c>
      <c r="AI27" s="3">
        <f>(AT27-Pool!$D$9)/Pool!$E$9</f>
        <v>-5.3015348924553809</v>
      </c>
      <c r="AJ27" s="3">
        <f>-(T27-Pool!$D$10)/Pool!$E$10</f>
        <v>-1.754624089303624</v>
      </c>
      <c r="AL27">
        <f>MATCH(B27,'Player Data'!$A:$A,0)</f>
        <v>3</v>
      </c>
      <c r="AM27" s="3">
        <f>1+IF(Settings!$F$10="ON",IFERROR(VLOOKUP(TRIM(F27),Settings!$D$12:$F$17,3,FALSE),0),0)</f>
        <v>1</v>
      </c>
      <c r="AN27" t="str">
        <f t="shared" si="5"/>
        <v>PF</v>
      </c>
      <c r="AO27" s="6">
        <f>X27*(U27-Pool!$B$12)</f>
        <v>183.87785866463983</v>
      </c>
      <c r="AP27" s="6">
        <f>Z27*(V27-Pool!$B$13)</f>
        <v>-110.86558987111675</v>
      </c>
      <c r="AQ27" s="3">
        <f>Settings!$B$2*(N27-Pool!$B$2)/Pool!$C$2+Settings!$B$3*(O27-Pool!$B$3)/Pool!$C$3+Settings!$B$4*(P27-Pool!$B$4)/Pool!$C$4+Settings!$B$5*(Q27-Pool!$B$5)/Pool!$C$5+Settings!$B$6*(R27-Pool!$B$6)/Pool!$C$6+Settings!$B$7*(S27-Pool!$B$7)/Pool!$C$7+Settings!$B$8*(AO27-Pool!$B$8)/Pool!$C$8+Settings!$B$9*(AP27-Pool!$B$9)/Pool!$C$9+Settings!$B$10*-(T27-Pool!$B$10)/Pool!$C$10</f>
        <v>4.0808751360848632</v>
      </c>
      <c r="AR27">
        <f>IF(RANK(AQ27,$AQ$2:$AQ$266)&lt;=Settings!$F$5,1,0)</f>
        <v>1</v>
      </c>
      <c r="AS27" s="6">
        <f>X27*(U27-Pool!$D$12)</f>
        <v>178.83429682403815</v>
      </c>
      <c r="AT27" s="6">
        <f>Z27*(V27-Pool!$D$13)</f>
        <v>-118.28036063329755</v>
      </c>
    </row>
    <row r="28" spans="1:46" x14ac:dyDescent="0.2">
      <c r="A28">
        <f t="shared" si="0"/>
        <v>27</v>
      </c>
      <c r="B28" t="s">
        <v>69</v>
      </c>
      <c r="C28" t="str">
        <f>INDEX('Player Data'!$C:$C,AL28)</f>
        <v>PG,SG</v>
      </c>
      <c r="D28">
        <f t="shared" si="1"/>
        <v>14</v>
      </c>
      <c r="E28" t="str">
        <f>INDEX('Player Data'!$B:$B,AL28)</f>
        <v>BOS</v>
      </c>
      <c r="F28" s="2"/>
      <c r="G28" s="3">
        <f>Settings!$B$2*AB28+Settings!$B$3*AC28+Settings!$B$4*AD28+Settings!$B$5*AE28+Settings!$B$6*AF28+Settings!$B$7*AG28+Settings!$B$8*AH28+Settings!$B$9*AI28+Settings!$B$10*AJ28</f>
        <v>2.2259566403969915</v>
      </c>
      <c r="H28" s="3">
        <f>G28-LARGE($G$2:$G$266,Settings!$F$4)</f>
        <v>5.4422214068441566</v>
      </c>
      <c r="I28">
        <f>IF(INDEX('Player Data'!$R:$R,AL28)="","",INDEX('Player Data'!$R:$R,AL28))</f>
        <v>47</v>
      </c>
      <c r="J28" s="4">
        <f t="shared" si="2"/>
        <v>20</v>
      </c>
      <c r="L28" s="5">
        <f>IF(Settings!$F$7="Yes",INDEX('Minutes &amp; Health'!$O:$O,AL28),Settings!$F$8)</f>
        <v>78</v>
      </c>
      <c r="M28" s="6">
        <f>INDEX('Minutes &amp; Health'!$P:$P,AL28)</f>
        <v>34.299999999999997</v>
      </c>
      <c r="N28" s="5">
        <f>INDEX('Player Data'!$F:$F,AL28)/INDEX('Player Data'!$E:$E,AL28)*M28*L28*AM28</f>
        <v>1337.200298841987</v>
      </c>
      <c r="O28" s="5">
        <f>INDEX('Player Data'!$G:$G,AL28)/INDEX('Player Data'!$E:$E,AL28)*M28*L28*AM28</f>
        <v>347.79200597683968</v>
      </c>
      <c r="P28" s="5">
        <f>INDEX('Player Data'!$H:$H,AL28)/INDEX('Player Data'!$E:$E,AL28)*M28*L28*AM28</f>
        <v>386.76869630183035</v>
      </c>
      <c r="Q28" s="5">
        <f>INDEX('Player Data'!$I:$I,AL28)/INDEX('Player Data'!$E:$E,AL28)*M28*L28*AM28</f>
        <v>78.952782966006723</v>
      </c>
      <c r="R28" s="5">
        <f>INDEX('Player Data'!$J:$J,AL28)/INDEX('Player Data'!$E:$E,AL28)*M28*L28*AM28</f>
        <v>86.948001494209919</v>
      </c>
      <c r="S28" s="5">
        <f>INDEX('Player Data'!$K:$K,AL28)/INDEX('Player Data'!$E:$E,AL28)*M28*L28*AM28</f>
        <v>239.85655584609634</v>
      </c>
      <c r="T28" s="5">
        <f>INDEX('Player Data'!$L:$L,AL28)/INDEX('Player Data'!$E:$E,AL28)*M28*L28*AM28</f>
        <v>146.91214045573403</v>
      </c>
      <c r="U28" s="7">
        <f>INDEX('Player Data'!$M:$M,AL28)</f>
        <v>0.40600000000000003</v>
      </c>
      <c r="V28" s="7">
        <f>INDEX('Player Data'!$N:$N,AL28)</f>
        <v>0.88200000000000001</v>
      </c>
      <c r="W28" s="5">
        <f t="shared" si="3"/>
        <v>452.66288884572282</v>
      </c>
      <c r="X28" s="5">
        <f>INDEX('Player Data'!$O:$O,AL28)/INDEX('Player Data'!$E:$E,AL28)*M28*L28*AM28</f>
        <v>1114.9332237579379</v>
      </c>
      <c r="Y28" s="5">
        <f t="shared" si="4"/>
        <v>191.98478514755323</v>
      </c>
      <c r="Z28" s="5">
        <f>INDEX('Player Data'!$P:$P,AL28)/INDEX('Player Data'!$E:$E,AL28)*M28*L28*AM28</f>
        <v>217.66982443033245</v>
      </c>
      <c r="AB28" s="3">
        <f>(N28-Pool!$D$2)/Pool!$E$2</f>
        <v>0.24112345823103198</v>
      </c>
      <c r="AC28" s="3">
        <f>(O28-Pool!$D$3)/Pool!$E$3</f>
        <v>-0.4751443878139901</v>
      </c>
      <c r="AD28" s="3">
        <f>(P28-Pool!$D$4)/Pool!$E$4</f>
        <v>0.72168828921971173</v>
      </c>
      <c r="AE28" s="3">
        <f>(Q28-Pool!$D$5)/Pool!$E$5</f>
        <v>0.20884127522643831</v>
      </c>
      <c r="AF28" s="3">
        <f>(R28-Pool!$D$6)/Pool!$E$6</f>
        <v>1.0596327327073465</v>
      </c>
      <c r="AG28" s="3">
        <f>(S28-Pool!$D$7)/Pool!$E$7</f>
        <v>1.6400339907157326</v>
      </c>
      <c r="AH28" s="3">
        <f>(AS28-Pool!$D$8)/Pool!$E$8</f>
        <v>-1.9036781600443942</v>
      </c>
      <c r="AI28" s="3">
        <f>(AT28-Pool!$D$9)/Pool!$E$9</f>
        <v>0.79866982524388141</v>
      </c>
      <c r="AJ28" s="3">
        <f>-(T28-Pool!$D$10)/Pool!$E$10</f>
        <v>-6.5210383088766768E-2</v>
      </c>
      <c r="AL28">
        <f>MATCH(B28,'Player Data'!$A:$A,0)</f>
        <v>75</v>
      </c>
      <c r="AM28" s="3">
        <f>1+IF(Settings!$F$10="ON",IFERROR(VLOOKUP(TRIM(F28),Settings!$D$12:$F$17,3,FALSE),0),0)</f>
        <v>1</v>
      </c>
      <c r="AN28" t="str">
        <f t="shared" si="5"/>
        <v>PG</v>
      </c>
      <c r="AO28" s="6">
        <f>X28*(U28-Pool!$B$12)</f>
        <v>-83.181566237982508</v>
      </c>
      <c r="AP28" s="6">
        <f>Z28*(V28-Pool!$B$13)</f>
        <v>20.003931474525622</v>
      </c>
      <c r="AQ28" s="3">
        <f>Settings!$B$2*(N28-Pool!$B$2)/Pool!$C$2+Settings!$B$3*(O28-Pool!$B$3)/Pool!$C$3+Settings!$B$4*(P28-Pool!$B$4)/Pool!$C$4+Settings!$B$5*(Q28-Pool!$B$5)/Pool!$C$5+Settings!$B$6*(R28-Pool!$B$6)/Pool!$C$6+Settings!$B$7*(S28-Pool!$B$7)/Pool!$C$7+Settings!$B$8*(AO28-Pool!$B$8)/Pool!$C$8+Settings!$B$9*(AP28-Pool!$B$9)/Pool!$C$9+Settings!$B$10*-(T28-Pool!$B$10)/Pool!$C$10</f>
        <v>4.301363207931141</v>
      </c>
      <c r="AR28">
        <f>IF(RANK(AQ28,$AQ$2:$AQ$266)&lt;=Settings!$F$5,1,0)</f>
        <v>1</v>
      </c>
      <c r="AS28" s="6">
        <f>X28*(U28-Pool!$D$12)</f>
        <v>-87.046842889218482</v>
      </c>
      <c r="AT28" s="6">
        <f>Z28*(V28-Pool!$D$13)</f>
        <v>17.818793400985847</v>
      </c>
    </row>
    <row r="29" spans="1:46" x14ac:dyDescent="0.2">
      <c r="A29">
        <f t="shared" si="0"/>
        <v>28</v>
      </c>
      <c r="B29" t="s">
        <v>70</v>
      </c>
      <c r="C29" t="str">
        <f>INDEX('Player Data'!$C:$C,AL29)</f>
        <v>PF,C</v>
      </c>
      <c r="D29">
        <f t="shared" si="1"/>
        <v>9</v>
      </c>
      <c r="E29" t="str">
        <f>INDEX('Player Data'!$B:$B,AL29)</f>
        <v>CLE</v>
      </c>
      <c r="F29" s="2"/>
      <c r="G29" s="3">
        <f>Settings!$B$2*AB29+Settings!$B$3*AC29+Settings!$B$4*AD29+Settings!$B$5*AE29+Settings!$B$6*AF29+Settings!$B$7*AG29+Settings!$B$8*AH29+Settings!$B$9*AI29+Settings!$B$10*AJ29</f>
        <v>2.2144148551670688</v>
      </c>
      <c r="H29" s="3">
        <f>G29-LARGE($G$2:$G$266,Settings!$F$4)</f>
        <v>5.4306796216142335</v>
      </c>
      <c r="I29">
        <f>IF(INDEX('Player Data'!$R:$R,AL29)="","",INDEX('Player Data'!$R:$R,AL29))</f>
        <v>32</v>
      </c>
      <c r="J29" s="4">
        <f t="shared" si="2"/>
        <v>4</v>
      </c>
      <c r="L29" s="5">
        <f>IF(Settings!$F$7="Yes",INDEX('Minutes &amp; Health'!$O:$O,AL29),Settings!$F$8)</f>
        <v>72</v>
      </c>
      <c r="M29" s="6">
        <f>INDEX('Minutes &amp; Health'!$P:$P,AL29)</f>
        <v>32.6</v>
      </c>
      <c r="N29" s="5">
        <f>INDEX('Player Data'!$F:$F,AL29)/INDEX('Player Data'!$E:$E,AL29)*M29*L29*AM29</f>
        <v>1355.2702771855011</v>
      </c>
      <c r="O29" s="5">
        <f>INDEX('Player Data'!$G:$G,AL29)/INDEX('Player Data'!$E:$E,AL29)*M29*L29*AM29</f>
        <v>693.65014925373146</v>
      </c>
      <c r="P29" s="5">
        <f>INDEX('Player Data'!$H:$H,AL29)/INDEX('Player Data'!$E:$E,AL29)*M29*L29*AM29</f>
        <v>262.24579957356076</v>
      </c>
      <c r="Q29" s="5">
        <f>INDEX('Player Data'!$I:$I,AL29)/INDEX('Player Data'!$E:$E,AL29)*M29*L29*AM29</f>
        <v>65.06098081023454</v>
      </c>
      <c r="R29" s="5">
        <f>INDEX('Player Data'!$J:$J,AL29)/INDEX('Player Data'!$E:$E,AL29)*M29*L29*AM29</f>
        <v>118.11070362473349</v>
      </c>
      <c r="S29" s="5">
        <f>INDEX('Player Data'!$K:$K,AL29)/INDEX('Player Data'!$E:$E,AL29)*M29*L29*AM29</f>
        <v>77.072238805970159</v>
      </c>
      <c r="T29" s="5">
        <f>INDEX('Player Data'!$L:$L,AL29)/INDEX('Player Data'!$E:$E,AL29)*M29*L29*AM29</f>
        <v>145.13603411513859</v>
      </c>
      <c r="U29" s="7">
        <f>INDEX('Player Data'!$M:$M,AL29)</f>
        <v>0.55400000000000005</v>
      </c>
      <c r="V29" s="7">
        <f>INDEX('Player Data'!$N:$N,AL29)</f>
        <v>0.67</v>
      </c>
      <c r="W29" s="5">
        <f t="shared" si="3"/>
        <v>533.89160965458427</v>
      </c>
      <c r="X29" s="5">
        <f>INDEX('Player Data'!$O:$O,AL29)/INDEX('Player Data'!$E:$E,AL29)*M29*L29*AM29</f>
        <v>963.70326652452025</v>
      </c>
      <c r="Y29" s="5">
        <f t="shared" si="4"/>
        <v>210.44324571428575</v>
      </c>
      <c r="Z29" s="5">
        <f>INDEX('Player Data'!$P:$P,AL29)/INDEX('Player Data'!$E:$E,AL29)*M29*L29*AM29</f>
        <v>314.09439658848618</v>
      </c>
      <c r="AB29" s="3">
        <f>(N29-Pool!$D$2)/Pool!$E$2</f>
        <v>0.28566525286231853</v>
      </c>
      <c r="AC29" s="3">
        <f>(O29-Pool!$D$3)/Pool!$E$3</f>
        <v>1.5379262806031755</v>
      </c>
      <c r="AD29" s="3">
        <f>(P29-Pool!$D$4)/Pool!$E$4</f>
        <v>-0.1205008588097805</v>
      </c>
      <c r="AE29" s="3">
        <f>(Q29-Pool!$D$5)/Pool!$E$5</f>
        <v>-0.4044563554003987</v>
      </c>
      <c r="AF29" s="3">
        <f>(R29-Pool!$D$6)/Pool!$E$6</f>
        <v>1.9615039495985935</v>
      </c>
      <c r="AG29" s="3">
        <f>(S29-Pool!$D$7)/Pool!$E$7</f>
        <v>-0.65267109444834615</v>
      </c>
      <c r="AH29" s="3">
        <f>(AS29-Pool!$D$8)/Pool!$E$8</f>
        <v>1.4737541703325188</v>
      </c>
      <c r="AI29" s="3">
        <f>(AT29-Pool!$D$9)/Pool!$E$9</f>
        <v>-1.8321234710805974</v>
      </c>
      <c r="AJ29" s="3">
        <f>-(T29-Pool!$D$10)/Pool!$E$10</f>
        <v>-3.4683018490414844E-2</v>
      </c>
      <c r="AL29">
        <f>MATCH(B29,'Player Data'!$A:$A,0)</f>
        <v>61</v>
      </c>
      <c r="AM29" s="3">
        <f>1+IF(Settings!$F$10="ON",IFERROR(VLOOKUP(TRIM(F29),Settings!$D$12:$F$17,3,FALSE),0),0)</f>
        <v>1</v>
      </c>
      <c r="AN29" t="str">
        <f t="shared" si="5"/>
        <v>PF</v>
      </c>
      <c r="AO29" s="6">
        <f>X29*(U29-Pool!$B$12)</f>
        <v>70.729295796285939</v>
      </c>
      <c r="AP29" s="6">
        <f>Z29*(V29-Pool!$B$13)</f>
        <v>-37.722629370027782</v>
      </c>
      <c r="AQ29" s="3">
        <f>Settings!$B$2*(N29-Pool!$B$2)/Pool!$C$2+Settings!$B$3*(O29-Pool!$B$3)/Pool!$C$3+Settings!$B$4*(P29-Pool!$B$4)/Pool!$C$4+Settings!$B$5*(Q29-Pool!$B$5)/Pool!$C$5+Settings!$B$6*(R29-Pool!$B$6)/Pool!$C$6+Settings!$B$7*(S29-Pool!$B$7)/Pool!$C$7+Settings!$B$8*(AO29-Pool!$B$8)/Pool!$C$8+Settings!$B$9*(AP29-Pool!$B$9)/Pool!$C$9+Settings!$B$10*-(T29-Pool!$B$10)/Pool!$C$10</f>
        <v>4.4918928884042533</v>
      </c>
      <c r="AR29">
        <f>IF(RANK(AQ29,$AQ$2:$AQ$266)&lt;=Settings!$F$5,1,0)</f>
        <v>1</v>
      </c>
      <c r="AS29" s="6">
        <f>X29*(U29-Pool!$D$12)</f>
        <v>67.388306707933324</v>
      </c>
      <c r="AT29" s="6">
        <f>Z29*(V29-Pool!$D$13)</f>
        <v>-40.875751886973958</v>
      </c>
    </row>
    <row r="30" spans="1:46" x14ac:dyDescent="0.2">
      <c r="A30">
        <f t="shared" si="0"/>
        <v>29</v>
      </c>
      <c r="B30" t="s">
        <v>71</v>
      </c>
      <c r="C30" t="str">
        <f>INDEX('Player Data'!$C:$C,AL30)</f>
        <v>C,PF</v>
      </c>
      <c r="D30">
        <f t="shared" si="1"/>
        <v>5</v>
      </c>
      <c r="E30" t="str">
        <f>INDEX('Player Data'!$B:$B,AL30)</f>
        <v>MIA</v>
      </c>
      <c r="F30" s="2"/>
      <c r="G30" s="3">
        <f>Settings!$B$2*AB30+Settings!$B$3*AC30+Settings!$B$4*AD30+Settings!$B$5*AE30+Settings!$B$6*AF30+Settings!$B$7*AG30+Settings!$B$8*AH30+Settings!$B$9*AI30+Settings!$B$10*AJ30</f>
        <v>2.2135801395983652</v>
      </c>
      <c r="H30" s="3">
        <f>G30-LARGE($G$2:$G$266,Settings!$F$4)</f>
        <v>5.4298449060455303</v>
      </c>
      <c r="I30">
        <f>IF(INDEX('Player Data'!$R:$R,AL30)="","",INDEX('Player Data'!$R:$R,AL30))</f>
        <v>34</v>
      </c>
      <c r="J30" s="4">
        <f t="shared" si="2"/>
        <v>5</v>
      </c>
      <c r="L30" s="5">
        <f>IF(Settings!$F$7="Yes",INDEX('Minutes &amp; Health'!$O:$O,AL30),Settings!$F$8)</f>
        <v>76</v>
      </c>
      <c r="M30" s="6">
        <f>INDEX('Minutes &amp; Health'!$P:$P,AL30)</f>
        <v>32.9</v>
      </c>
      <c r="N30" s="5">
        <f>INDEX('Player Data'!$F:$F,AL30)/INDEX('Player Data'!$E:$E,AL30)*M30*L30*AM30</f>
        <v>1481.0138566279534</v>
      </c>
      <c r="O30" s="5">
        <f>INDEX('Player Data'!$G:$G,AL30)/INDEX('Player Data'!$E:$E,AL30)*M30*L30*AM30</f>
        <v>732.99671605927108</v>
      </c>
      <c r="P30" s="5">
        <f>INDEX('Player Data'!$H:$H,AL30)/INDEX('Player Data'!$E:$E,AL30)*M30*L30*AM30</f>
        <v>267.36355626752106</v>
      </c>
      <c r="Q30" s="5">
        <f>INDEX('Player Data'!$I:$I,AL30)/INDEX('Player Data'!$E:$E,AL30)*M30*L30*AM30</f>
        <v>95.129355226271528</v>
      </c>
      <c r="R30" s="5">
        <f>INDEX('Player Data'!$J:$J,AL30)/INDEX('Player Data'!$E:$E,AL30)*M30*L30*AM30</f>
        <v>54.073528233880651</v>
      </c>
      <c r="S30" s="5">
        <f>INDEX('Player Data'!$K:$K,AL30)/INDEX('Player Data'!$E:$E,AL30)*M30*L30*AM30</f>
        <v>112.15250300360432</v>
      </c>
      <c r="T30" s="5">
        <f>INDEX('Player Data'!$L:$L,AL30)/INDEX('Player Data'!$E:$E,AL30)*M30*L30*AM30</f>
        <v>128.17428914697638</v>
      </c>
      <c r="U30" s="7">
        <f>INDEX('Player Data'!$M:$M,AL30)</f>
        <v>0.45600000000000002</v>
      </c>
      <c r="V30" s="7">
        <f>INDEX('Player Data'!$N:$N,AL30)</f>
        <v>0.77400000000000002</v>
      </c>
      <c r="W30" s="5">
        <f t="shared" si="3"/>
        <v>523.19623304765719</v>
      </c>
      <c r="X30" s="5">
        <f>INDEX('Player Data'!$O:$O,AL30)/INDEX('Player Data'!$E:$E,AL30)*M30*L30*AM30</f>
        <v>1147.3601601922308</v>
      </c>
      <c r="Y30" s="5">
        <f t="shared" si="4"/>
        <v>322.49992973968762</v>
      </c>
      <c r="Z30" s="5">
        <f>INDEX('Player Data'!$P:$P,AL30)/INDEX('Player Data'!$E:$E,AL30)*M30*L30*AM30</f>
        <v>416.66657589106927</v>
      </c>
      <c r="AB30" s="3">
        <f>(N30-Pool!$D$2)/Pool!$E$2</f>
        <v>0.59561829128081234</v>
      </c>
      <c r="AC30" s="3">
        <f>(O30-Pool!$D$3)/Pool!$E$3</f>
        <v>1.7669433532928169</v>
      </c>
      <c r="AD30" s="3">
        <f>(P30-Pool!$D$4)/Pool!$E$4</f>
        <v>-8.5887793557097844E-2</v>
      </c>
      <c r="AE30" s="3">
        <f>(Q30-Pool!$D$5)/Pool!$E$5</f>
        <v>0.92300732277282704</v>
      </c>
      <c r="AF30" s="3">
        <f>(R30-Pool!$D$6)/Pool!$E$6</f>
        <v>0.10822161695203275</v>
      </c>
      <c r="AG30" s="3">
        <f>(S30-Pool!$D$7)/Pool!$E$7</f>
        <v>-0.15858971377707654</v>
      </c>
      <c r="AH30" s="3">
        <f>(AS30-Pool!$D$8)/Pool!$E$8</f>
        <v>-0.70443069308284667</v>
      </c>
      <c r="AI30" s="3">
        <f>(AT30-Pool!$D$9)/Pool!$E$9</f>
        <v>-0.48815434451410189</v>
      </c>
      <c r="AJ30" s="3">
        <f>-(T30-Pool!$D$10)/Pool!$E$10</f>
        <v>0.25685210023099858</v>
      </c>
      <c r="AL30">
        <f>MATCH(B30,'Player Data'!$A:$A,0)</f>
        <v>53</v>
      </c>
      <c r="AM30" s="3">
        <f>1+IF(Settings!$F$10="ON",IFERROR(VLOOKUP(TRIM(F30),Settings!$D$12:$F$17,3,FALSE),0),0)</f>
        <v>1</v>
      </c>
      <c r="AN30" t="str">
        <f t="shared" si="5"/>
        <v>C</v>
      </c>
      <c r="AO30" s="6">
        <f>X30*(U30-Pool!$B$12)</f>
        <v>-28.232827206482977</v>
      </c>
      <c r="AP30" s="6">
        <f>Z30*(V30-Pool!$B$13)</f>
        <v>-6.7081890535471134</v>
      </c>
      <c r="AQ30" s="3">
        <f>Settings!$B$2*(N30-Pool!$B$2)/Pool!$C$2+Settings!$B$3*(O30-Pool!$B$3)/Pool!$C$3+Settings!$B$4*(P30-Pool!$B$4)/Pool!$C$4+Settings!$B$5*(Q30-Pool!$B$5)/Pool!$C$5+Settings!$B$6*(R30-Pool!$B$6)/Pool!$C$6+Settings!$B$7*(S30-Pool!$B$7)/Pool!$C$7+Settings!$B$8*(AO30-Pool!$B$8)/Pool!$C$8+Settings!$B$9*(AP30-Pool!$B$9)/Pool!$C$9+Settings!$B$10*-(T30-Pool!$B$10)/Pool!$C$10</f>
        <v>4.0689381463944212</v>
      </c>
      <c r="AR30">
        <f>IF(RANK(AQ30,$AQ$2:$AQ$266)&lt;=Settings!$F$5,1,0)</f>
        <v>1</v>
      </c>
      <c r="AS30" s="6">
        <f>X30*(U30-Pool!$D$12)</f>
        <v>-32.210522321533432</v>
      </c>
      <c r="AT30" s="6">
        <f>Z30*(V30-Pool!$D$13)</f>
        <v>-10.891010449823991</v>
      </c>
    </row>
    <row r="31" spans="1:46" x14ac:dyDescent="0.2">
      <c r="A31">
        <f t="shared" si="0"/>
        <v>30</v>
      </c>
      <c r="B31" t="s">
        <v>72</v>
      </c>
      <c r="C31" t="str">
        <f>INDEX('Player Data'!$C:$C,AL31)</f>
        <v>SF,PF</v>
      </c>
      <c r="D31">
        <f t="shared" si="1"/>
        <v>2</v>
      </c>
      <c r="E31" t="str">
        <f>INDEX('Player Data'!$B:$B,AL31)</f>
        <v>NYK</v>
      </c>
      <c r="F31" s="2"/>
      <c r="G31" s="3">
        <f>Settings!$B$2*AB31+Settings!$B$3*AC31+Settings!$B$4*AD31+Settings!$B$5*AE31+Settings!$B$6*AF31+Settings!$B$7*AG31+Settings!$B$8*AH31+Settings!$B$9*AI31+Settings!$B$10*AJ31</f>
        <v>2.0447145200661589</v>
      </c>
      <c r="H31" s="3">
        <f>G31-LARGE($G$2:$G$266,Settings!$F$4)</f>
        <v>5.260979286513324</v>
      </c>
      <c r="I31">
        <f>IF(INDEX('Player Data'!$R:$R,AL31)="","",INDEX('Player Data'!$R:$R,AL31))</f>
        <v>62</v>
      </c>
      <c r="J31" s="4">
        <f t="shared" si="2"/>
        <v>32</v>
      </c>
      <c r="L31" s="5">
        <f>IF(Settings!$F$7="Yes",INDEX('Minutes &amp; Health'!$O:$O,AL31),Settings!$F$8)</f>
        <v>73</v>
      </c>
      <c r="M31" s="6">
        <f>INDEX('Minutes &amp; Health'!$P:$P,AL31)</f>
        <v>34.799999999999997</v>
      </c>
      <c r="N31" s="5">
        <f>INDEX('Player Data'!$F:$F,AL31)/INDEX('Player Data'!$E:$E,AL31)*M31*L31*AM31</f>
        <v>1240.2188827694729</v>
      </c>
      <c r="O31" s="5">
        <f>INDEX('Player Data'!$G:$G,AL31)/INDEX('Player Data'!$E:$E,AL31)*M31*L31*AM31</f>
        <v>380.76018882769466</v>
      </c>
      <c r="P31" s="5">
        <f>INDEX('Player Data'!$H:$H,AL31)/INDEX('Player Data'!$E:$E,AL31)*M31*L31*AM31</f>
        <v>152.90369787568841</v>
      </c>
      <c r="Q31" s="5">
        <f>INDEX('Player Data'!$I:$I,AL31)/INDEX('Player Data'!$E:$E,AL31)*M31*L31*AM31</f>
        <v>109.93076317859952</v>
      </c>
      <c r="R31" s="5">
        <f>INDEX('Player Data'!$J:$J,AL31)/INDEX('Player Data'!$E:$E,AL31)*M31*L31*AM31</f>
        <v>61.960975609756098</v>
      </c>
      <c r="S31" s="5">
        <f>INDEX('Player Data'!$K:$K,AL31)/INDEX('Player Data'!$E:$E,AL31)*M31*L31*AM31</f>
        <v>170.8923682140047</v>
      </c>
      <c r="T31" s="5">
        <f>INDEX('Player Data'!$L:$L,AL31)/INDEX('Player Data'!$E:$E,AL31)*M31*L31*AM31</f>
        <v>118.92509834775765</v>
      </c>
      <c r="U31" s="7">
        <f>INDEX('Player Data'!$M:$M,AL31)</f>
        <v>0.48099999999999998</v>
      </c>
      <c r="V31" s="7">
        <f>INDEX('Player Data'!$N:$N,AL31)</f>
        <v>0.82299999999999995</v>
      </c>
      <c r="W31" s="5">
        <f t="shared" si="3"/>
        <v>434.598380346184</v>
      </c>
      <c r="X31" s="5">
        <f>INDEX('Player Data'!$O:$O,AL31)/INDEX('Player Data'!$E:$E,AL31)*M31*L31*AM31</f>
        <v>903.53093627065289</v>
      </c>
      <c r="Y31" s="5">
        <f t="shared" si="4"/>
        <v>200.1098663886703</v>
      </c>
      <c r="Z31" s="5">
        <f>INDEX('Player Data'!$P:$P,AL31)/INDEX('Player Data'!$E:$E,AL31)*M31*L31*AM31</f>
        <v>243.14686073957512</v>
      </c>
      <c r="AB31" s="3">
        <f>(N31-Pool!$D$2)/Pool!$E$2</f>
        <v>2.0680351622065231E-3</v>
      </c>
      <c r="AC31" s="3">
        <f>(O31-Pool!$D$3)/Pool!$E$3</f>
        <v>-0.28325276063048099</v>
      </c>
      <c r="AD31" s="3">
        <f>(P31-Pool!$D$4)/Pool!$E$4</f>
        <v>-0.86001731636243706</v>
      </c>
      <c r="AE31" s="3">
        <f>(Q31-Pool!$D$5)/Pool!$E$5</f>
        <v>1.5764623839170802</v>
      </c>
      <c r="AF31" s="3">
        <f>(R31-Pool!$D$6)/Pool!$E$6</f>
        <v>0.33649006855331076</v>
      </c>
      <c r="AG31" s="3">
        <f>(S31-Pool!$D$7)/Pool!$E$7</f>
        <v>0.66872086575830159</v>
      </c>
      <c r="AH31" s="3">
        <f>(AS31-Pool!$D$8)/Pool!$E$8</f>
        <v>-6.073372357011491E-2</v>
      </c>
      <c r="AI31" s="3">
        <f>(AT31-Pool!$D$9)/Pool!$E$9</f>
        <v>0.2491516043631152</v>
      </c>
      <c r="AJ31" s="3">
        <f>-(T31-Pool!$D$10)/Pool!$E$10</f>
        <v>0.41582536287517774</v>
      </c>
      <c r="AL31">
        <f>MATCH(B31,'Player Data'!$A:$A,0)</f>
        <v>78</v>
      </c>
      <c r="AM31" s="3">
        <f>1+IF(Settings!$F$10="ON",IFERROR(VLOOKUP(TRIM(F31),Settings!$D$12:$F$17,3,FALSE),0),0)</f>
        <v>1</v>
      </c>
      <c r="AN31" t="str">
        <f t="shared" si="5"/>
        <v>SF</v>
      </c>
      <c r="AO31" s="6">
        <f>X31*(U31-Pool!$B$12)</f>
        <v>0.35529575555757137</v>
      </c>
      <c r="AP31" s="6">
        <f>Z31*(V31-Pool!$B$13)</f>
        <v>7.9996150603207603</v>
      </c>
      <c r="AQ31" s="3">
        <f>Settings!$B$2*(N31-Pool!$B$2)/Pool!$C$2+Settings!$B$3*(O31-Pool!$B$3)/Pool!$C$3+Settings!$B$4*(P31-Pool!$B$4)/Pool!$C$4+Settings!$B$5*(Q31-Pool!$B$5)/Pool!$C$5+Settings!$B$6*(R31-Pool!$B$6)/Pool!$C$6+Settings!$B$7*(S31-Pool!$B$7)/Pool!$C$7+Settings!$B$8*(AO31-Pool!$B$8)/Pool!$C$8+Settings!$B$9*(AP31-Pool!$B$9)/Pool!$C$9+Settings!$B$10*-(T31-Pool!$B$10)/Pool!$C$10</f>
        <v>4.0346633721238989</v>
      </c>
      <c r="AR31">
        <f>IF(RANK(AQ31,$AQ$2:$AQ$266)&lt;=Settings!$F$5,1,0)</f>
        <v>1</v>
      </c>
      <c r="AS31" s="6">
        <f>X31*(U31-Pool!$D$12)</f>
        <v>-2.7770864869098695</v>
      </c>
      <c r="AT31" s="6">
        <f>Z31*(V31-Pool!$D$13)</f>
        <v>5.5587187888498821</v>
      </c>
    </row>
    <row r="32" spans="1:46" x14ac:dyDescent="0.2">
      <c r="A32">
        <f t="shared" si="0"/>
        <v>31</v>
      </c>
      <c r="B32" t="s">
        <v>73</v>
      </c>
      <c r="C32" t="str">
        <f>INDEX('Player Data'!$C:$C,AL32)</f>
        <v>PG,SG</v>
      </c>
      <c r="D32">
        <f t="shared" si="1"/>
        <v>15</v>
      </c>
      <c r="E32" t="str">
        <f>INDEX('Player Data'!$B:$B,AL32)</f>
        <v>PHO</v>
      </c>
      <c r="F32" s="2"/>
      <c r="G32" s="3">
        <f>Settings!$B$2*AB32+Settings!$B$3*AC32+Settings!$B$4*AD32+Settings!$B$5*AE32+Settings!$B$6*AF32+Settings!$B$7*AG32+Settings!$B$8*AH32+Settings!$B$9*AI32+Settings!$B$10*AJ32</f>
        <v>1.9435216411797283</v>
      </c>
      <c r="H32" s="3">
        <f>G32-LARGE($G$2:$G$266,Settings!$F$4)</f>
        <v>5.1597864076268936</v>
      </c>
      <c r="I32">
        <f>IF(INDEX('Player Data'!$R:$R,AL32)="","",INDEX('Player Data'!$R:$R,AL32))</f>
        <v>31</v>
      </c>
      <c r="J32" s="4">
        <f t="shared" si="2"/>
        <v>0</v>
      </c>
      <c r="L32" s="5">
        <f>IF(Settings!$F$7="Yes",INDEX('Minutes &amp; Health'!$O:$O,AL32),Settings!$F$8)</f>
        <v>75</v>
      </c>
      <c r="M32" s="6">
        <f>INDEX('Minutes &amp; Health'!$P:$P,AL32)</f>
        <v>35.9</v>
      </c>
      <c r="N32" s="5">
        <f>INDEX('Player Data'!$F:$F,AL32)/INDEX('Player Data'!$E:$E,AL32)*M32*L32*AM32</f>
        <v>1915.778810408922</v>
      </c>
      <c r="O32" s="5">
        <f>INDEX('Player Data'!$G:$G,AL32)/INDEX('Player Data'!$E:$E,AL32)*M32*L32*AM32</f>
        <v>313.29089219330859</v>
      </c>
      <c r="P32" s="5">
        <f>INDEX('Player Data'!$H:$H,AL32)/INDEX('Player Data'!$E:$E,AL32)*M32*L32*AM32</f>
        <v>483.44888475836427</v>
      </c>
      <c r="Q32" s="5">
        <f>INDEX('Player Data'!$I:$I,AL32)/INDEX('Player Data'!$E:$E,AL32)*M32*L32*AM32</f>
        <v>73.067843866171003</v>
      </c>
      <c r="R32" s="5">
        <f>INDEX('Player Data'!$J:$J,AL32)/INDEX('Player Data'!$E:$E,AL32)*M32*L32*AM32</f>
        <v>21.019516728624531</v>
      </c>
      <c r="S32" s="5">
        <f>INDEX('Player Data'!$K:$K,AL32)/INDEX('Player Data'!$E:$E,AL32)*M32*L32*AM32</f>
        <v>157.14591078066914</v>
      </c>
      <c r="T32" s="5">
        <f>INDEX('Player Data'!$L:$L,AL32)/INDEX('Player Data'!$E:$E,AL32)*M32*L32*AM32</f>
        <v>219.203531598513</v>
      </c>
      <c r="U32" s="7">
        <f>INDEX('Player Data'!$M:$M,AL32)</f>
        <v>0.45900000000000002</v>
      </c>
      <c r="V32" s="7">
        <f>INDEX('Player Data'!$N:$N,AL32)</f>
        <v>0.88200000000000001</v>
      </c>
      <c r="W32" s="5">
        <f t="shared" si="3"/>
        <v>631.38994879182155</v>
      </c>
      <c r="X32" s="5">
        <f>INDEX('Player Data'!$O:$O,AL32)/INDEX('Player Data'!$E:$E,AL32)*M32*L32*AM32</f>
        <v>1375.5772304832713</v>
      </c>
      <c r="Y32" s="5">
        <f t="shared" si="4"/>
        <v>495.87982695167295</v>
      </c>
      <c r="Z32" s="5">
        <f>INDEX('Player Data'!$P:$P,AL32)/INDEX('Player Data'!$E:$E,AL32)*M32*L32*AM32</f>
        <v>562.22202602230493</v>
      </c>
      <c r="AB32" s="3">
        <f>(N32-Pool!$D$2)/Pool!$E$2</f>
        <v>1.66729701253083</v>
      </c>
      <c r="AC32" s="3">
        <f>(O32-Pool!$D$3)/Pool!$E$3</f>
        <v>-0.67595845431912893</v>
      </c>
      <c r="AD32" s="3">
        <f>(P32-Pool!$D$4)/Pool!$E$4</f>
        <v>1.3755680790965732</v>
      </c>
      <c r="AE32" s="3">
        <f>(Q32-Pool!$D$5)/Pool!$E$5</f>
        <v>-5.0968011275155801E-2</v>
      </c>
      <c r="AF32" s="3">
        <f>(R32-Pool!$D$6)/Pool!$E$6</f>
        <v>-0.84838546591654684</v>
      </c>
      <c r="AG32" s="3">
        <f>(S32-Pool!$D$7)/Pool!$E$7</f>
        <v>0.47511147246133434</v>
      </c>
      <c r="AH32" s="3">
        <f>(AS32-Pool!$D$8)/Pool!$E$8</f>
        <v>-0.75429643671254498</v>
      </c>
      <c r="AI32" s="3">
        <f>(AT32-Pool!$D$9)/Pool!$E$9</f>
        <v>2.0628939654206171</v>
      </c>
      <c r="AJ32" s="3">
        <f>-(T32-Pool!$D$10)/Pool!$E$10</f>
        <v>-1.3077405201062502</v>
      </c>
      <c r="AL32">
        <f>MATCH(B32,'Player Data'!$A:$A,0)</f>
        <v>12</v>
      </c>
      <c r="AM32" s="3">
        <f>1+IF(Settings!$F$10="ON",IFERROR(VLOOKUP(TRIM(F32),Settings!$D$12:$F$17,3,FALSE),0),0)</f>
        <v>1</v>
      </c>
      <c r="AN32" t="str">
        <f t="shared" si="5"/>
        <v>PG</v>
      </c>
      <c r="AO32" s="6">
        <f>X32*(U32-Pool!$B$12)</f>
        <v>-29.721780401649074</v>
      </c>
      <c r="AP32" s="6">
        <f>Z32*(V32-Pool!$B$13)</f>
        <v>51.668396900916136</v>
      </c>
      <c r="AQ32" s="3">
        <f>Settings!$B$2*(N32-Pool!$B$2)/Pool!$C$2+Settings!$B$3*(O32-Pool!$B$3)/Pool!$C$3+Settings!$B$4*(P32-Pool!$B$4)/Pool!$C$4+Settings!$B$5*(Q32-Pool!$B$5)/Pool!$C$5+Settings!$B$6*(R32-Pool!$B$6)/Pool!$C$6+Settings!$B$7*(S32-Pool!$B$7)/Pool!$C$7+Settings!$B$8*(AO32-Pool!$B$8)/Pool!$C$8+Settings!$B$9*(AP32-Pool!$B$9)/Pool!$C$9+Settings!$B$10*-(T32-Pool!$B$10)/Pool!$C$10</f>
        <v>4.3277699267935441</v>
      </c>
      <c r="AR32">
        <f>IF(RANK(AQ32,$AQ$2:$AQ$266)&lt;=Settings!$F$5,1,0)</f>
        <v>1</v>
      </c>
      <c r="AS32" s="6">
        <f>X32*(U32-Pool!$D$12)</f>
        <v>-34.490663808888193</v>
      </c>
      <c r="AT32" s="6">
        <f>Z32*(V32-Pool!$D$13)</f>
        <v>46.024377303531779</v>
      </c>
    </row>
    <row r="33" spans="1:46" x14ac:dyDescent="0.2">
      <c r="A33">
        <f t="shared" si="0"/>
        <v>32</v>
      </c>
      <c r="B33" t="s">
        <v>74</v>
      </c>
      <c r="C33" t="str">
        <f>INDEX('Player Data'!$C:$C,AL33)</f>
        <v>SF,PF</v>
      </c>
      <c r="D33">
        <f t="shared" si="1"/>
        <v>3</v>
      </c>
      <c r="E33" t="str">
        <f>INDEX('Player Data'!$B:$B,AL33)</f>
        <v>UTH</v>
      </c>
      <c r="F33" s="2"/>
      <c r="G33" s="3">
        <f>Settings!$B$2*AB33+Settings!$B$3*AC33+Settings!$B$4*AD33+Settings!$B$5*AE33+Settings!$B$6*AF33+Settings!$B$7*AG33+Settings!$B$8*AH33+Settings!$B$9*AI33+Settings!$B$10*AJ33</f>
        <v>1.8942103030934652</v>
      </c>
      <c r="H33" s="3">
        <f>G33-LARGE($G$2:$G$266,Settings!$F$4)</f>
        <v>5.1104750695406302</v>
      </c>
      <c r="I33">
        <f>IF(INDEX('Player Data'!$R:$R,AL33)="","",INDEX('Player Data'!$R:$R,AL33))</f>
        <v>44</v>
      </c>
      <c r="J33" s="4">
        <f t="shared" si="2"/>
        <v>12</v>
      </c>
      <c r="L33" s="5">
        <f>IF(Settings!$F$7="Yes",INDEX('Minutes &amp; Health'!$O:$O,AL33),Settings!$F$8)</f>
        <v>74</v>
      </c>
      <c r="M33" s="6">
        <f>INDEX('Minutes &amp; Health'!$P:$P,AL33)</f>
        <v>33.200000000000003</v>
      </c>
      <c r="N33" s="5">
        <f>INDEX('Player Data'!$F:$F,AL33)/INDEX('Player Data'!$E:$E,AL33)*M33*L33*AM33</f>
        <v>1635.8668294668296</v>
      </c>
      <c r="O33" s="5">
        <f>INDEX('Player Data'!$G:$G,AL33)/INDEX('Player Data'!$E:$E,AL33)*M33*L33*AM33</f>
        <v>457.96271876271885</v>
      </c>
      <c r="P33" s="5">
        <f>INDEX('Player Data'!$H:$H,AL33)/INDEX('Player Data'!$E:$E,AL33)*M33*L33*AM33</f>
        <v>132.9891737891738</v>
      </c>
      <c r="Q33" s="5">
        <f>INDEX('Player Data'!$I:$I,AL33)/INDEX('Player Data'!$E:$E,AL33)*M33*L33*AM33</f>
        <v>64.994708994709001</v>
      </c>
      <c r="R33" s="5">
        <f>INDEX('Player Data'!$J:$J,AL33)/INDEX('Player Data'!$E:$E,AL33)*M33*L33*AM33</f>
        <v>31.9973951973952</v>
      </c>
      <c r="S33" s="5">
        <f>INDEX('Player Data'!$K:$K,AL33)/INDEX('Player Data'!$E:$E,AL33)*M33*L33*AM33</f>
        <v>200.98363858363859</v>
      </c>
      <c r="T33" s="5">
        <f>INDEX('Player Data'!$L:$L,AL33)/INDEX('Player Data'!$E:$E,AL33)*M33*L33*AM33</f>
        <v>98.991941391941396</v>
      </c>
      <c r="U33" s="7">
        <f>INDEX('Player Data'!$M:$M,AL33)</f>
        <v>0.45700000000000002</v>
      </c>
      <c r="V33" s="7">
        <f>INDEX('Player Data'!$N:$N,AL33)</f>
        <v>0.89100000000000001</v>
      </c>
      <c r="W33" s="5">
        <f t="shared" si="3"/>
        <v>548.62953787545791</v>
      </c>
      <c r="X33" s="5">
        <f>INDEX('Player Data'!$O:$O,AL33)/INDEX('Player Data'!$E:$E,AL33)*M33*L33*AM33</f>
        <v>1200.5022710622711</v>
      </c>
      <c r="Y33" s="5">
        <f t="shared" si="4"/>
        <v>337.66151208791212</v>
      </c>
      <c r="Z33" s="5">
        <f>INDEX('Player Data'!$P:$P,AL33)/INDEX('Player Data'!$E:$E,AL33)*M33*L33*AM33</f>
        <v>378.96914936914936</v>
      </c>
      <c r="AB33" s="3">
        <f>(N33-Pool!$D$2)/Pool!$E$2</f>
        <v>0.97732485357501298</v>
      </c>
      <c r="AC33" s="3">
        <f>(O33-Pool!$D$3)/Pool!$E$3</f>
        <v>0.16610531163376469</v>
      </c>
      <c r="AD33" s="3">
        <f>(P33-Pool!$D$4)/Pool!$E$4</f>
        <v>-0.99470576735818828</v>
      </c>
      <c r="AE33" s="3">
        <f>(Q33-Pool!$D$5)/Pool!$E$5</f>
        <v>-0.40738213471854595</v>
      </c>
      <c r="AF33" s="3">
        <f>(R33-Pool!$D$6)/Pool!$E$6</f>
        <v>-0.53067769551698163</v>
      </c>
      <c r="AG33" s="3">
        <f>(S33-Pool!$D$7)/Pool!$E$7</f>
        <v>1.0925357015480461</v>
      </c>
      <c r="AH33" s="3">
        <f>(AS33-Pool!$D$8)/Pool!$E$8</f>
        <v>-0.7108032212024078</v>
      </c>
      <c r="AI33" s="3">
        <f>(AT33-Pool!$D$9)/Pool!$E$9</f>
        <v>1.5433807318201256</v>
      </c>
      <c r="AJ33" s="3">
        <f>-(T33-Pool!$D$10)/Pool!$E$10</f>
        <v>0.75843252331263955</v>
      </c>
      <c r="AL33">
        <f>MATCH(B33,'Player Data'!$A:$A,0)</f>
        <v>28</v>
      </c>
      <c r="AM33" s="3">
        <f>1+IF(Settings!$F$10="ON",IFERROR(VLOOKUP(TRIM(F33),Settings!$D$12:$F$17,3,FALSE),0),0)</f>
        <v>1</v>
      </c>
      <c r="AN33" t="str">
        <f t="shared" si="5"/>
        <v>SF</v>
      </c>
      <c r="AO33" s="6">
        <f>X33*(U33-Pool!$B$12)</f>
        <v>-28.339980618123018</v>
      </c>
      <c r="AP33" s="6">
        <f>Z33*(V33-Pool!$B$13)</f>
        <v>38.238117068325849</v>
      </c>
      <c r="AQ33" s="3">
        <f>Settings!$B$2*(N33-Pool!$B$2)/Pool!$C$2+Settings!$B$3*(O33-Pool!$B$3)/Pool!$C$3+Settings!$B$4*(P33-Pool!$B$4)/Pool!$C$4+Settings!$B$5*(Q33-Pool!$B$5)/Pool!$C$5+Settings!$B$6*(R33-Pool!$B$6)/Pool!$C$6+Settings!$B$7*(S33-Pool!$B$7)/Pool!$C$7+Settings!$B$8*(AO33-Pool!$B$8)/Pool!$C$8+Settings!$B$9*(AP33-Pool!$B$9)/Pool!$C$9+Settings!$B$10*-(T33-Pool!$B$10)/Pool!$C$10</f>
        <v>4.1359054905340029</v>
      </c>
      <c r="AR33">
        <f>IF(RANK(AQ33,$AQ$2:$AQ$266)&lt;=Settings!$F$5,1,0)</f>
        <v>1</v>
      </c>
      <c r="AS33" s="6">
        <f>X33*(U33-Pool!$D$12)</f>
        <v>-32.501910049602778</v>
      </c>
      <c r="AT33" s="6">
        <f>Z33*(V33-Pool!$D$13)</f>
        <v>34.433731599872672</v>
      </c>
    </row>
    <row r="34" spans="1:46" x14ac:dyDescent="0.2">
      <c r="A34">
        <f t="shared" si="0"/>
        <v>33</v>
      </c>
      <c r="B34" t="s">
        <v>75</v>
      </c>
      <c r="C34" t="str">
        <f>INDEX('Player Data'!$C:$C,AL34)</f>
        <v>SG,SF</v>
      </c>
      <c r="D34">
        <f t="shared" si="1"/>
        <v>1</v>
      </c>
      <c r="E34" t="str">
        <f>INDEX('Player Data'!$B:$B,AL34)</f>
        <v>ORL</v>
      </c>
      <c r="F34" s="2"/>
      <c r="G34" s="3">
        <f>Settings!$B$2*AB34+Settings!$B$3*AC34+Settings!$B$4*AD34+Settings!$B$5*AE34+Settings!$B$6*AF34+Settings!$B$7*AG34+Settings!$B$8*AH34+Settings!$B$9*AI34+Settings!$B$10*AJ34</f>
        <v>1.8481832703066252</v>
      </c>
      <c r="H34" s="3">
        <f>G34-LARGE($G$2:$G$266,Settings!$F$4)</f>
        <v>5.0644480367537899</v>
      </c>
      <c r="I34">
        <f>IF(INDEX('Player Data'!$R:$R,AL34)="","",INDEX('Player Data'!$R:$R,AL34))</f>
        <v>55</v>
      </c>
      <c r="J34" s="4">
        <f t="shared" si="2"/>
        <v>22</v>
      </c>
      <c r="L34" s="5">
        <f>IF(Settings!$F$7="Yes",INDEX('Minutes &amp; Health'!$O:$O,AL34),Settings!$F$8)</f>
        <v>75</v>
      </c>
      <c r="M34" s="6">
        <f>INDEX('Minutes &amp; Health'!$P:$P,AL34)</f>
        <v>33.299999999999997</v>
      </c>
      <c r="N34" s="5">
        <f>INDEX('Player Data'!$F:$F,AL34)/INDEX('Player Data'!$E:$E,AL34)*M34*L34*AM34</f>
        <v>1452.8725961538462</v>
      </c>
      <c r="O34" s="5">
        <f>INDEX('Player Data'!$G:$G,AL34)/INDEX('Player Data'!$E:$E,AL34)*M34*L34*AM34</f>
        <v>359.21574519230762</v>
      </c>
      <c r="P34" s="5">
        <f>INDEX('Player Data'!$H:$H,AL34)/INDEX('Player Data'!$E:$E,AL34)*M34*L34*AM34</f>
        <v>334.20072115384613</v>
      </c>
      <c r="Q34" s="5">
        <f>INDEX('Player Data'!$I:$I,AL34)/INDEX('Player Data'!$E:$E,AL34)*M34*L34*AM34</f>
        <v>85.051081730769212</v>
      </c>
      <c r="R34" s="5">
        <f>INDEX('Player Data'!$J:$J,AL34)/INDEX('Player Data'!$E:$E,AL34)*M34*L34*AM34</f>
        <v>35.021033653846153</v>
      </c>
      <c r="S34" s="5">
        <f>INDEX('Player Data'!$K:$K,AL34)/INDEX('Player Data'!$E:$E,AL34)*M34*L34*AM34</f>
        <v>162.09735576923075</v>
      </c>
      <c r="T34" s="5">
        <f>INDEX('Player Data'!$L:$L,AL34)/INDEX('Player Data'!$E:$E,AL34)*M34*L34*AM34</f>
        <v>162.09735576923075</v>
      </c>
      <c r="U34" s="7">
        <f>INDEX('Player Data'!$M:$M,AL34)</f>
        <v>0.47499999999999998</v>
      </c>
      <c r="V34" s="7">
        <f>INDEX('Player Data'!$N:$N,AL34)</f>
        <v>0.89900000000000002</v>
      </c>
      <c r="W34" s="5">
        <f t="shared" si="3"/>
        <v>511.02692307692303</v>
      </c>
      <c r="X34" s="5">
        <f>INDEX('Player Data'!$O:$O,AL34)/INDEX('Player Data'!$E:$E,AL34)*M34*L34*AM34</f>
        <v>1075.8461538461538</v>
      </c>
      <c r="Y34" s="5">
        <f t="shared" si="4"/>
        <v>268.69267698317304</v>
      </c>
      <c r="Z34" s="5">
        <f>INDEX('Player Data'!$P:$P,AL34)/INDEX('Player Data'!$E:$E,AL34)*M34*L34*AM34</f>
        <v>298.8795072115384</v>
      </c>
      <c r="AB34" s="3">
        <f>(N34-Pool!$D$2)/Pool!$E$2</f>
        <v>0.5262511774484302</v>
      </c>
      <c r="AC34" s="3">
        <f>(O34-Pool!$D$3)/Pool!$E$3</f>
        <v>-0.40865240320891932</v>
      </c>
      <c r="AD34" s="3">
        <f>(P34-Pool!$D$4)/Pool!$E$4</f>
        <v>0.36615385043994364</v>
      </c>
      <c r="AE34" s="3">
        <f>(Q34-Pool!$D$5)/Pool!$E$5</f>
        <v>0.47807000029357177</v>
      </c>
      <c r="AF34" s="3">
        <f>(R34-Pool!$D$6)/Pool!$E$6</f>
        <v>-0.44317140409408251</v>
      </c>
      <c r="AG34" s="3">
        <f>(S34-Pool!$D$7)/Pool!$E$7</f>
        <v>0.54484916777867298</v>
      </c>
      <c r="AH34" s="3">
        <f>(AS34-Pool!$D$8)/Pool!$E$8</f>
        <v>-0.21348628328350891</v>
      </c>
      <c r="AI34" s="3">
        <f>(AT34-Pool!$D$9)/Pool!$E$9</f>
        <v>1.3243800263058105</v>
      </c>
      <c r="AJ34" s="3">
        <f>-(T34-Pool!$D$10)/Pool!$E$10</f>
        <v>-0.3262108613732928</v>
      </c>
      <c r="AL34">
        <f>MATCH(B34,'Player Data'!$A:$A,0)</f>
        <v>56</v>
      </c>
      <c r="AM34" s="3">
        <f>1+IF(Settings!$F$10="ON",IFERROR(VLOOKUP(TRIM(F34),Settings!$D$12:$F$17,3,FALSE),0),0)</f>
        <v>1</v>
      </c>
      <c r="AN34" t="str">
        <f t="shared" si="5"/>
        <v>SG</v>
      </c>
      <c r="AO34" s="6">
        <f>X34*(U34-Pool!$B$12)</f>
        <v>-6.0320216000658577</v>
      </c>
      <c r="AP34" s="6">
        <f>Z34*(V34-Pool!$B$13)</f>
        <v>32.548080780469704</v>
      </c>
      <c r="AQ34" s="3">
        <f>Settings!$B$2*(N34-Pool!$B$2)/Pool!$C$2+Settings!$B$3*(O34-Pool!$B$3)/Pool!$C$3+Settings!$B$4*(P34-Pool!$B$4)/Pool!$C$4+Settings!$B$5*(Q34-Pool!$B$5)/Pool!$C$5+Settings!$B$6*(R34-Pool!$B$6)/Pool!$C$6+Settings!$B$7*(S34-Pool!$B$7)/Pool!$C$7+Settings!$B$8*(AO34-Pool!$B$8)/Pool!$C$8+Settings!$B$9*(AP34-Pool!$B$9)/Pool!$C$9+Settings!$B$10*-(T34-Pool!$B$10)/Pool!$C$10</f>
        <v>4.0931604636378101</v>
      </c>
      <c r="AR34">
        <f>IF(RANK(AQ34,$AQ$2:$AQ$266)&lt;=Settings!$F$5,1,0)</f>
        <v>1</v>
      </c>
      <c r="AS34" s="6">
        <f>X34*(U34-Pool!$D$12)</f>
        <v>-9.7617902805320611</v>
      </c>
      <c r="AT34" s="6">
        <f>Z34*(V34-Pool!$D$13)</f>
        <v>29.547697092386343</v>
      </c>
    </row>
    <row r="35" spans="1:46" x14ac:dyDescent="0.2">
      <c r="A35">
        <f t="shared" si="0"/>
        <v>34</v>
      </c>
      <c r="B35" t="s">
        <v>76</v>
      </c>
      <c r="C35" t="str">
        <f>INDEX('Player Data'!$C:$C,AL35)</f>
        <v>PG,SF,SG</v>
      </c>
      <c r="D35">
        <f t="shared" si="1"/>
        <v>16</v>
      </c>
      <c r="E35" t="str">
        <f>INDEX('Player Data'!$B:$B,AL35)</f>
        <v>LAL</v>
      </c>
      <c r="F35" s="2"/>
      <c r="G35" s="3">
        <f>Settings!$B$2*AB35+Settings!$B$3*AC35+Settings!$B$4*AD35+Settings!$B$5*AE35+Settings!$B$6*AF35+Settings!$B$7*AG35+Settings!$B$8*AH35+Settings!$B$9*AI35+Settings!$B$10*AJ35</f>
        <v>1.7734225598536915</v>
      </c>
      <c r="H35" s="3">
        <f>G35-LARGE($G$2:$G$266,Settings!$F$4)</f>
        <v>4.9896873263008565</v>
      </c>
      <c r="I35">
        <f>IF(INDEX('Player Data'!$R:$R,AL35)="","",INDEX('Player Data'!$R:$R,AL35))</f>
        <v>20</v>
      </c>
      <c r="J35" s="4">
        <f t="shared" si="2"/>
        <v>-14</v>
      </c>
      <c r="L35" s="5">
        <f>IF(Settings!$F$7="Yes",INDEX('Minutes &amp; Health'!$O:$O,AL35),Settings!$F$8)</f>
        <v>73</v>
      </c>
      <c r="M35" s="6">
        <f>INDEX('Minutes &amp; Health'!$P:$P,AL35)</f>
        <v>35.799999999999997</v>
      </c>
      <c r="N35" s="5">
        <f>INDEX('Player Data'!$F:$F,AL35)/INDEX('Player Data'!$E:$E,AL35)*M35*L35*AM35</f>
        <v>1673.5368824205282</v>
      </c>
      <c r="O35" s="5">
        <f>INDEX('Player Data'!$G:$G,AL35)/INDEX('Player Data'!$E:$E,AL35)*M35*L35*AM35</f>
        <v>343.31528150134045</v>
      </c>
      <c r="P35" s="5">
        <f>INDEX('Player Data'!$H:$H,AL35)/INDEX('Player Data'!$E:$E,AL35)*M35*L35*AM35</f>
        <v>402.3695135963232</v>
      </c>
      <c r="Q35" s="5">
        <f>INDEX('Player Data'!$I:$I,AL35)/INDEX('Player Data'!$E:$E,AL35)*M35*L35*AM35</f>
        <v>77.070777479892755</v>
      </c>
      <c r="R35" s="5">
        <f>INDEX('Player Data'!$J:$J,AL35)/INDEX('Player Data'!$E:$E,AL35)*M35*L35*AM35</f>
        <v>27.024818077364991</v>
      </c>
      <c r="S35" s="5">
        <f>INDEX('Player Data'!$K:$K,AL35)/INDEX('Player Data'!$E:$E,AL35)*M35*L35*AM35</f>
        <v>187.17188816545382</v>
      </c>
      <c r="T35" s="5">
        <f>INDEX('Player Data'!$L:$L,AL35)/INDEX('Player Data'!$E:$E,AL35)*M35*L35*AM35</f>
        <v>215.19762543086941</v>
      </c>
      <c r="U35" s="7">
        <f>INDEX('Player Data'!$M:$M,AL35)</f>
        <v>0.47199999999999998</v>
      </c>
      <c r="V35" s="7">
        <f>INDEX('Player Data'!$N:$N,AL35)</f>
        <v>0.871</v>
      </c>
      <c r="W35" s="5">
        <f t="shared" si="3"/>
        <v>528.88970264266561</v>
      </c>
      <c r="X35" s="5">
        <f>INDEX('Player Data'!$O:$O,AL35)/INDEX('Player Data'!$E:$E,AL35)*M35*L35*AM35</f>
        <v>1120.5290310225967</v>
      </c>
      <c r="Y35" s="5">
        <f t="shared" si="4"/>
        <v>428.57718124856376</v>
      </c>
      <c r="Z35" s="5">
        <f>INDEX('Player Data'!$P:$P,AL35)/INDEX('Player Data'!$E:$E,AL35)*M35*L35*AM35</f>
        <v>492.05187284565301</v>
      </c>
      <c r="AB35" s="3">
        <f>(N35-Pool!$D$2)/Pool!$E$2</f>
        <v>1.0701800706934985</v>
      </c>
      <c r="AC35" s="3">
        <f>(O35-Pool!$D$3)/Pool!$E$3</f>
        <v>-0.50120120592683637</v>
      </c>
      <c r="AD35" s="3">
        <f>(P35-Pool!$D$4)/Pool!$E$4</f>
        <v>0.82720172788058632</v>
      </c>
      <c r="AE35" s="3">
        <f>(Q35-Pool!$D$5)/Pool!$E$5</f>
        <v>0.12575417878511652</v>
      </c>
      <c r="AF35" s="3">
        <f>(R35-Pool!$D$6)/Pool!$E$6</f>
        <v>-0.67458768636256272</v>
      </c>
      <c r="AG35" s="3">
        <f>(S35-Pool!$D$7)/Pool!$E$7</f>
        <v>0.89800670149097295</v>
      </c>
      <c r="AH35" s="3">
        <f>(AS35-Pool!$D$8)/Pool!$E$8</f>
        <v>-0.2958694693589326</v>
      </c>
      <c r="AI35" s="3">
        <f>(AT35-Pool!$D$9)/Pool!$E$9</f>
        <v>1.562826039623602</v>
      </c>
      <c r="AJ35" s="3">
        <f>-(T35-Pool!$D$10)/Pool!$E$10</f>
        <v>-1.2388877969717536</v>
      </c>
      <c r="AL35">
        <f>MATCH(B35,'Player Data'!$A:$A,0)</f>
        <v>22</v>
      </c>
      <c r="AM35" s="3">
        <f>1+IF(Settings!$F$10="ON",IFERROR(VLOOKUP(TRIM(F35),Settings!$D$12:$F$17,3,FALSE),0),0)</f>
        <v>1</v>
      </c>
      <c r="AN35" t="str">
        <f t="shared" si="5"/>
        <v>PG</v>
      </c>
      <c r="AO35" s="6">
        <f>X35*(U35-Pool!$B$12)</f>
        <v>-9.6441352942818064</v>
      </c>
      <c r="AP35" s="6">
        <f>Z35*(V35-Pool!$B$13)</f>
        <v>39.807165170877781</v>
      </c>
      <c r="AQ35" s="3">
        <f>Settings!$B$2*(N35-Pool!$B$2)/Pool!$C$2+Settings!$B$3*(O35-Pool!$B$3)/Pool!$C$3+Settings!$B$4*(P35-Pool!$B$4)/Pool!$C$4+Settings!$B$5*(Q35-Pool!$B$5)/Pool!$C$5+Settings!$B$6*(R35-Pool!$B$6)/Pool!$C$6+Settings!$B$7*(S35-Pool!$B$7)/Pool!$C$7+Settings!$B$8*(AO35-Pool!$B$8)/Pool!$C$8+Settings!$B$9*(AP35-Pool!$B$9)/Pool!$C$9+Settings!$B$10*-(T35-Pool!$B$10)/Pool!$C$10</f>
        <v>4.155203947429392</v>
      </c>
      <c r="AR35">
        <f>IF(RANK(AQ35,$AQ$2:$AQ$266)&lt;=Settings!$F$5,1,0)</f>
        <v>1</v>
      </c>
      <c r="AS35" s="6">
        <f>X35*(U35-Pool!$D$12)</f>
        <v>-13.528811621394341</v>
      </c>
      <c r="AT35" s="6">
        <f>Z35*(V35-Pool!$D$13)</f>
        <v>34.867567850369447</v>
      </c>
    </row>
    <row r="36" spans="1:46" x14ac:dyDescent="0.2">
      <c r="A36">
        <f t="shared" si="0"/>
        <v>35</v>
      </c>
      <c r="B36" t="s">
        <v>77</v>
      </c>
      <c r="C36" t="str">
        <f>INDEX('Player Data'!$C:$C,AL36)</f>
        <v>PF,C</v>
      </c>
      <c r="D36">
        <f t="shared" si="1"/>
        <v>10</v>
      </c>
      <c r="E36" t="str">
        <f>INDEX('Player Data'!$B:$B,AL36)</f>
        <v>OKC</v>
      </c>
      <c r="F36" s="2"/>
      <c r="G36" s="3">
        <f>Settings!$B$2*AB36+Settings!$B$3*AC36+Settings!$B$4*AD36+Settings!$B$5*AE36+Settings!$B$6*AF36+Settings!$B$7*AG36+Settings!$B$8*AH36+Settings!$B$9*AI36+Settings!$B$10*AJ36</f>
        <v>1.7376998013742275</v>
      </c>
      <c r="H36" s="3">
        <f>G36-LARGE($G$2:$G$266,Settings!$F$4)</f>
        <v>4.9539645678213926</v>
      </c>
      <c r="I36">
        <f>IF(INDEX('Player Data'!$R:$R,AL36)="","",INDEX('Player Data'!$R:$R,AL36))</f>
        <v>18</v>
      </c>
      <c r="J36" s="4">
        <f t="shared" si="2"/>
        <v>-17</v>
      </c>
      <c r="L36" s="5">
        <f>IF(Settings!$F$7="Yes",INDEX('Minutes &amp; Health'!$O:$O,AL36),Settings!$F$8)</f>
        <v>72</v>
      </c>
      <c r="M36" s="6">
        <f>INDEX('Minutes &amp; Health'!$P:$P,AL36)</f>
        <v>28.6</v>
      </c>
      <c r="N36" s="5">
        <f>INDEX('Player Data'!$F:$F,AL36)/INDEX('Player Data'!$E:$E,AL36)*M36*L36*AM36</f>
        <v>1168.1134531325886</v>
      </c>
      <c r="O36" s="5">
        <f>INDEX('Player Data'!$G:$G,AL36)/INDEX('Player Data'!$E:$E,AL36)*M36*L36*AM36</f>
        <v>580.05633802816897</v>
      </c>
      <c r="P36" s="5">
        <f>INDEX('Player Data'!$H:$H,AL36)/INDEX('Player Data'!$E:$E,AL36)*M36*L36*AM36</f>
        <v>124.01204468188442</v>
      </c>
      <c r="Q36" s="5">
        <f>INDEX('Player Data'!$I:$I,AL36)/INDEX('Player Data'!$E:$E,AL36)*M36*L36*AM36</f>
        <v>47.004565322972319</v>
      </c>
      <c r="R36" s="5">
        <f>INDEX('Player Data'!$J:$J,AL36)/INDEX('Player Data'!$E:$E,AL36)*M36*L36*AM36</f>
        <v>134.01301602719769</v>
      </c>
      <c r="S36" s="5">
        <f>INDEX('Player Data'!$K:$K,AL36)/INDEX('Player Data'!$E:$E,AL36)*M36*L36*AM36</f>
        <v>93.009033511413307</v>
      </c>
      <c r="T36" s="5">
        <f>INDEX('Player Data'!$L:$L,AL36)/INDEX('Player Data'!$E:$E,AL36)*M36*L36*AM36</f>
        <v>109.01058766391452</v>
      </c>
      <c r="U36" s="7">
        <f>INDEX('Player Data'!$M:$M,AL36)</f>
        <v>0.53300000000000003</v>
      </c>
      <c r="V36" s="7">
        <f>INDEX('Player Data'!$N:$N,AL36)</f>
        <v>0.78800000000000003</v>
      </c>
      <c r="W36" s="5">
        <f t="shared" si="3"/>
        <v>429.74633915492961</v>
      </c>
      <c r="X36" s="5">
        <f>INDEX('Player Data'!$O:$O,AL36)/INDEX('Player Data'!$E:$E,AL36)*M36*L36*AM36</f>
        <v>806.278309859155</v>
      </c>
      <c r="Y36" s="5">
        <f t="shared" si="4"/>
        <v>215.53893423992233</v>
      </c>
      <c r="Z36" s="5">
        <f>INDEX('Player Data'!$P:$P,AL36)/INDEX('Player Data'!$E:$E,AL36)*M36*L36*AM36</f>
        <v>273.52656629431766</v>
      </c>
      <c r="AB36" s="3">
        <f>(N36-Pool!$D$2)/Pool!$E$2</f>
        <v>-0.17566904772918332</v>
      </c>
      <c r="AC36" s="3">
        <f>(O36-Pool!$D$3)/Pool!$E$3</f>
        <v>0.87675240357572959</v>
      </c>
      <c r="AD36" s="3">
        <f>(P36-Pool!$D$4)/Pool!$E$4</f>
        <v>-1.0554210326890052</v>
      </c>
      <c r="AE36" s="3">
        <f>(Q36-Pool!$D$5)/Pool!$E$5</f>
        <v>-1.2016140396070014</v>
      </c>
      <c r="AF36" s="3">
        <f>(R36-Pool!$D$6)/Pool!$E$6</f>
        <v>2.4217284120898448</v>
      </c>
      <c r="AG36" s="3">
        <f>(S36-Pool!$D$7)/Pool!$E$7</f>
        <v>-0.42821230795862059</v>
      </c>
      <c r="AH36" s="3">
        <f>(AS36-Pool!$D$8)/Pool!$E$8</f>
        <v>0.86271788694095175</v>
      </c>
      <c r="AI36" s="3">
        <f>(AT36-Pool!$D$9)/Pool!$E$9</f>
        <v>-0.14881648539320536</v>
      </c>
      <c r="AJ36" s="3">
        <f>-(T36-Pool!$D$10)/Pool!$E$10</f>
        <v>0.58623401214471726</v>
      </c>
      <c r="AL36">
        <f>MATCH(B36,'Player Data'!$A:$A,0)</f>
        <v>84</v>
      </c>
      <c r="AM36" s="3">
        <f>1+IF(Settings!$F$10="ON",IFERROR(VLOOKUP(TRIM(F36),Settings!$D$12:$F$17,3,FALSE),0),0)</f>
        <v>1</v>
      </c>
      <c r="AN36" t="str">
        <f t="shared" si="5"/>
        <v>PF</v>
      </c>
      <c r="AO36" s="6">
        <f>X36*(U36-Pool!$B$12)</f>
        <v>42.243525187221053</v>
      </c>
      <c r="AP36" s="6">
        <f>Z36*(V36-Pool!$B$13)</f>
        <v>-0.57431203416014054</v>
      </c>
      <c r="AQ36" s="3">
        <f>Settings!$B$2*(N36-Pool!$B$2)/Pool!$C$2+Settings!$B$3*(O36-Pool!$B$3)/Pool!$C$3+Settings!$B$4*(P36-Pool!$B$4)/Pool!$C$4+Settings!$B$5*(Q36-Pool!$B$5)/Pool!$C$5+Settings!$B$6*(R36-Pool!$B$6)/Pool!$C$6+Settings!$B$7*(S36-Pool!$B$7)/Pool!$C$7+Settings!$B$8*(AO36-Pool!$B$8)/Pool!$C$8+Settings!$B$9*(AP36-Pool!$B$9)/Pool!$C$9+Settings!$B$10*-(T36-Pool!$B$10)/Pool!$C$10</f>
        <v>4.3511886666398967</v>
      </c>
      <c r="AR36">
        <f>IF(RANK(AQ36,$AQ$2:$AQ$266)&lt;=Settings!$F$5,1,0)</f>
        <v>1</v>
      </c>
      <c r="AS36" s="6">
        <f>X36*(U36-Pool!$D$12)</f>
        <v>39.448300631088152</v>
      </c>
      <c r="AT36" s="6">
        <f>Z36*(V36-Pool!$D$13)</f>
        <v>-3.3201832898500312</v>
      </c>
    </row>
    <row r="37" spans="1:46" x14ac:dyDescent="0.2">
      <c r="A37">
        <f t="shared" si="0"/>
        <v>36</v>
      </c>
      <c r="B37" t="s">
        <v>78</v>
      </c>
      <c r="C37" t="str">
        <f>INDEX('Player Data'!$C:$C,AL37)</f>
        <v>C</v>
      </c>
      <c r="D37">
        <f t="shared" si="1"/>
        <v>6</v>
      </c>
      <c r="E37" t="str">
        <f>INDEX('Player Data'!$B:$B,AL37)</f>
        <v>CLE</v>
      </c>
      <c r="F37" s="2"/>
      <c r="G37" s="3">
        <f>Settings!$B$2*AB37+Settings!$B$3*AC37+Settings!$B$4*AD37+Settings!$B$5*AE37+Settings!$B$6*AF37+Settings!$B$7*AG37+Settings!$B$8*AH37+Settings!$B$9*AI37+Settings!$B$10*AJ37</f>
        <v>1.7207162799584923</v>
      </c>
      <c r="H37" s="3">
        <f>G37-LARGE($G$2:$G$266,Settings!$F$4)</f>
        <v>4.9369810464056574</v>
      </c>
      <c r="I37">
        <f>IF(INDEX('Player Data'!$R:$R,AL37)="","",INDEX('Player Data'!$R:$R,AL37))</f>
        <v>85</v>
      </c>
      <c r="J37" s="4">
        <f t="shared" si="2"/>
        <v>49</v>
      </c>
      <c r="L37" s="5">
        <f>IF(Settings!$F$7="Yes",INDEX('Minutes &amp; Health'!$O:$O,AL37),Settings!$F$8)</f>
        <v>75</v>
      </c>
      <c r="M37" s="6">
        <f>INDEX('Minutes &amp; Health'!$P:$P,AL37)</f>
        <v>29.2</v>
      </c>
      <c r="N37" s="5">
        <f>INDEX('Player Data'!$F:$F,AL37)/INDEX('Player Data'!$E:$E,AL37)*M37*L37*AM37</f>
        <v>1127.4851665905981</v>
      </c>
      <c r="O37" s="5">
        <f>INDEX('Player Data'!$G:$G,AL37)/INDEX('Player Data'!$E:$E,AL37)*M37*L37*AM37</f>
        <v>720.67092651757184</v>
      </c>
      <c r="P37" s="5">
        <f>INDEX('Player Data'!$H:$H,AL37)/INDEX('Player Data'!$E:$E,AL37)*M37*L37*AM37</f>
        <v>151.93062528525786</v>
      </c>
      <c r="Q37" s="5">
        <f>INDEX('Player Data'!$I:$I,AL37)/INDEX('Player Data'!$E:$E,AL37)*M37*L37*AM37</f>
        <v>72.966681880419898</v>
      </c>
      <c r="R37" s="5">
        <f>INDEX('Player Data'!$J:$J,AL37)/INDEX('Player Data'!$E:$E,AL37)*M37*L37*AM37</f>
        <v>72.966681880419898</v>
      </c>
      <c r="S37" s="5">
        <f>INDEX('Player Data'!$K:$K,AL37)/INDEX('Player Data'!$E:$E,AL37)*M37*L37*AM37</f>
        <v>0</v>
      </c>
      <c r="T37" s="5">
        <f>INDEX('Player Data'!$L:$L,AL37)/INDEX('Player Data'!$E:$E,AL37)*M37*L37*AM37</f>
        <v>98.95481515289822</v>
      </c>
      <c r="U37" s="7">
        <f>INDEX('Player Data'!$M:$M,AL37)</f>
        <v>0.66400000000000003</v>
      </c>
      <c r="V37" s="7">
        <f>INDEX('Player Data'!$N:$N,AL37)</f>
        <v>0.71699999999999997</v>
      </c>
      <c r="W37" s="5">
        <f t="shared" si="3"/>
        <v>453.8359689639434</v>
      </c>
      <c r="X37" s="5">
        <f>INDEX('Player Data'!$O:$O,AL37)/INDEX('Player Data'!$E:$E,AL37)*M37*L37*AM37</f>
        <v>683.48790506617979</v>
      </c>
      <c r="Y37" s="5">
        <f t="shared" si="4"/>
        <v>219.73186581469648</v>
      </c>
      <c r="Z37" s="5">
        <f>INDEX('Player Data'!$P:$P,AL37)/INDEX('Player Data'!$E:$E,AL37)*M37*L37*AM37</f>
        <v>306.46006389776358</v>
      </c>
      <c r="AB37" s="3">
        <f>(N37-Pool!$D$2)/Pool!$E$2</f>
        <v>-0.27581619572086585</v>
      </c>
      <c r="AC37" s="3">
        <f>(O37-Pool!$D$3)/Pool!$E$3</f>
        <v>1.6952009760384148</v>
      </c>
      <c r="AD37" s="3">
        <f>(P37-Pool!$D$4)/Pool!$E$4</f>
        <v>-0.86659852509944435</v>
      </c>
      <c r="AE37" s="3">
        <f>(Q37-Pool!$D$5)/Pool!$E$5</f>
        <v>-5.5434127728223717E-2</v>
      </c>
      <c r="AF37" s="3">
        <f>(R37-Pool!$D$6)/Pool!$E$6</f>
        <v>0.65500319573649668</v>
      </c>
      <c r="AG37" s="3">
        <f>(S37-Pool!$D$7)/Pool!$E$7</f>
        <v>-1.7381805406185855</v>
      </c>
      <c r="AH37" s="3">
        <f>(AS37-Pool!$D$8)/Pool!$E$8</f>
        <v>2.6894671504906542</v>
      </c>
      <c r="AI37" s="3">
        <f>(AT37-Pool!$D$9)/Pool!$E$9</f>
        <v>-1.1419962949084155</v>
      </c>
      <c r="AJ37" s="3">
        <f>-(T37-Pool!$D$10)/Pool!$E$10</f>
        <v>0.75907064176846173</v>
      </c>
      <c r="AL37">
        <f>MATCH(B37,'Player Data'!$A:$A,0)</f>
        <v>94</v>
      </c>
      <c r="AM37" s="3">
        <f>1+IF(Settings!$F$10="ON",IFERROR(VLOOKUP(TRIM(F37),Settings!$D$12:$F$17,3,FALSE),0),0)</f>
        <v>1</v>
      </c>
      <c r="AN37" t="str">
        <f t="shared" si="5"/>
        <v>C</v>
      </c>
      <c r="AO37" s="6">
        <f>X37*(U37-Pool!$B$12)</f>
        <v>125.34705479198118</v>
      </c>
      <c r="AP37" s="6">
        <f>Z37*(V37-Pool!$B$13)</f>
        <v>-22.402125627451483</v>
      </c>
      <c r="AQ37" s="3">
        <f>Settings!$B$2*(N37-Pool!$B$2)/Pool!$C$2+Settings!$B$3*(O37-Pool!$B$3)/Pool!$C$3+Settings!$B$4*(P37-Pool!$B$4)/Pool!$C$4+Settings!$B$5*(Q37-Pool!$B$5)/Pool!$C$5+Settings!$B$6*(R37-Pool!$B$6)/Pool!$C$6+Settings!$B$7*(S37-Pool!$B$7)/Pool!$C$7+Settings!$B$8*(AO37-Pool!$B$8)/Pool!$C$8+Settings!$B$9*(AP37-Pool!$B$9)/Pool!$C$9+Settings!$B$10*-(T37-Pool!$B$10)/Pool!$C$10</f>
        <v>4.1283697183797177</v>
      </c>
      <c r="AR37">
        <f>IF(RANK(AQ37,$AQ$2:$AQ$266)&lt;=Settings!$F$5,1,0)</f>
        <v>1</v>
      </c>
      <c r="AS37" s="6">
        <f>X37*(U37-Pool!$D$12)</f>
        <v>122.9775228912724</v>
      </c>
      <c r="AT37" s="6">
        <f>Z37*(V37-Pool!$D$13)</f>
        <v>-25.478608807400786</v>
      </c>
    </row>
    <row r="38" spans="1:46" x14ac:dyDescent="0.2">
      <c r="A38">
        <f t="shared" si="0"/>
        <v>37</v>
      </c>
      <c r="B38" t="s">
        <v>79</v>
      </c>
      <c r="C38" t="str">
        <f>INDEX('Player Data'!$C:$C,AL38)</f>
        <v>PF,SF,SG</v>
      </c>
      <c r="D38">
        <f t="shared" si="1"/>
        <v>11</v>
      </c>
      <c r="E38" t="str">
        <f>INDEX('Player Data'!$B:$B,AL38)</f>
        <v>OKC</v>
      </c>
      <c r="F38" s="2"/>
      <c r="G38" s="3">
        <f>Settings!$B$2*AB38+Settings!$B$3*AC38+Settings!$B$4*AD38+Settings!$B$5*AE38+Settings!$B$6*AF38+Settings!$B$7*AG38+Settings!$B$8*AH38+Settings!$B$9*AI38+Settings!$B$10*AJ38</f>
        <v>1.7022534556258231</v>
      </c>
      <c r="H38" s="3">
        <f>G38-LARGE($G$2:$G$266,Settings!$F$4)</f>
        <v>4.9185182220729882</v>
      </c>
      <c r="I38">
        <f>IF(INDEX('Player Data'!$R:$R,AL38)="","",INDEX('Player Data'!$R:$R,AL38))</f>
        <v>45</v>
      </c>
      <c r="J38" s="4">
        <f t="shared" si="2"/>
        <v>8</v>
      </c>
      <c r="L38" s="5">
        <f>IF(Settings!$F$7="Yes",INDEX('Minutes &amp; Health'!$O:$O,AL38),Settings!$F$8)</f>
        <v>74</v>
      </c>
      <c r="M38" s="6">
        <f>INDEX('Minutes &amp; Health'!$P:$P,AL38)</f>
        <v>32.200000000000003</v>
      </c>
      <c r="N38" s="5">
        <f>INDEX('Player Data'!$F:$F,AL38)/INDEX('Player Data'!$E:$E,AL38)*M38*L38*AM38</f>
        <v>1510.605283018868</v>
      </c>
      <c r="O38" s="5">
        <f>INDEX('Player Data'!$G:$G,AL38)/INDEX('Player Data'!$E:$E,AL38)*M38*L38*AM38</f>
        <v>355.67161425576523</v>
      </c>
      <c r="P38" s="5">
        <f>INDEX('Player Data'!$H:$H,AL38)/INDEX('Player Data'!$E:$E,AL38)*M38*L38*AM38</f>
        <v>372.65593291404616</v>
      </c>
      <c r="Q38" s="5">
        <f>INDEX('Player Data'!$I:$I,AL38)/INDEX('Player Data'!$E:$E,AL38)*M38*L38*AM38</f>
        <v>101.90591194968553</v>
      </c>
      <c r="R38" s="5">
        <f>INDEX('Player Data'!$J:$J,AL38)/INDEX('Player Data'!$E:$E,AL38)*M38*L38*AM38</f>
        <v>38.964025157232712</v>
      </c>
      <c r="S38" s="5">
        <f>INDEX('Player Data'!$K:$K,AL38)/INDEX('Player Data'!$E:$E,AL38)*M38*L38*AM38</f>
        <v>105.90222222222224</v>
      </c>
      <c r="T38" s="5">
        <f>INDEX('Player Data'!$L:$L,AL38)/INDEX('Player Data'!$E:$E,AL38)*M38*L38*AM38</f>
        <v>147.86348008385744</v>
      </c>
      <c r="U38" s="7">
        <f>INDEX('Player Data'!$M:$M,AL38)</f>
        <v>0.49199999999999999</v>
      </c>
      <c r="V38" s="7">
        <f>INDEX('Player Data'!$N:$N,AL38)</f>
        <v>0.80500000000000005</v>
      </c>
      <c r="W38" s="5">
        <f t="shared" si="3"/>
        <v>573.63437283018879</v>
      </c>
      <c r="X38" s="5">
        <f>INDEX('Player Data'!$O:$O,AL38)/INDEX('Player Data'!$E:$E,AL38)*M38*L38*AM38</f>
        <v>1165.9235220125788</v>
      </c>
      <c r="Y38" s="5">
        <f t="shared" si="4"/>
        <v>257.4428072955975</v>
      </c>
      <c r="Z38" s="5">
        <f>INDEX('Player Data'!$P:$P,AL38)/INDEX('Player Data'!$E:$E,AL38)*M38*L38*AM38</f>
        <v>319.80472955974847</v>
      </c>
      <c r="AB38" s="3">
        <f>(N38-Pool!$D$2)/Pool!$E$2</f>
        <v>0.66856000776184221</v>
      </c>
      <c r="AC38" s="3">
        <f>(O38-Pool!$D$3)/Pool!$E$3</f>
        <v>-0.42928105160732188</v>
      </c>
      <c r="AD38" s="3">
        <f>(P38-Pool!$D$4)/Pool!$E$4</f>
        <v>0.62623904666124286</v>
      </c>
      <c r="AE38" s="3">
        <f>(Q38-Pool!$D$5)/Pool!$E$5</f>
        <v>1.2221798948894902</v>
      </c>
      <c r="AF38" s="3">
        <f>(R38-Pool!$D$6)/Pool!$E$6</f>
        <v>-0.32905836824575835</v>
      </c>
      <c r="AG38" s="3">
        <f>(S38-Pool!$D$7)/Pool!$E$7</f>
        <v>-0.24662061743990102</v>
      </c>
      <c r="AH38" s="3">
        <f>(AS38-Pool!$D$8)/Pool!$E$8</f>
        <v>0.20210959328554273</v>
      </c>
      <c r="AI38" s="3">
        <f>(AT38-Pool!$D$9)/Pool!$E$9</f>
        <v>6.9686770832308578E-2</v>
      </c>
      <c r="AJ38" s="3">
        <f>-(T38-Pool!$D$10)/Pool!$E$10</f>
        <v>-8.1561820511622515E-2</v>
      </c>
      <c r="AL38">
        <f>MATCH(B38,'Player Data'!$A:$A,0)</f>
        <v>43</v>
      </c>
      <c r="AM38" s="3">
        <f>1+IF(Settings!$F$10="ON",IFERROR(VLOOKUP(TRIM(F38),Settings!$D$12:$F$17,3,FALSE),0),0)</f>
        <v>1</v>
      </c>
      <c r="AN38" t="str">
        <f t="shared" si="5"/>
        <v>PF</v>
      </c>
      <c r="AO38" s="6">
        <f>X38*(U38-Pool!$B$12)</f>
        <v>13.283635217095197</v>
      </c>
      <c r="AP38" s="6">
        <f>Z38*(V38-Pool!$B$13)</f>
        <v>4.7652000879861918</v>
      </c>
      <c r="AQ38" s="3">
        <f>Settings!$B$2*(N38-Pool!$B$2)/Pool!$C$2+Settings!$B$3*(O38-Pool!$B$3)/Pool!$C$3+Settings!$B$4*(P38-Pool!$B$4)/Pool!$C$4+Settings!$B$5*(Q38-Pool!$B$5)/Pool!$C$5+Settings!$B$6*(R38-Pool!$B$6)/Pool!$C$6+Settings!$B$7*(S38-Pool!$B$7)/Pool!$C$7+Settings!$B$8*(AO38-Pool!$B$8)/Pool!$C$8+Settings!$B$9*(AP38-Pool!$B$9)/Pool!$C$9+Settings!$B$10*-(T38-Pool!$B$10)/Pool!$C$10</f>
        <v>3.677049030651752</v>
      </c>
      <c r="AR38">
        <f>IF(RANK(AQ38,$AQ$2:$AQ$266)&lt;=Settings!$F$5,1,0)</f>
        <v>1</v>
      </c>
      <c r="AS38" s="6">
        <f>X38*(U38-Pool!$D$12)</f>
        <v>9.2415842038764264</v>
      </c>
      <c r="AT38" s="6">
        <f>Z38*(V38-Pool!$D$13)</f>
        <v>1.5547528315142147</v>
      </c>
    </row>
    <row r="39" spans="1:46" x14ac:dyDescent="0.2">
      <c r="A39">
        <f t="shared" si="0"/>
        <v>38</v>
      </c>
      <c r="B39" t="s">
        <v>80</v>
      </c>
      <c r="C39" t="str">
        <f>INDEX('Player Data'!$C:$C,AL39)</f>
        <v>PG,SF,SG</v>
      </c>
      <c r="D39">
        <f t="shared" si="1"/>
        <v>17</v>
      </c>
      <c r="E39" t="str">
        <f>INDEX('Player Data'!$B:$B,AL39)</f>
        <v>ATL</v>
      </c>
      <c r="F39" s="2"/>
      <c r="G39" s="3">
        <f>Settings!$B$2*AB39+Settings!$B$3*AC39+Settings!$B$4*AD39+Settings!$B$5*AE39+Settings!$B$6*AF39+Settings!$B$7*AG39+Settings!$B$8*AH39+Settings!$B$9*AI39+Settings!$B$10*AJ39</f>
        <v>1.6799171457320428</v>
      </c>
      <c r="H39" s="3">
        <f>G39-LARGE($G$2:$G$266,Settings!$F$4)</f>
        <v>4.8961819121792081</v>
      </c>
      <c r="I39">
        <f>IF(INDEX('Player Data'!$R:$R,AL39)="","",INDEX('Player Data'!$R:$R,AL39))</f>
        <v>64</v>
      </c>
      <c r="J39" s="4">
        <f t="shared" si="2"/>
        <v>26</v>
      </c>
      <c r="L39" s="5">
        <f>IF(Settings!$F$7="Yes",INDEX('Minutes &amp; Health'!$O:$O,AL39),Settings!$F$8)</f>
        <v>77</v>
      </c>
      <c r="M39" s="6">
        <f>INDEX('Minutes &amp; Health'!$P:$P,AL39)</f>
        <v>32.9</v>
      </c>
      <c r="N39" s="5">
        <f>INDEX('Player Data'!$F:$F,AL39)/INDEX('Player Data'!$E:$E,AL39)*M39*L39*AM39</f>
        <v>902.17521739130439</v>
      </c>
      <c r="O39" s="5">
        <f>INDEX('Player Data'!$G:$G,AL39)/INDEX('Player Data'!$E:$E,AL39)*M39*L39*AM39</f>
        <v>464.60521739130428</v>
      </c>
      <c r="P39" s="5">
        <f>INDEX('Player Data'!$H:$H,AL39)/INDEX('Player Data'!$E:$E,AL39)*M39*L39*AM39</f>
        <v>399.52043478260867</v>
      </c>
      <c r="Q39" s="5">
        <f>INDEX('Player Data'!$I:$I,AL39)/INDEX('Player Data'!$E:$E,AL39)*M39*L39*AM39</f>
        <v>159.20739130434782</v>
      </c>
      <c r="R39" s="5">
        <f>INDEX('Player Data'!$J:$J,AL39)/INDEX('Player Data'!$E:$E,AL39)*M39*L39*AM39</f>
        <v>35.045652173913041</v>
      </c>
      <c r="S39" s="5">
        <f>INDEX('Player Data'!$K:$K,AL39)/INDEX('Player Data'!$E:$E,AL39)*M39*L39*AM39</f>
        <v>38.049565217391304</v>
      </c>
      <c r="T39" s="5">
        <f>INDEX('Player Data'!$L:$L,AL39)/INDEX('Player Data'!$E:$E,AL39)*M39*L39*AM39</f>
        <v>132.17217391304345</v>
      </c>
      <c r="U39" s="7">
        <f>INDEX('Player Data'!$M:$M,AL39)</f>
        <v>0.50700000000000001</v>
      </c>
      <c r="V39" s="7">
        <f>INDEX('Player Data'!$N:$N,AL39)</f>
        <v>0.60699999999999998</v>
      </c>
      <c r="W39" s="5">
        <f t="shared" si="3"/>
        <v>390.59460756521736</v>
      </c>
      <c r="X39" s="5">
        <f>INDEX('Player Data'!$O:$O,AL39)/INDEX('Player Data'!$E:$E,AL39)*M39*L39*AM39</f>
        <v>770.40356521739125</v>
      </c>
      <c r="Y39" s="5">
        <f t="shared" si="4"/>
        <v>82.963572391304339</v>
      </c>
      <c r="Z39" s="5">
        <f>INDEX('Player Data'!$P:$P,AL39)/INDEX('Player Data'!$E:$E,AL39)*M39*L39*AM39</f>
        <v>136.67804347826086</v>
      </c>
      <c r="AB39" s="3">
        <f>(N39-Pool!$D$2)/Pool!$E$2</f>
        <v>-0.83119646761934818</v>
      </c>
      <c r="AC39" s="3">
        <f>(O39-Pool!$D$3)/Pool!$E$3</f>
        <v>0.20476803915410871</v>
      </c>
      <c r="AD39" s="3">
        <f>(P39-Pool!$D$4)/Pool!$E$4</f>
        <v>0.80793247441929594</v>
      </c>
      <c r="AE39" s="3">
        <f>(Q39-Pool!$D$5)/Pool!$E$5</f>
        <v>3.7519352949132938</v>
      </c>
      <c r="AF39" s="3">
        <f>(R39-Pool!$D$6)/Pool!$E$6</f>
        <v>-0.44245892625574262</v>
      </c>
      <c r="AG39" s="3">
        <f>(S39-Pool!$D$7)/Pool!$E$7</f>
        <v>-1.2022785984143398</v>
      </c>
      <c r="AH39" s="3">
        <f>(AS39-Pool!$D$8)/Pool!$E$8</f>
        <v>0.38627338233505926</v>
      </c>
      <c r="AI39" s="3">
        <f>(AT39-Pool!$D$9)/Pool!$E$9</f>
        <v>-1.1831953001610371</v>
      </c>
      <c r="AJ39" s="3">
        <f>-(T39-Pool!$D$10)/Pool!$E$10</f>
        <v>0.18813724736075299</v>
      </c>
      <c r="AL39">
        <f>MATCH(B39,'Player Data'!$A:$A,0)</f>
        <v>143</v>
      </c>
      <c r="AM39" s="3">
        <f>1+IF(Settings!$F$10="ON",IFERROR(VLOOKUP(TRIM(F39),Settings!$D$12:$F$17,3,FALSE),0),0)</f>
        <v>1</v>
      </c>
      <c r="AN39" t="str">
        <f t="shared" si="5"/>
        <v>PG</v>
      </c>
      <c r="AO39" s="6">
        <f>X39*(U39-Pool!$B$12)</f>
        <v>20.333438733026352</v>
      </c>
      <c r="AP39" s="6">
        <f>Z39*(V39-Pool!$B$13)</f>
        <v>-25.025702912557698</v>
      </c>
      <c r="AQ39" s="3">
        <f>Settings!$B$2*(N39-Pool!$B$2)/Pool!$C$2+Settings!$B$3*(O39-Pool!$B$3)/Pool!$C$3+Settings!$B$4*(P39-Pool!$B$4)/Pool!$C$4+Settings!$B$5*(Q39-Pool!$B$5)/Pool!$C$5+Settings!$B$6*(R39-Pool!$B$6)/Pool!$C$6+Settings!$B$7*(S39-Pool!$B$7)/Pool!$C$7+Settings!$B$8*(AO39-Pool!$B$8)/Pool!$C$8+Settings!$B$9*(AP39-Pool!$B$9)/Pool!$C$9+Settings!$B$10*-(T39-Pool!$B$10)/Pool!$C$10</f>
        <v>3.1802074847577351</v>
      </c>
      <c r="AR39">
        <f>IF(RANK(AQ39,$AQ$2:$AQ$266)&lt;=Settings!$F$5,1,0)</f>
        <v>1</v>
      </c>
      <c r="AS39" s="6">
        <f>X39*(U39-Pool!$D$12)</f>
        <v>17.662585583071021</v>
      </c>
      <c r="AT39" s="6">
        <f>Z39*(V39-Pool!$D$13)</f>
        <v>-26.397782838670111</v>
      </c>
    </row>
    <row r="40" spans="1:46" x14ac:dyDescent="0.2">
      <c r="A40">
        <f t="shared" si="0"/>
        <v>39</v>
      </c>
      <c r="B40" t="s">
        <v>81</v>
      </c>
      <c r="C40" t="str">
        <f>INDEX('Player Data'!$C:$C,AL40)</f>
        <v>C,PF</v>
      </c>
      <c r="D40">
        <f t="shared" si="1"/>
        <v>7</v>
      </c>
      <c r="E40" t="str">
        <f>INDEX('Player Data'!$B:$B,AL40)</f>
        <v>SAC</v>
      </c>
      <c r="F40" s="2"/>
      <c r="G40" s="3">
        <f>Settings!$B$2*AB40+Settings!$B$3*AC40+Settings!$B$4*AD40+Settings!$B$5*AE40+Settings!$B$6*AF40+Settings!$B$7*AG40+Settings!$B$8*AH40+Settings!$B$9*AI40+Settings!$B$10*AJ40</f>
        <v>1.6591079187392419</v>
      </c>
      <c r="H40" s="3">
        <f>G40-LARGE($G$2:$G$266,Settings!$F$4)</f>
        <v>4.8753726851864068</v>
      </c>
      <c r="I40">
        <f>IF(INDEX('Player Data'!$R:$R,AL40)="","",INDEX('Player Data'!$R:$R,AL40))</f>
        <v>36</v>
      </c>
      <c r="J40" s="4">
        <f t="shared" si="2"/>
        <v>-3</v>
      </c>
      <c r="L40" s="5">
        <f>IF(Settings!$F$7="Yes",INDEX('Minutes &amp; Health'!$O:$O,AL40),Settings!$F$8)</f>
        <v>74</v>
      </c>
      <c r="M40" s="6">
        <f>INDEX('Minutes &amp; Health'!$P:$P,AL40)</f>
        <v>34.1</v>
      </c>
      <c r="N40" s="5">
        <f>INDEX('Player Data'!$F:$F,AL40)/INDEX('Player Data'!$E:$E,AL40)*M40*L40*AM40</f>
        <v>1289.6933438985739</v>
      </c>
      <c r="O40" s="5">
        <f>INDEX('Player Data'!$G:$G,AL40)/INDEX('Player Data'!$E:$E,AL40)*M40*L40*AM40</f>
        <v>935.77749603803488</v>
      </c>
      <c r="P40" s="5">
        <f>INDEX('Player Data'!$H:$H,AL40)/INDEX('Player Data'!$E:$E,AL40)*M40*L40*AM40</f>
        <v>431.89730586370837</v>
      </c>
      <c r="Q40" s="5">
        <f>INDEX('Player Data'!$I:$I,AL40)/INDEX('Player Data'!$E:$E,AL40)*M40*L40*AM40</f>
        <v>56.986450079239305</v>
      </c>
      <c r="R40" s="5">
        <f>INDEX('Player Data'!$J:$J,AL40)/INDEX('Player Data'!$E:$E,AL40)*M40*L40*AM40</f>
        <v>31.992393026941368</v>
      </c>
      <c r="S40" s="5">
        <f>INDEX('Player Data'!$K:$K,AL40)/INDEX('Player Data'!$E:$E,AL40)*M40*L40*AM40</f>
        <v>45.989064976228207</v>
      </c>
      <c r="T40" s="5">
        <f>INDEX('Player Data'!$L:$L,AL40)/INDEX('Player Data'!$E:$E,AL40)*M40*L40*AM40</f>
        <v>213.94912836767037</v>
      </c>
      <c r="U40" s="7">
        <f>INDEX('Player Data'!$M:$M,AL40)</f>
        <v>0.58799999999999997</v>
      </c>
      <c r="V40" s="7">
        <f>INDEX('Player Data'!$N:$N,AL40)</f>
        <v>0.73799999999999999</v>
      </c>
      <c r="W40" s="5">
        <f t="shared" si="3"/>
        <v>512.90804358161643</v>
      </c>
      <c r="X40" s="5">
        <f>INDEX('Player Data'!$O:$O,AL40)/INDEX('Player Data'!$E:$E,AL40)*M40*L40*AM40</f>
        <v>872.2925911251981</v>
      </c>
      <c r="Y40" s="5">
        <f t="shared" si="4"/>
        <v>217.80581134706813</v>
      </c>
      <c r="Z40" s="5">
        <f>INDEX('Player Data'!$P:$P,AL40)/INDEX('Player Data'!$E:$E,AL40)*M40*L40*AM40</f>
        <v>295.12982567353407</v>
      </c>
      <c r="AB40" s="3">
        <f>(N40-Pool!$D$2)/Pool!$E$2</f>
        <v>0.12402065985347839</v>
      </c>
      <c r="AC40" s="3">
        <f>(O40-Pool!$D$3)/Pool!$E$3</f>
        <v>2.9472308446507762</v>
      </c>
      <c r="AD40" s="3">
        <f>(P40-Pool!$D$4)/Pool!$E$4</f>
        <v>1.0269078611801286</v>
      </c>
      <c r="AE40" s="3">
        <f>(Q40-Pool!$D$5)/Pool!$E$5</f>
        <v>-0.76093210348649687</v>
      </c>
      <c r="AF40" s="3">
        <f>(R40-Pool!$D$6)/Pool!$E$6</f>
        <v>-0.53082246196038563</v>
      </c>
      <c r="AG40" s="3">
        <f>(S40-Pool!$D$7)/Pool!$E$7</f>
        <v>-1.090456207893407</v>
      </c>
      <c r="AH40" s="3">
        <f>(AS40-Pool!$D$8)/Pool!$E$8</f>
        <v>1.9825703154403629</v>
      </c>
      <c r="AI40" s="3">
        <f>(AT40-Pool!$D$9)/Pool!$E$9</f>
        <v>-0.82198211273441135</v>
      </c>
      <c r="AJ40" s="3">
        <f>-(T40-Pool!$D$10)/Pool!$E$10</f>
        <v>-1.2174288763108032</v>
      </c>
      <c r="AL40">
        <f>MATCH(B40,'Player Data'!$A:$A,0)</f>
        <v>70</v>
      </c>
      <c r="AM40" s="3">
        <f>1+IF(Settings!$F$10="ON",IFERROR(VLOOKUP(TRIM(F40),Settings!$D$12:$F$17,3,FALSE),0),0)</f>
        <v>1</v>
      </c>
      <c r="AN40" t="str">
        <f t="shared" si="5"/>
        <v>C</v>
      </c>
      <c r="AO40" s="6">
        <f>X40*(U40-Pool!$B$12)</f>
        <v>93.678319141621856</v>
      </c>
      <c r="AP40" s="6">
        <f>Z40*(V40-Pool!$B$13)</f>
        <v>-15.376162757713775</v>
      </c>
      <c r="AQ40" s="3">
        <f>Settings!$B$2*(N40-Pool!$B$2)/Pool!$C$2+Settings!$B$3*(O40-Pool!$B$3)/Pool!$C$3+Settings!$B$4*(P40-Pool!$B$4)/Pool!$C$4+Settings!$B$5*(Q40-Pool!$B$5)/Pool!$C$5+Settings!$B$6*(R40-Pool!$B$6)/Pool!$C$6+Settings!$B$7*(S40-Pool!$B$7)/Pool!$C$7+Settings!$B$8*(AO40-Pool!$B$8)/Pool!$C$8+Settings!$B$9*(AP40-Pool!$B$9)/Pool!$C$9+Settings!$B$10*-(T40-Pool!$B$10)/Pool!$C$10</f>
        <v>4.0791175188330309</v>
      </c>
      <c r="AR40">
        <f>IF(RANK(AQ40,$AQ$2:$AQ$266)&lt;=Settings!$F$5,1,0)</f>
        <v>1</v>
      </c>
      <c r="AS40" s="6">
        <f>X40*(U40-Pool!$D$12)</f>
        <v>90.65423472680996</v>
      </c>
      <c r="AT40" s="6">
        <f>Z40*(V40-Pool!$D$13)</f>
        <v>-18.338904241997017</v>
      </c>
    </row>
    <row r="41" spans="1:46" x14ac:dyDescent="0.2">
      <c r="A41">
        <f t="shared" si="0"/>
        <v>40</v>
      </c>
      <c r="B41" t="s">
        <v>82</v>
      </c>
      <c r="C41" t="str">
        <f>INDEX('Player Data'!$C:$C,AL41)</f>
        <v>PF,SF,SG</v>
      </c>
      <c r="D41">
        <f t="shared" si="1"/>
        <v>12</v>
      </c>
      <c r="E41" t="str">
        <f>INDEX('Player Data'!$B:$B,AL41)</f>
        <v>NYK</v>
      </c>
      <c r="F41" s="2"/>
      <c r="G41" s="3">
        <f>Settings!$B$2*AB41+Settings!$B$3*AC41+Settings!$B$4*AD41+Settings!$B$5*AE41+Settings!$B$6*AF41+Settings!$B$7*AG41+Settings!$B$8*AH41+Settings!$B$9*AI41+Settings!$B$10*AJ41</f>
        <v>1.6055740772016371</v>
      </c>
      <c r="H41" s="3">
        <f>G41-LARGE($G$2:$G$266,Settings!$F$4)</f>
        <v>4.821838843648802</v>
      </c>
      <c r="I41">
        <f>IF(INDEX('Player Data'!$R:$R,AL41)="","",INDEX('Player Data'!$R:$R,AL41))</f>
        <v>83</v>
      </c>
      <c r="J41" s="4">
        <f t="shared" si="2"/>
        <v>43</v>
      </c>
      <c r="L41" s="5">
        <f>IF(Settings!$F$7="Yes",INDEX('Minutes &amp; Health'!$O:$O,AL41),Settings!$F$8)</f>
        <v>80</v>
      </c>
      <c r="M41" s="6">
        <f>INDEX('Minutes &amp; Health'!$P:$P,AL41)</f>
        <v>34.700000000000003</v>
      </c>
      <c r="N41" s="5">
        <f>INDEX('Player Data'!$F:$F,AL41)/INDEX('Player Data'!$E:$E,AL41)*M41*L41*AM41</f>
        <v>1219.0000000000002</v>
      </c>
      <c r="O41" s="5">
        <f>INDEX('Player Data'!$G:$G,AL41)/INDEX('Player Data'!$E:$E,AL41)*M41*L41*AM41</f>
        <v>294</v>
      </c>
      <c r="P41" s="5">
        <f>INDEX('Player Data'!$H:$H,AL41)/INDEX('Player Data'!$E:$E,AL41)*M41*L41*AM41</f>
        <v>286.00000000000006</v>
      </c>
      <c r="Q41" s="5">
        <f>INDEX('Player Data'!$I:$I,AL41)/INDEX('Player Data'!$E:$E,AL41)*M41*L41*AM41</f>
        <v>93</v>
      </c>
      <c r="R41" s="5">
        <f>INDEX('Player Data'!$J:$J,AL41)/INDEX('Player Data'!$E:$E,AL41)*M41*L41*AM41</f>
        <v>57</v>
      </c>
      <c r="S41" s="5">
        <f>INDEX('Player Data'!$K:$K,AL41)/INDEX('Player Data'!$E:$E,AL41)*M41*L41*AM41</f>
        <v>152.00000000000003</v>
      </c>
      <c r="T41" s="5">
        <f>INDEX('Player Data'!$L:$L,AL41)/INDEX('Player Data'!$E:$E,AL41)*M41*L41*AM41</f>
        <v>101.00000000000001</v>
      </c>
      <c r="U41" s="7">
        <f>INDEX('Player Data'!$M:$M,AL41)</f>
        <v>0.48899999999999999</v>
      </c>
      <c r="V41" s="7">
        <f>INDEX('Player Data'!$N:$N,AL41)</f>
        <v>0.82699999999999996</v>
      </c>
      <c r="W41" s="5">
        <f t="shared" si="3"/>
        <v>482.25180000000006</v>
      </c>
      <c r="X41" s="5">
        <f>INDEX('Player Data'!$O:$O,AL41)/INDEX('Player Data'!$E:$E,AL41)*M41*L41*AM41</f>
        <v>986.20000000000016</v>
      </c>
      <c r="Y41" s="5">
        <f t="shared" si="4"/>
        <v>102.4653</v>
      </c>
      <c r="Z41" s="5">
        <f>INDEX('Player Data'!$P:$P,AL41)/INDEX('Player Data'!$E:$E,AL41)*M41*L41*AM41</f>
        <v>123.9</v>
      </c>
      <c r="AB41" s="3">
        <f>(N41-Pool!$D$2)/Pool!$E$2</f>
        <v>-5.0235686549913457E-2</v>
      </c>
      <c r="AC41" s="3">
        <f>(O41-Pool!$D$3)/Pool!$E$3</f>
        <v>-0.78824127893042351</v>
      </c>
      <c r="AD41" s="3">
        <f>(P41-Pool!$D$4)/Pool!$E$4</f>
        <v>4.0156581266643551E-2</v>
      </c>
      <c r="AE41" s="3">
        <f>(Q41-Pool!$D$5)/Pool!$E$5</f>
        <v>0.82900018817707732</v>
      </c>
      <c r="AF41" s="3">
        <f>(R41-Pool!$D$6)/Pool!$E$6</f>
        <v>0.19291583383519464</v>
      </c>
      <c r="AG41" s="3">
        <f>(S41-Pool!$D$7)/Pool!$E$7</f>
        <v>0.4026348602841765</v>
      </c>
      <c r="AH41" s="3">
        <f>(AS41-Pool!$D$8)/Pool!$E$8</f>
        <v>0.10625167318753985</v>
      </c>
      <c r="AI41" s="3">
        <f>(AT41-Pool!$D$9)/Pool!$E$9</f>
        <v>0.14917349692703474</v>
      </c>
      <c r="AJ41" s="3">
        <f>-(T41-Pool!$D$10)/Pool!$E$10</f>
        <v>0.72391840900430759</v>
      </c>
      <c r="AL41">
        <f>MATCH(B41,'Player Data'!$A:$A,0)</f>
        <v>93</v>
      </c>
      <c r="AM41" s="3">
        <f>1+IF(Settings!$F$10="ON",IFERROR(VLOOKUP(TRIM(F41),Settings!$D$12:$F$17,3,FALSE),0),0)</f>
        <v>1</v>
      </c>
      <c r="AN41" t="str">
        <f t="shared" si="5"/>
        <v>PF</v>
      </c>
      <c r="AO41" s="6">
        <f>X41*(U41-Pool!$B$12)</f>
        <v>8.2774037376087417</v>
      </c>
      <c r="AP41" s="6">
        <f>Z41*(V41-Pool!$B$13)</f>
        <v>4.5719524684586652</v>
      </c>
      <c r="AQ41" s="3">
        <f>Settings!$B$2*(N41-Pool!$B$2)/Pool!$C$2+Settings!$B$3*(O41-Pool!$B$3)/Pool!$C$3+Settings!$B$4*(P41-Pool!$B$4)/Pool!$C$4+Settings!$B$5*(Q41-Pool!$B$5)/Pool!$C$5+Settings!$B$6*(R41-Pool!$B$6)/Pool!$C$6+Settings!$B$7*(S41-Pool!$B$7)/Pool!$C$7+Settings!$B$8*(AO41-Pool!$B$8)/Pool!$C$8+Settings!$B$9*(AP41-Pool!$B$9)/Pool!$C$9+Settings!$B$10*-(T41-Pool!$B$10)/Pool!$C$10</f>
        <v>3.6264148992691454</v>
      </c>
      <c r="AR41">
        <f>IF(RANK(AQ41,$AQ$2:$AQ$266)&lt;=Settings!$F$5,1,0)</f>
        <v>1</v>
      </c>
      <c r="AS41" s="6">
        <f>X41*(U41-Pool!$D$12)</f>
        <v>4.8584224459753198</v>
      </c>
      <c r="AT41" s="6">
        <f>Z41*(V41-Pool!$D$13)</f>
        <v>3.3281484270848414</v>
      </c>
    </row>
    <row r="42" spans="1:46" x14ac:dyDescent="0.2">
      <c r="A42">
        <f t="shared" si="0"/>
        <v>41</v>
      </c>
      <c r="B42" t="s">
        <v>83</v>
      </c>
      <c r="C42" t="str">
        <f>INDEX('Player Data'!$C:$C,AL42)</f>
        <v>C</v>
      </c>
      <c r="D42">
        <f t="shared" si="1"/>
        <v>8</v>
      </c>
      <c r="E42" t="str">
        <f>INDEX('Player Data'!$B:$B,AL42)</f>
        <v>LAL</v>
      </c>
      <c r="F42" s="2"/>
      <c r="G42" s="3">
        <f>Settings!$B$2*AB42+Settings!$B$3*AC42+Settings!$B$4*AD42+Settings!$B$5*AE42+Settings!$B$6*AF42+Settings!$B$7*AG42+Settings!$B$8*AH42+Settings!$B$9*AI42+Settings!$B$10*AJ42</f>
        <v>1.419976506590884</v>
      </c>
      <c r="H42" s="3">
        <f>G42-LARGE($G$2:$G$266,Settings!$F$4)</f>
        <v>4.6362412730380491</v>
      </c>
      <c r="I42">
        <f>IF(INDEX('Player Data'!$R:$R,AL42)="","",INDEX('Player Data'!$R:$R,AL42))</f>
        <v>28</v>
      </c>
      <c r="J42" s="4">
        <f t="shared" si="2"/>
        <v>-13</v>
      </c>
      <c r="L42" s="5">
        <f>IF(Settings!$F$7="Yes",INDEX('Minutes &amp; Health'!$O:$O,AL42),Settings!$F$8)</f>
        <v>72</v>
      </c>
      <c r="M42" s="6">
        <f>INDEX('Minutes &amp; Health'!$P:$P,AL42)</f>
        <v>30.7</v>
      </c>
      <c r="N42" s="5">
        <f>INDEX('Player Data'!$F:$F,AL42)/INDEX('Player Data'!$E:$E,AL42)*M42*L42*AM42</f>
        <v>816.04012652507913</v>
      </c>
      <c r="O42" s="5">
        <f>INDEX('Player Data'!$G:$G,AL42)/INDEX('Player Data'!$E:$E,AL42)*M42*L42*AM42</f>
        <v>824.03072751920467</v>
      </c>
      <c r="P42" s="5">
        <f>INDEX('Player Data'!$H:$H,AL42)/INDEX('Player Data'!$E:$E,AL42)*M42*L42*AM42</f>
        <v>117.8613646633529</v>
      </c>
      <c r="Q42" s="5">
        <f>INDEX('Player Data'!$I:$I,AL42)/INDEX('Player Data'!$E:$E,AL42)*M42*L42*AM42</f>
        <v>52.937731586082243</v>
      </c>
      <c r="R42" s="5">
        <f>INDEX('Player Data'!$J:$J,AL42)/INDEX('Player Data'!$E:$E,AL42)*M42*L42*AM42</f>
        <v>157.81436963398104</v>
      </c>
      <c r="S42" s="5">
        <f>INDEX('Player Data'!$K:$K,AL42)/INDEX('Player Data'!$E:$E,AL42)*M42*L42*AM42</f>
        <v>10.987076366922729</v>
      </c>
      <c r="T42" s="5">
        <f>INDEX('Player Data'!$L:$L,AL42)/INDEX('Player Data'!$E:$E,AL42)*M42*L42*AM42</f>
        <v>104.87663804789877</v>
      </c>
      <c r="U42" s="7">
        <f>INDEX('Player Data'!$M:$M,AL42)</f>
        <v>0.68100000000000005</v>
      </c>
      <c r="V42" s="7">
        <f>INDEX('Player Data'!$N:$N,AL42)</f>
        <v>0.53600000000000003</v>
      </c>
      <c r="W42" s="5">
        <f t="shared" si="3"/>
        <v>352.47959316764582</v>
      </c>
      <c r="X42" s="5">
        <f>INDEX('Player Data'!$O:$O,AL42)/INDEX('Player Data'!$E:$E,AL42)*M42*L42*AM42</f>
        <v>517.5911793944872</v>
      </c>
      <c r="Y42" s="5">
        <f t="shared" si="4"/>
        <v>100.06070282873927</v>
      </c>
      <c r="Z42" s="5">
        <f>INDEX('Player Data'!$P:$P,AL42)/INDEX('Player Data'!$E:$E,AL42)*M42*L42*AM42</f>
        <v>186.68041572525982</v>
      </c>
      <c r="AB42" s="3">
        <f>(N42-Pool!$D$2)/Pool!$E$2</f>
        <v>-1.0435161204144883</v>
      </c>
      <c r="AC42" s="3">
        <f>(O42-Pool!$D$3)/Pool!$E$3</f>
        <v>2.2968076975642466</v>
      </c>
      <c r="AD42" s="3">
        <f>(P42-Pool!$D$4)/Pool!$E$4</f>
        <v>-1.097020096802594</v>
      </c>
      <c r="AE42" s="3">
        <f>(Q42-Pool!$D$5)/Pool!$E$5</f>
        <v>-0.93967561214613771</v>
      </c>
      <c r="AF42" s="3">
        <f>(R42-Pool!$D$6)/Pool!$E$6</f>
        <v>3.1105568599920908</v>
      </c>
      <c r="AG42" s="3">
        <f>(S42-Pool!$D$7)/Pool!$E$7</f>
        <v>-1.5834351307685663</v>
      </c>
      <c r="AH42" s="3">
        <f>(AS42-Pool!$D$8)/Pool!$E$8</f>
        <v>2.2291091093884505</v>
      </c>
      <c r="AI42" s="3">
        <f>(AT42-Pool!$D$9)/Pool!$E$9</f>
        <v>-2.2101377209743323</v>
      </c>
      <c r="AJ42" s="3">
        <f>-(T42-Pool!$D$10)/Pool!$E$10</f>
        <v>0.65728752075221497</v>
      </c>
      <c r="AL42">
        <f>MATCH(B42,'Player Data'!$A:$A,0)</f>
        <v>152</v>
      </c>
      <c r="AM42" s="3">
        <f>1+IF(Settings!$F$10="ON",IFERROR(VLOOKUP(TRIM(F42),Settings!$D$12:$F$17,3,FALSE),0),0)</f>
        <v>1</v>
      </c>
      <c r="AN42" t="str">
        <f t="shared" si="5"/>
        <v>C</v>
      </c>
      <c r="AO42" s="6">
        <f>X42*(U42-Pool!$B$12)</f>
        <v>103.72176842191359</v>
      </c>
      <c r="AP42" s="6">
        <f>Z42*(V42-Pool!$B$13)</f>
        <v>-47.435429648463902</v>
      </c>
      <c r="AQ42" s="3">
        <f>Settings!$B$2*(N42-Pool!$B$2)/Pool!$C$2+Settings!$B$3*(O42-Pool!$B$3)/Pool!$C$3+Settings!$B$4*(P42-Pool!$B$4)/Pool!$C$4+Settings!$B$5*(Q42-Pool!$B$5)/Pool!$C$5+Settings!$B$6*(R42-Pool!$B$6)/Pool!$C$6+Settings!$B$7*(S42-Pool!$B$7)/Pool!$C$7+Settings!$B$8*(AO42-Pool!$B$8)/Pool!$C$8+Settings!$B$9*(AP42-Pool!$B$9)/Pool!$C$9+Settings!$B$10*-(T42-Pool!$B$10)/Pool!$C$10</f>
        <v>3.9358363142932311</v>
      </c>
      <c r="AR42">
        <f>IF(RANK(AQ42,$AQ$2:$AQ$266)&lt;=Settings!$F$5,1,0)</f>
        <v>1</v>
      </c>
      <c r="AS42" s="6">
        <f>X42*(U42-Pool!$D$12)</f>
        <v>101.9273711809237</v>
      </c>
      <c r="AT42" s="6">
        <f>Z42*(V42-Pool!$D$13)</f>
        <v>-49.309472065933015</v>
      </c>
    </row>
    <row r="43" spans="1:46" x14ac:dyDescent="0.2">
      <c r="A43">
        <f t="shared" si="0"/>
        <v>42</v>
      </c>
      <c r="B43" t="s">
        <v>84</v>
      </c>
      <c r="C43" t="str">
        <f>INDEX('Player Data'!$C:$C,AL43)</f>
        <v>PG</v>
      </c>
      <c r="D43">
        <f t="shared" si="1"/>
        <v>18</v>
      </c>
      <c r="E43" t="str">
        <f>INDEX('Player Data'!$B:$B,AL43)</f>
        <v>POR</v>
      </c>
      <c r="F43" s="2"/>
      <c r="G43" s="3">
        <f>Settings!$B$2*AB43+Settings!$B$3*AC43+Settings!$B$4*AD43+Settings!$B$5*AE43+Settings!$B$6*AF43+Settings!$B$7*AG43+Settings!$B$8*AH43+Settings!$B$9*AI43+Settings!$B$10*AJ43</f>
        <v>1.3827722052767388</v>
      </c>
      <c r="H43" s="3">
        <f>G43-LARGE($G$2:$G$266,Settings!$F$4)</f>
        <v>4.5990369717239039</v>
      </c>
      <c r="I43">
        <f>IF(INDEX('Player Data'!$R:$R,AL43)="","",INDEX('Player Data'!$R:$R,AL43))</f>
        <v>74</v>
      </c>
      <c r="J43" s="4">
        <f t="shared" si="2"/>
        <v>32</v>
      </c>
      <c r="L43" s="5">
        <f>IF(Settings!$F$7="Yes",INDEX('Minutes &amp; Health'!$O:$O,AL43),Settings!$F$8)</f>
        <v>72</v>
      </c>
      <c r="M43" s="6">
        <f>INDEX('Minutes &amp; Health'!$P:$P,AL43)</f>
        <v>33.5</v>
      </c>
      <c r="N43" s="5">
        <f>INDEX('Player Data'!$F:$F,AL43)/INDEX('Player Data'!$E:$E,AL43)*M43*L43*AM43</f>
        <v>1601.9925280199252</v>
      </c>
      <c r="O43" s="5">
        <f>INDEX('Player Data'!$G:$G,AL43)/INDEX('Player Data'!$E:$E,AL43)*M43*L43*AM43</f>
        <v>300.37359900373599</v>
      </c>
      <c r="P43" s="5">
        <f>INDEX('Player Data'!$H:$H,AL43)/INDEX('Player Data'!$E:$E,AL43)*M43*L43*AM43</f>
        <v>440.54794520547944</v>
      </c>
      <c r="Q43" s="5">
        <f>INDEX('Player Data'!$I:$I,AL43)/INDEX('Player Data'!$E:$E,AL43)*M43*L43*AM43</f>
        <v>86.107098381070983</v>
      </c>
      <c r="R43" s="5">
        <f>INDEX('Player Data'!$J:$J,AL43)/INDEX('Player Data'!$E:$E,AL43)*M43*L43*AM43</f>
        <v>15.018679950186799</v>
      </c>
      <c r="S43" s="5">
        <f>INDEX('Player Data'!$K:$K,AL43)/INDEX('Player Data'!$E:$E,AL43)*M43*L43*AM43</f>
        <v>212.2640099626401</v>
      </c>
      <c r="T43" s="5">
        <f>INDEX('Player Data'!$L:$L,AL43)/INDEX('Player Data'!$E:$E,AL43)*M43*L43*AM43</f>
        <v>201.25031133250309</v>
      </c>
      <c r="U43" s="7">
        <f>INDEX('Player Data'!$M:$M,AL43)</f>
        <v>0.435</v>
      </c>
      <c r="V43" s="7">
        <f>INDEX('Player Data'!$N:$N,AL43)</f>
        <v>0.92100000000000004</v>
      </c>
      <c r="W43" s="5">
        <f t="shared" si="3"/>
        <v>546.29997758405977</v>
      </c>
      <c r="X43" s="5">
        <f>INDEX('Player Data'!$O:$O,AL43)/INDEX('Player Data'!$E:$E,AL43)*M43*L43*AM43</f>
        <v>1255.8620174346202</v>
      </c>
      <c r="Y43" s="5">
        <f t="shared" si="4"/>
        <v>297.11574694894153</v>
      </c>
      <c r="Z43" s="5">
        <f>INDEX('Player Data'!$P:$P,AL43)/INDEX('Player Data'!$E:$E,AL43)*M43*L43*AM43</f>
        <v>322.60124533001249</v>
      </c>
      <c r="AB43" s="3">
        <f>(N43-Pool!$D$2)/Pool!$E$2</f>
        <v>0.89382601646279958</v>
      </c>
      <c r="AC43" s="3">
        <f>(O43-Pool!$D$3)/Pool!$E$3</f>
        <v>-0.7511436842775725</v>
      </c>
      <c r="AD43" s="3">
        <f>(P43-Pool!$D$4)/Pool!$E$4</f>
        <v>1.0854149692588519</v>
      </c>
      <c r="AE43" s="3">
        <f>(Q43-Pool!$D$5)/Pool!$E$5</f>
        <v>0.52469120193971386</v>
      </c>
      <c r="AF43" s="3">
        <f>(R43-Pool!$D$6)/Pool!$E$6</f>
        <v>-1.0220540375656786</v>
      </c>
      <c r="AG43" s="3">
        <f>(S43-Pool!$D$7)/Pool!$E$7</f>
        <v>1.251411969811659</v>
      </c>
      <c r="AH43" s="3">
        <f>(AS43-Pool!$D$8)/Pool!$E$8</f>
        <v>-1.3478150046829751</v>
      </c>
      <c r="AI43" s="3">
        <f>(AT43-Pool!$D$9)/Pool!$E$9</f>
        <v>1.7476048943365976</v>
      </c>
      <c r="AJ43" s="3">
        <f>-(T43-Pool!$D$10)/Pool!$E$10</f>
        <v>-0.999164120006657</v>
      </c>
      <c r="AL43">
        <f>MATCH(B43,'Player Data'!$A:$A,0)</f>
        <v>26</v>
      </c>
      <c r="AM43" s="3">
        <f>1+IF(Settings!$F$10="ON",IFERROR(VLOOKUP(TRIM(F43),Settings!$D$12:$F$17,3,FALSE),0),0)</f>
        <v>1</v>
      </c>
      <c r="AN43" t="str">
        <f t="shared" si="5"/>
        <v>PG</v>
      </c>
      <c r="AO43" s="6">
        <f>X43*(U43-Pool!$B$12)</f>
        <v>-57.275809784063092</v>
      </c>
      <c r="AP43" s="6">
        <f>Z43*(V43-Pool!$B$13)</f>
        <v>42.228613589789482</v>
      </c>
      <c r="AQ43" s="3">
        <f>Settings!$B$2*(N43-Pool!$B$2)/Pool!$C$2+Settings!$B$3*(O43-Pool!$B$3)/Pool!$C$3+Settings!$B$4*(P43-Pool!$B$4)/Pool!$C$4+Settings!$B$5*(Q43-Pool!$B$5)/Pool!$C$5+Settings!$B$6*(R43-Pool!$B$6)/Pool!$C$6+Settings!$B$7*(S43-Pool!$B$7)/Pool!$C$7+Settings!$B$8*(AO43-Pool!$B$8)/Pool!$C$8+Settings!$B$9*(AP43-Pool!$B$9)/Pool!$C$9+Settings!$B$10*-(T43-Pool!$B$10)/Pool!$C$10</f>
        <v>3.4888740631563491</v>
      </c>
      <c r="AR43">
        <f>IF(RANK(AQ43,$AQ$2:$AQ$266)&lt;=Settings!$F$5,1,0)</f>
        <v>1</v>
      </c>
      <c r="AS43" s="6">
        <f>X43*(U43-Pool!$D$12)</f>
        <v>-61.629661682746899</v>
      </c>
      <c r="AT43" s="6">
        <f>Z43*(V43-Pool!$D$13)</f>
        <v>38.990092744804024</v>
      </c>
    </row>
    <row r="44" spans="1:46" x14ac:dyDescent="0.2">
      <c r="A44">
        <f t="shared" si="0"/>
        <v>43</v>
      </c>
      <c r="B44" t="s">
        <v>85</v>
      </c>
      <c r="C44" t="str">
        <f>INDEX('Player Data'!$C:$C,AL44)</f>
        <v>PG</v>
      </c>
      <c r="D44">
        <f t="shared" si="1"/>
        <v>19</v>
      </c>
      <c r="E44" t="str">
        <f>INDEX('Player Data'!$B:$B,AL44)</f>
        <v>NYK</v>
      </c>
      <c r="F44" s="2"/>
      <c r="G44" s="3">
        <f>Settings!$B$2*AB44+Settings!$B$3*AC44+Settings!$B$4*AD44+Settings!$B$5*AE44+Settings!$B$6*AF44+Settings!$B$7*AG44+Settings!$B$8*AH44+Settings!$B$9*AI44+Settings!$B$10*AJ44</f>
        <v>1.1778926728378734</v>
      </c>
      <c r="H44" s="3">
        <f>G44-LARGE($G$2:$G$266,Settings!$F$4)</f>
        <v>4.3941574392850384</v>
      </c>
      <c r="I44">
        <f>IF(INDEX('Player Data'!$R:$R,AL44)="","",INDEX('Player Data'!$R:$R,AL44))</f>
        <v>21</v>
      </c>
      <c r="J44" s="4">
        <f t="shared" si="2"/>
        <v>-22</v>
      </c>
      <c r="L44" s="5">
        <f>IF(Settings!$F$7="Yes",INDEX('Minutes &amp; Health'!$O:$O,AL44),Settings!$F$8)</f>
        <v>75</v>
      </c>
      <c r="M44" s="6">
        <f>INDEX('Minutes &amp; Health'!$P:$P,AL44)</f>
        <v>35.6</v>
      </c>
      <c r="N44" s="5">
        <f>INDEX('Player Data'!$F:$F,AL44)/INDEX('Player Data'!$E:$E,AL44)*M44*L44*AM44</f>
        <v>1968.7878787878788</v>
      </c>
      <c r="O44" s="5">
        <f>INDEX('Player Data'!$G:$G,AL44)/INDEX('Player Data'!$E:$E,AL44)*M44*L44*AM44</f>
        <v>244.7250280583614</v>
      </c>
      <c r="P44" s="5">
        <f>INDEX('Player Data'!$H:$H,AL44)/INDEX('Player Data'!$E:$E,AL44)*M44*L44*AM44</f>
        <v>510.4264870931537</v>
      </c>
      <c r="Q44" s="5">
        <f>INDEX('Player Data'!$I:$I,AL44)/INDEX('Player Data'!$E:$E,AL44)*M44*L44*AM44</f>
        <v>64.927048260381596</v>
      </c>
      <c r="R44" s="5">
        <f>INDEX('Player Data'!$J:$J,AL44)/INDEX('Player Data'!$E:$E,AL44)*M44*L44*AM44</f>
        <v>7.9910213243546577</v>
      </c>
      <c r="S44" s="5">
        <f>INDEX('Player Data'!$K:$K,AL44)/INDEX('Player Data'!$E:$E,AL44)*M44*L44*AM44</f>
        <v>189.78675645342312</v>
      </c>
      <c r="T44" s="5">
        <f>INDEX('Player Data'!$L:$L,AL44)/INDEX('Player Data'!$E:$E,AL44)*M44*L44*AM44</f>
        <v>182.79461279461279</v>
      </c>
      <c r="U44" s="7">
        <f>INDEX('Player Data'!$M:$M,AL44)</f>
        <v>0.47299999999999998</v>
      </c>
      <c r="V44" s="7">
        <f>INDEX('Player Data'!$N:$N,AL44)</f>
        <v>0.83399999999999996</v>
      </c>
      <c r="W44" s="5">
        <f t="shared" si="3"/>
        <v>712.38896296296298</v>
      </c>
      <c r="X44" s="5">
        <f>INDEX('Player Data'!$O:$O,AL44)/INDEX('Player Data'!$E:$E,AL44)*M44*L44*AM44</f>
        <v>1506.1077441077441</v>
      </c>
      <c r="Y44" s="5">
        <f t="shared" si="4"/>
        <v>354.2188013468014</v>
      </c>
      <c r="Z44" s="5">
        <f>INDEX('Player Data'!$P:$P,AL44)/INDEX('Player Data'!$E:$E,AL44)*M44*L44*AM44</f>
        <v>424.72278338945011</v>
      </c>
      <c r="AB44" s="3">
        <f>(N44-Pool!$D$2)/Pool!$E$2</f>
        <v>1.7979623067799955</v>
      </c>
      <c r="AC44" s="3">
        <f>(O44-Pool!$D$3)/Pool!$E$3</f>
        <v>-1.0750467297518529</v>
      </c>
      <c r="AD44" s="3">
        <f>(P44-Pool!$D$4)/Pool!$E$4</f>
        <v>1.5580264423628425</v>
      </c>
      <c r="AE44" s="3">
        <f>(Q44-Pool!$D$5)/Pool!$E$5</f>
        <v>-0.41036923225881916</v>
      </c>
      <c r="AF44" s="3">
        <f>(R44-Pool!$D$6)/Pool!$E$6</f>
        <v>-1.225439578724109</v>
      </c>
      <c r="AG44" s="3">
        <f>(S44-Pool!$D$7)/Pool!$E$7</f>
        <v>0.93483532190029472</v>
      </c>
      <c r="AH44" s="3">
        <f>(AS44-Pool!$D$8)/Pool!$E$8</f>
        <v>-0.36474143938364367</v>
      </c>
      <c r="AI44" s="3">
        <f>(AT44-Pool!$D$9)/Pool!$E$9</f>
        <v>0.64461680463656379</v>
      </c>
      <c r="AJ44" s="3">
        <f>-(T44-Pool!$D$10)/Pool!$E$10</f>
        <v>-0.68195122272339859</v>
      </c>
      <c r="AL44">
        <f>MATCH(B44,'Player Data'!$A:$A,0)</f>
        <v>9</v>
      </c>
      <c r="AM44" s="3">
        <f>1+IF(Settings!$F$10="ON",IFERROR(VLOOKUP(TRIM(F44),Settings!$D$12:$F$17,3,FALSE),0),0)</f>
        <v>1</v>
      </c>
      <c r="AN44" t="str">
        <f t="shared" si="5"/>
        <v>PG</v>
      </c>
      <c r="AO44" s="6">
        <f>X44*(U44-Pool!$B$12)</f>
        <v>-11.456614728762958</v>
      </c>
      <c r="AP44" s="6">
        <f>Z44*(V44-Pool!$B$13)</f>
        <v>18.645475770473784</v>
      </c>
      <c r="AQ44" s="3">
        <f>Settings!$B$2*(N44-Pool!$B$2)/Pool!$C$2+Settings!$B$3*(O44-Pool!$B$3)/Pool!$C$3+Settings!$B$4*(P44-Pool!$B$4)/Pool!$C$4+Settings!$B$5*(Q44-Pool!$B$5)/Pool!$C$5+Settings!$B$6*(R44-Pool!$B$6)/Pool!$C$6+Settings!$B$7*(S44-Pool!$B$7)/Pool!$C$7+Settings!$B$8*(AO44-Pool!$B$8)/Pool!$C$8+Settings!$B$9*(AP44-Pool!$B$9)/Pool!$C$9+Settings!$B$10*-(T44-Pool!$B$10)/Pool!$C$10</f>
        <v>3.2731973964521837</v>
      </c>
      <c r="AR44">
        <f>IF(RANK(AQ44,$AQ$2:$AQ$266)&lt;=Settings!$F$5,1,0)</f>
        <v>1</v>
      </c>
      <c r="AS44" s="6">
        <f>X44*(U44-Pool!$D$12)</f>
        <v>-16.678024382269946</v>
      </c>
      <c r="AT44" s="6">
        <f>Z44*(V44-Pool!$D$13)</f>
        <v>14.381779931544509</v>
      </c>
    </row>
    <row r="45" spans="1:46" x14ac:dyDescent="0.2">
      <c r="A45">
        <f t="shared" si="0"/>
        <v>44</v>
      </c>
      <c r="B45" t="s">
        <v>86</v>
      </c>
      <c r="C45" t="str">
        <f>INDEX('Player Data'!$C:$C,AL45)</f>
        <v>PG,SG,SF</v>
      </c>
      <c r="D45">
        <f t="shared" si="1"/>
        <v>20</v>
      </c>
      <c r="E45" t="str">
        <f>INDEX('Player Data'!$B:$B,AL45)</f>
        <v>CHI</v>
      </c>
      <c r="F45" s="2"/>
      <c r="G45" s="3">
        <f>Settings!$B$2*AB45+Settings!$B$3*AC45+Settings!$B$4*AD45+Settings!$B$5*AE45+Settings!$B$6*AF45+Settings!$B$7*AG45+Settings!$B$8*AH45+Settings!$B$9*AI45+Settings!$B$10*AJ45</f>
        <v>1.1754752380543003</v>
      </c>
      <c r="H45" s="3">
        <f>G45-LARGE($G$2:$G$266,Settings!$F$4)</f>
        <v>4.3917400045014654</v>
      </c>
      <c r="I45">
        <f>IF(INDEX('Player Data'!$R:$R,AL45)="","",INDEX('Player Data'!$R:$R,AL45))</f>
        <v>29</v>
      </c>
      <c r="J45" s="4">
        <f t="shared" si="2"/>
        <v>-15</v>
      </c>
      <c r="L45" s="5">
        <f>IF(Settings!$F$7="Yes",INDEX('Minutes &amp; Health'!$O:$O,AL45),Settings!$F$8)</f>
        <v>73</v>
      </c>
      <c r="M45" s="6">
        <f>INDEX('Minutes &amp; Health'!$P:$P,AL45)</f>
        <v>35.700000000000003</v>
      </c>
      <c r="N45" s="5">
        <f>INDEX('Player Data'!$F:$F,AL45)/INDEX('Player Data'!$E:$E,AL45)*M45*L45*AM45</f>
        <v>1301.5505178365941</v>
      </c>
      <c r="O45" s="5">
        <f>INDEX('Player Data'!$G:$G,AL45)/INDEX('Player Data'!$E:$E,AL45)*M45*L45*AM45</f>
        <v>620.78561565017276</v>
      </c>
      <c r="P45" s="5">
        <f>INDEX('Player Data'!$H:$H,AL45)/INDEX('Player Data'!$E:$E,AL45)*M45*L45*AM45</f>
        <v>663.77077100115093</v>
      </c>
      <c r="Q45" s="5">
        <f>INDEX('Player Data'!$I:$I,AL45)/INDEX('Player Data'!$E:$E,AL45)*M45*L45*AM45</f>
        <v>87.96962025316455</v>
      </c>
      <c r="R45" s="5">
        <f>INDEX('Player Data'!$J:$J,AL45)/INDEX('Player Data'!$E:$E,AL45)*M45*L45*AM45</f>
        <v>43.984810126582275</v>
      </c>
      <c r="S45" s="5">
        <f>INDEX('Player Data'!$K:$K,AL45)/INDEX('Player Data'!$E:$E,AL45)*M45*L45*AM45</f>
        <v>134.95339470655927</v>
      </c>
      <c r="T45" s="5">
        <f>INDEX('Player Data'!$L:$L,AL45)/INDEX('Player Data'!$E:$E,AL45)*M45*L45*AM45</f>
        <v>264.90851553509782</v>
      </c>
      <c r="U45" s="7">
        <f>INDEX('Player Data'!$M:$M,AL45)</f>
        <v>0.45100000000000001</v>
      </c>
      <c r="V45" s="7">
        <f>INDEX('Player Data'!$N:$N,AL45)</f>
        <v>0.76900000000000002</v>
      </c>
      <c r="W45" s="5">
        <f t="shared" si="3"/>
        <v>463.01710000000003</v>
      </c>
      <c r="X45" s="5">
        <f>INDEX('Player Data'!$O:$O,AL45)/INDEX('Player Data'!$E:$E,AL45)*M45*L45*AM45</f>
        <v>1026.6454545454546</v>
      </c>
      <c r="Y45" s="5">
        <f t="shared" si="4"/>
        <v>240.5370320713464</v>
      </c>
      <c r="Z45" s="5">
        <f>INDEX('Player Data'!$P:$P,AL45)/INDEX('Player Data'!$E:$E,AL45)*M45*L45*AM45</f>
        <v>312.79197928653628</v>
      </c>
      <c r="AB45" s="3">
        <f>(N45-Pool!$D$2)/Pool!$E$2</f>
        <v>0.15324813298126472</v>
      </c>
      <c r="AC45" s="3">
        <f>(O45-Pool!$D$3)/Pool!$E$3</f>
        <v>1.1138175579475151</v>
      </c>
      <c r="AD45" s="3">
        <f>(P45-Pool!$D$4)/Pool!$E$4</f>
        <v>2.5951440746444394</v>
      </c>
      <c r="AE45" s="3">
        <f>(Q45-Pool!$D$5)/Pool!$E$5</f>
        <v>0.60691813249465376</v>
      </c>
      <c r="AF45" s="3">
        <f>(R45-Pool!$D$6)/Pool!$E$6</f>
        <v>-0.18375320725263186</v>
      </c>
      <c r="AG45" s="3">
        <f>(S45-Pool!$D$7)/Pool!$E$7</f>
        <v>0.16254515538083092</v>
      </c>
      <c r="AH45" s="3">
        <f>(AS45-Pool!$D$8)/Pool!$E$8</f>
        <v>-0.7425785009524416</v>
      </c>
      <c r="AI45" s="3">
        <f>(AT45-Pool!$D$9)/Pool!$E$9</f>
        <v>-0.4365573602807476</v>
      </c>
      <c r="AJ45" s="3">
        <f>-(T45-Pool!$D$10)/Pool!$E$10</f>
        <v>-2.0933087469085816</v>
      </c>
      <c r="AL45">
        <f>MATCH(B45,'Player Data'!$A:$A,0)</f>
        <v>67</v>
      </c>
      <c r="AM45" s="3">
        <f>1+IF(Settings!$F$10="ON",IFERROR(VLOOKUP(TRIM(F45),Settings!$D$12:$F$17,3,FALSE),0),0)</f>
        <v>1</v>
      </c>
      <c r="AN45" t="str">
        <f t="shared" si="5"/>
        <v>PG</v>
      </c>
      <c r="AO45" s="6">
        <f>X45*(U45-Pool!$B$12)</f>
        <v>-30.395655519884453</v>
      </c>
      <c r="AP45" s="6">
        <f>Z45*(V45-Pool!$B$13)</f>
        <v>-6.5998035491182687</v>
      </c>
      <c r="AQ45" s="3">
        <f>Settings!$B$2*(N45-Pool!$B$2)/Pool!$C$2+Settings!$B$3*(O45-Pool!$B$3)/Pool!$C$3+Settings!$B$4*(P45-Pool!$B$4)/Pool!$C$4+Settings!$B$5*(Q45-Pool!$B$5)/Pool!$C$5+Settings!$B$6*(R45-Pool!$B$6)/Pool!$C$6+Settings!$B$7*(S45-Pool!$B$7)/Pool!$C$7+Settings!$B$8*(AO45-Pool!$B$8)/Pool!$C$8+Settings!$B$9*(AP45-Pool!$B$9)/Pool!$C$9+Settings!$B$10*-(T45-Pool!$B$10)/Pool!$C$10</f>
        <v>3.1860302006394337</v>
      </c>
      <c r="AR45">
        <f>IF(RANK(AQ45,$AQ$2:$AQ$266)&lt;=Settings!$F$5,1,0)</f>
        <v>1</v>
      </c>
      <c r="AS45" s="6">
        <f>X45*(U45-Pool!$D$12)</f>
        <v>-33.954854061997004</v>
      </c>
      <c r="AT45" s="6">
        <f>Z45*(V45-Pool!$D$13)</f>
        <v>-9.7398513937180358</v>
      </c>
    </row>
    <row r="46" spans="1:46" x14ac:dyDescent="0.2">
      <c r="A46">
        <f t="shared" si="0"/>
        <v>45</v>
      </c>
      <c r="B46" t="s">
        <v>87</v>
      </c>
      <c r="C46" t="str">
        <f>INDEX('Player Data'!$C:$C,AL46)</f>
        <v>PF,SF</v>
      </c>
      <c r="D46">
        <f t="shared" si="1"/>
        <v>13</v>
      </c>
      <c r="E46" t="str">
        <f>INDEX('Player Data'!$B:$B,AL46)</f>
        <v>ORL</v>
      </c>
      <c r="F46" s="2"/>
      <c r="G46" s="3">
        <f>Settings!$B$2*AB46+Settings!$B$3*AC46+Settings!$B$4*AD46+Settings!$B$5*AE46+Settings!$B$6*AF46+Settings!$B$7*AG46+Settings!$B$8*AH46+Settings!$B$9*AI46+Settings!$B$10*AJ46</f>
        <v>1.123523933474289</v>
      </c>
      <c r="H46" s="3">
        <f>G46-LARGE($G$2:$G$266,Settings!$F$4)</f>
        <v>4.3397886999214546</v>
      </c>
      <c r="I46">
        <f>IF(INDEX('Player Data'!$R:$R,AL46)="","",INDEX('Player Data'!$R:$R,AL46))</f>
        <v>53</v>
      </c>
      <c r="J46" s="4">
        <f t="shared" si="2"/>
        <v>8</v>
      </c>
      <c r="L46" s="5">
        <f>IF(Settings!$F$7="Yes",INDEX('Minutes &amp; Health'!$O:$O,AL46),Settings!$F$8)</f>
        <v>72</v>
      </c>
      <c r="M46" s="6">
        <f>INDEX('Minutes &amp; Health'!$P:$P,AL46)</f>
        <v>33.4</v>
      </c>
      <c r="N46" s="5">
        <f>INDEX('Player Data'!$F:$F,AL46)/INDEX('Player Data'!$E:$E,AL46)*M46*L46*AM46</f>
        <v>1603.8666112266112</v>
      </c>
      <c r="O46" s="5">
        <f>INDEX('Player Data'!$G:$G,AL46)/INDEX('Player Data'!$E:$E,AL46)*M46*L46*AM46</f>
        <v>401.96656964656961</v>
      </c>
      <c r="P46" s="5">
        <f>INDEX('Player Data'!$H:$H,AL46)/INDEX('Player Data'!$E:$E,AL46)*M46*L46*AM46</f>
        <v>305.97455301455301</v>
      </c>
      <c r="Q46" s="5">
        <f>INDEX('Player Data'!$I:$I,AL46)/INDEX('Player Data'!$E:$E,AL46)*M46*L46*AM46</f>
        <v>86.992765072765067</v>
      </c>
      <c r="R46" s="5">
        <f>INDEX('Player Data'!$J:$J,AL46)/INDEX('Player Data'!$E:$E,AL46)*M46*L46*AM46</f>
        <v>25.997837837837839</v>
      </c>
      <c r="S46" s="5">
        <f>INDEX('Player Data'!$K:$K,AL46)/INDEX('Player Data'!$E:$E,AL46)*M46*L46*AM46</f>
        <v>108.99093555093555</v>
      </c>
      <c r="T46" s="5">
        <f>INDEX('Player Data'!$L:$L,AL46)/INDEX('Player Data'!$E:$E,AL46)*M46*L46*AM46</f>
        <v>146.98777546777549</v>
      </c>
      <c r="U46" s="7">
        <f>INDEX('Player Data'!$M:$M,AL46)</f>
        <v>0.47199999999999998</v>
      </c>
      <c r="V46" s="7">
        <f>INDEX('Player Data'!$N:$N,AL46)</f>
        <v>0.85</v>
      </c>
      <c r="W46" s="5">
        <f t="shared" si="3"/>
        <v>569.04307439501042</v>
      </c>
      <c r="X46" s="5">
        <f>INDEX('Player Data'!$O:$O,AL46)/INDEX('Player Data'!$E:$E,AL46)*M46*L46*AM46</f>
        <v>1205.5997338877339</v>
      </c>
      <c r="Y46" s="5">
        <f t="shared" si="4"/>
        <v>356.80032598752592</v>
      </c>
      <c r="Z46" s="5">
        <f>INDEX('Player Data'!$P:$P,AL46)/INDEX('Player Data'!$E:$E,AL46)*M46*L46*AM46</f>
        <v>419.76508939708935</v>
      </c>
      <c r="AB46" s="3">
        <f>(N46-Pool!$D$2)/Pool!$E$2</f>
        <v>0.89844555876258947</v>
      </c>
      <c r="AC46" s="3">
        <f>(O46-Pool!$D$3)/Pool!$E$3</f>
        <v>-0.15982081594562142</v>
      </c>
      <c r="AD46" s="3">
        <f>(P46-Pool!$D$4)/Pool!$E$4</f>
        <v>0.1752510275700053</v>
      </c>
      <c r="AE46" s="3">
        <f>(Q46-Pool!$D$5)/Pool!$E$5</f>
        <v>0.56379176480767801</v>
      </c>
      <c r="AF46" s="3">
        <f>(R46-Pool!$D$6)/Pool!$E$6</f>
        <v>-0.70430923985514027</v>
      </c>
      <c r="AG46" s="3">
        <f>(S46-Pool!$D$7)/Pool!$E$7</f>
        <v>-0.20311821570909122</v>
      </c>
      <c r="AH46" s="3">
        <f>(AS46-Pool!$D$8)/Pool!$E$8</f>
        <v>-0.31833191612992728</v>
      </c>
      <c r="AI46" s="3">
        <f>(AT46-Pool!$D$9)/Pool!$E$9</f>
        <v>0.93812615269446364</v>
      </c>
      <c r="AJ46" s="3">
        <f>-(T46-Pool!$D$10)/Pool!$E$10</f>
        <v>-6.6510382720667352E-2</v>
      </c>
      <c r="AL46">
        <f>MATCH(B46,'Player Data'!$A:$A,0)</f>
        <v>27</v>
      </c>
      <c r="AM46" s="3">
        <f>1+IF(Settings!$F$10="ON",IFERROR(VLOOKUP(TRIM(F46),Settings!$D$12:$F$17,3,FALSE),0),0)</f>
        <v>1</v>
      </c>
      <c r="AN46" t="str">
        <f t="shared" si="5"/>
        <v>PF</v>
      </c>
      <c r="AO46" s="6">
        <f>X46*(U46-Pool!$B$12)</f>
        <v>-10.376319240700671</v>
      </c>
      <c r="AP46" s="6">
        <f>Z46*(V46-Pool!$B$13)</f>
        <v>25.144072735243597</v>
      </c>
      <c r="AQ46" s="3">
        <f>Settings!$B$2*(N46-Pool!$B$2)/Pool!$C$2+Settings!$B$3*(O46-Pool!$B$3)/Pool!$C$3+Settings!$B$4*(P46-Pool!$B$4)/Pool!$C$4+Settings!$B$5*(Q46-Pool!$B$5)/Pool!$C$5+Settings!$B$6*(R46-Pool!$B$6)/Pool!$C$6+Settings!$B$7*(S46-Pool!$B$7)/Pool!$C$7+Settings!$B$8*(AO46-Pool!$B$8)/Pool!$C$8+Settings!$B$9*(AP46-Pool!$B$9)/Pool!$C$9+Settings!$B$10*-(T46-Pool!$B$10)/Pool!$C$10</f>
        <v>3.2321619038883864</v>
      </c>
      <c r="AR46">
        <f>IF(RANK(AQ46,$AQ$2:$AQ$266)&lt;=Settings!$F$5,1,0)</f>
        <v>1</v>
      </c>
      <c r="AS46" s="6">
        <f>X46*(U46-Pool!$D$12)</f>
        <v>-14.55592067586635</v>
      </c>
      <c r="AT46" s="6">
        <f>Z46*(V46-Pool!$D$13)</f>
        <v>20.930146063574959</v>
      </c>
    </row>
    <row r="47" spans="1:46" x14ac:dyDescent="0.2">
      <c r="A47">
        <f t="shared" si="0"/>
        <v>46</v>
      </c>
      <c r="B47" t="s">
        <v>88</v>
      </c>
      <c r="C47" t="str">
        <f>INDEX('Player Data'!$C:$C,AL47)</f>
        <v>C</v>
      </c>
      <c r="D47">
        <f t="shared" si="1"/>
        <v>9</v>
      </c>
      <c r="E47" t="str">
        <f>INDEX('Player Data'!$B:$B,AL47)</f>
        <v>ATL</v>
      </c>
      <c r="F47" s="2"/>
      <c r="G47" s="3">
        <f>Settings!$B$2*AB47+Settings!$B$3*AC47+Settings!$B$4*AD47+Settings!$B$5*AE47+Settings!$B$6*AF47+Settings!$B$7*AG47+Settings!$B$8*AH47+Settings!$B$9*AI47+Settings!$B$10*AJ47</f>
        <v>0.97040630619134605</v>
      </c>
      <c r="H47" s="3">
        <f>G47-LARGE($G$2:$G$266,Settings!$F$4)</f>
        <v>4.1866710726385108</v>
      </c>
      <c r="I47">
        <f>IF(INDEX('Player Data'!$R:$R,AL47)="","",INDEX('Player Data'!$R:$R,AL47))</f>
        <v>57</v>
      </c>
      <c r="J47" s="4">
        <f t="shared" si="2"/>
        <v>11</v>
      </c>
      <c r="L47" s="5">
        <f>IF(Settings!$F$7="Yes",INDEX('Minutes &amp; Health'!$O:$O,AL47),Settings!$F$8)</f>
        <v>75</v>
      </c>
      <c r="M47" s="6">
        <f>INDEX('Minutes &amp; Health'!$P:$P,AL47)</f>
        <v>30.2</v>
      </c>
      <c r="N47" s="5">
        <f>INDEX('Player Data'!$F:$F,AL47)/INDEX('Player Data'!$E:$E,AL47)*M47*L47*AM47</f>
        <v>1060.9368095448519</v>
      </c>
      <c r="O47" s="5">
        <f>INDEX('Player Data'!$G:$G,AL47)/INDEX('Player Data'!$E:$E,AL47)*M47*L47*AM47</f>
        <v>564.49845338046839</v>
      </c>
      <c r="P47" s="5">
        <f>INDEX('Player Data'!$H:$H,AL47)/INDEX('Player Data'!$E:$E,AL47)*M47*L47*AM47</f>
        <v>207.18294299602297</v>
      </c>
      <c r="Q47" s="5">
        <f>INDEX('Player Data'!$I:$I,AL47)/INDEX('Player Data'!$E:$E,AL47)*M47*L47*AM47</f>
        <v>75.066283694211222</v>
      </c>
      <c r="R47" s="5">
        <f>INDEX('Player Data'!$J:$J,AL47)/INDEX('Player Data'!$E:$E,AL47)*M47*L47*AM47</f>
        <v>72.063632346442773</v>
      </c>
      <c r="S47" s="5">
        <f>INDEX('Player Data'!$K:$K,AL47)/INDEX('Player Data'!$E:$E,AL47)*M47*L47*AM47</f>
        <v>113.09986743261159</v>
      </c>
      <c r="T47" s="5">
        <f>INDEX('Player Data'!$L:$L,AL47)/INDEX('Player Data'!$E:$E,AL47)*M47*L47*AM47</f>
        <v>109.09633230225364</v>
      </c>
      <c r="U47" s="7">
        <f>INDEX('Player Data'!$M:$M,AL47)</f>
        <v>0.50600000000000001</v>
      </c>
      <c r="V47" s="7">
        <f>INDEX('Player Data'!$N:$N,AL47)</f>
        <v>0.75900000000000001</v>
      </c>
      <c r="W47" s="5">
        <f t="shared" si="3"/>
        <v>398.52329695095</v>
      </c>
      <c r="X47" s="5">
        <f>INDEX('Player Data'!$O:$O,AL47)/INDEX('Player Data'!$E:$E,AL47)*M47*L47*AM47</f>
        <v>787.59544851966405</v>
      </c>
      <c r="Y47" s="5">
        <f t="shared" si="4"/>
        <v>150.79465201060538</v>
      </c>
      <c r="Z47" s="5">
        <f>INDEX('Player Data'!$P:$P,AL47)/INDEX('Player Data'!$E:$E,AL47)*M47*L47*AM47</f>
        <v>198.67543084401237</v>
      </c>
      <c r="AB47" s="3">
        <f>(N47-Pool!$D$2)/Pool!$E$2</f>
        <v>-0.43985531055716542</v>
      </c>
      <c r="AC47" s="3">
        <f>(O47-Pool!$D$3)/Pool!$E$3</f>
        <v>0.78619758549290109</v>
      </c>
      <c r="AD47" s="3">
        <f>(P47-Pool!$D$4)/Pool!$E$4</f>
        <v>-0.4929089980960138</v>
      </c>
      <c r="AE47" s="3">
        <f>(Q47-Pool!$D$5)/Pool!$E$5</f>
        <v>3.7259448182154764E-2</v>
      </c>
      <c r="AF47" s="3">
        <f>(R47-Pool!$D$6)/Pool!$E$6</f>
        <v>0.62886828680883688</v>
      </c>
      <c r="AG47" s="3">
        <f>(S47-Pool!$D$7)/Pool!$E$7</f>
        <v>-0.14524673772519361</v>
      </c>
      <c r="AH47" s="3">
        <f>(AS47-Pool!$D$8)/Pool!$E$8</f>
        <v>0.37766885311660942</v>
      </c>
      <c r="AI47" s="3">
        <f>(AT47-Pool!$D$9)/Pool!$E$9</f>
        <v>-0.36633707128573967</v>
      </c>
      <c r="AJ47" s="3">
        <f>-(T47-Pool!$D$10)/Pool!$E$10</f>
        <v>0.58476025025495637</v>
      </c>
      <c r="AL47">
        <f>MATCH(B47,'Player Data'!$A:$A,0)</f>
        <v>104</v>
      </c>
      <c r="AM47" s="3">
        <f>1+IF(Settings!$F$10="ON",IFERROR(VLOOKUP(TRIM(F47),Settings!$D$12:$F$17,3,FALSE),0),0)</f>
        <v>1</v>
      </c>
      <c r="AN47" t="str">
        <f t="shared" si="5"/>
        <v>C</v>
      </c>
      <c r="AO47" s="6">
        <f>X47*(U47-Pool!$B$12)</f>
        <v>19.999592620068835</v>
      </c>
      <c r="AP47" s="6">
        <f>Z47*(V47-Pool!$B$13)</f>
        <v>-6.1787378004648961</v>
      </c>
      <c r="AQ47" s="3">
        <f>Settings!$B$2*(N47-Pool!$B$2)/Pool!$C$2+Settings!$B$3*(O47-Pool!$B$3)/Pool!$C$3+Settings!$B$4*(P47-Pool!$B$4)/Pool!$C$4+Settings!$B$5*(Q47-Pool!$B$5)/Pool!$C$5+Settings!$B$6*(R47-Pool!$B$6)/Pool!$C$6+Settings!$B$7*(S47-Pool!$B$7)/Pool!$C$7+Settings!$B$8*(AO47-Pool!$B$8)/Pool!$C$8+Settings!$B$9*(AP47-Pool!$B$9)/Pool!$C$9+Settings!$B$10*-(T47-Pool!$B$10)/Pool!$C$10</f>
        <v>3.1449738263474556</v>
      </c>
      <c r="AR47">
        <f>IF(RANK(AQ47,$AQ$2:$AQ$266)&lt;=Settings!$F$5,1,0)</f>
        <v>1</v>
      </c>
      <c r="AS47" s="6">
        <f>X47*(U47-Pool!$D$12)</f>
        <v>17.269138245840114</v>
      </c>
      <c r="AT47" s="6">
        <f>Z47*(V47-Pool!$D$13)</f>
        <v>-8.1731954582975685</v>
      </c>
    </row>
    <row r="48" spans="1:46" x14ac:dyDescent="0.2">
      <c r="A48">
        <f t="shared" si="0"/>
        <v>47</v>
      </c>
      <c r="B48" t="s">
        <v>89</v>
      </c>
      <c r="C48" t="str">
        <f>INDEX('Player Data'!$C:$C,AL48)</f>
        <v>PF,SF</v>
      </c>
      <c r="D48">
        <f t="shared" si="1"/>
        <v>14</v>
      </c>
      <c r="E48" t="str">
        <f>INDEX('Player Data'!$B:$B,AL48)</f>
        <v>CHI</v>
      </c>
      <c r="F48" s="2"/>
      <c r="G48" s="3">
        <f>Settings!$B$2*AB48+Settings!$B$3*AC48+Settings!$B$4*AD48+Settings!$B$5*AE48+Settings!$B$6*AF48+Settings!$B$7*AG48+Settings!$B$8*AH48+Settings!$B$9*AI48+Settings!$B$10*AJ48</f>
        <v>0.96141749048348435</v>
      </c>
      <c r="H48" s="3">
        <f>G48-LARGE($G$2:$G$266,Settings!$F$4)</f>
        <v>4.1776822569306491</v>
      </c>
      <c r="I48">
        <f>IF(INDEX('Player Data'!$R:$R,AL48)="","",INDEX('Player Data'!$R:$R,AL48))</f>
        <v>91</v>
      </c>
      <c r="J48" s="4">
        <f t="shared" si="2"/>
        <v>44</v>
      </c>
      <c r="L48" s="5">
        <f>IF(Settings!$F$7="Yes",INDEX('Minutes &amp; Health'!$O:$O,AL48),Settings!$F$8)</f>
        <v>75</v>
      </c>
      <c r="M48" s="6">
        <f>INDEX('Minutes &amp; Health'!$P:$P,AL48)</f>
        <v>32.200000000000003</v>
      </c>
      <c r="N48" s="5">
        <f>INDEX('Player Data'!$F:$F,AL48)/INDEX('Player Data'!$E:$E,AL48)*M48*L48*AM48</f>
        <v>1196.5136476426801</v>
      </c>
      <c r="O48" s="5">
        <f>INDEX('Player Data'!$G:$G,AL48)/INDEX('Player Data'!$E:$E,AL48)*M48*L48*AM48</f>
        <v>617.23325062034746</v>
      </c>
      <c r="P48" s="5">
        <f>INDEX('Player Data'!$H:$H,AL48)/INDEX('Player Data'!$E:$E,AL48)*M48*L48*AM48</f>
        <v>159.8014888337469</v>
      </c>
      <c r="Q48" s="5">
        <f>INDEX('Player Data'!$I:$I,AL48)/INDEX('Player Data'!$E:$E,AL48)*M48*L48*AM48</f>
        <v>73.908188585607945</v>
      </c>
      <c r="R48" s="5">
        <f>INDEX('Player Data'!$J:$J,AL48)/INDEX('Player Data'!$E:$E,AL48)*M48*L48*AM48</f>
        <v>110.86228287841192</v>
      </c>
      <c r="S48" s="5">
        <f>INDEX('Player Data'!$K:$K,AL48)/INDEX('Player Data'!$E:$E,AL48)*M48*L48*AM48</f>
        <v>62.921836228287845</v>
      </c>
      <c r="T48" s="5">
        <f>INDEX('Player Data'!$L:$L,AL48)/INDEX('Player Data'!$E:$E,AL48)*M48*L48*AM48</f>
        <v>141.8238213399504</v>
      </c>
      <c r="U48" s="7">
        <f>INDEX('Player Data'!$M:$M,AL48)</f>
        <v>0.505</v>
      </c>
      <c r="V48" s="7">
        <f>INDEX('Player Data'!$N:$N,AL48)</f>
        <v>0.746</v>
      </c>
      <c r="W48" s="5">
        <f t="shared" si="3"/>
        <v>481.22270781637724</v>
      </c>
      <c r="X48" s="5">
        <f>INDEX('Player Data'!$O:$O,AL48)/INDEX('Player Data'!$E:$E,AL48)*M48*L48*AM48</f>
        <v>952.91625310173708</v>
      </c>
      <c r="Y48" s="5">
        <f t="shared" si="4"/>
        <v>171.2181066997519</v>
      </c>
      <c r="Z48" s="5">
        <f>INDEX('Player Data'!$P:$P,AL48)/INDEX('Player Data'!$E:$E,AL48)*M48*L48*AM48</f>
        <v>229.51488833746902</v>
      </c>
      <c r="AB48" s="3">
        <f>(N48-Pool!$D$2)/Pool!$E$2</f>
        <v>-0.10566367155721149</v>
      </c>
      <c r="AC48" s="3">
        <f>(O48-Pool!$D$3)/Pool!$E$3</f>
        <v>1.0931409829295113</v>
      </c>
      <c r="AD48" s="3">
        <f>(P48-Pool!$D$4)/Pool!$E$4</f>
        <v>-0.81336529618875286</v>
      </c>
      <c r="AE48" s="3">
        <f>(Q48-Pool!$D$5)/Pool!$E$5</f>
        <v>-1.3868330502182476E-2</v>
      </c>
      <c r="AF48" s="3">
        <f>(R48-Pool!$D$6)/Pool!$E$6</f>
        <v>1.7517293924486945</v>
      </c>
      <c r="AG48" s="3">
        <f>(S48-Pool!$D$7)/Pool!$E$7</f>
        <v>-0.85196977712779642</v>
      </c>
      <c r="AH48" s="3">
        <f>(AS48-Pool!$D$8)/Pool!$E$8</f>
        <v>0.43610383165306488</v>
      </c>
      <c r="AI48" s="3">
        <f>(AT48-Pool!$D$9)/Pool!$E$9</f>
        <v>-0.55693628094816816</v>
      </c>
      <c r="AJ48" s="3">
        <f>-(T48-Pool!$D$10)/Pool!$E$10</f>
        <v>2.224663977632509E-2</v>
      </c>
      <c r="AL48">
        <f>MATCH(B48,'Player Data'!$A:$A,0)</f>
        <v>86</v>
      </c>
      <c r="AM48" s="3">
        <f>1+IF(Settings!$F$10="ON",IFERROR(VLOOKUP(TRIM(F48),Settings!$D$12:$F$17,3,FALSE),0),0)</f>
        <v>1</v>
      </c>
      <c r="AN48" t="str">
        <f t="shared" si="5"/>
        <v>PF</v>
      </c>
      <c r="AO48" s="6">
        <f>X48*(U48-Pool!$B$12)</f>
        <v>23.244705633741003</v>
      </c>
      <c r="AP48" s="6">
        <f>Z48*(V48-Pool!$B$13)</f>
        <v>-10.121527906242921</v>
      </c>
      <c r="AQ48" s="3">
        <f>Settings!$B$2*(N48-Pool!$B$2)/Pool!$C$2+Settings!$B$3*(O48-Pool!$B$3)/Pool!$C$3+Settings!$B$4*(P48-Pool!$B$4)/Pool!$C$4+Settings!$B$5*(Q48-Pool!$B$5)/Pool!$C$5+Settings!$B$6*(R48-Pool!$B$6)/Pool!$C$6+Settings!$B$7*(S48-Pool!$B$7)/Pool!$C$7+Settings!$B$8*(AO48-Pool!$B$8)/Pool!$C$8+Settings!$B$9*(AP48-Pool!$B$9)/Pool!$C$9+Settings!$B$10*-(T48-Pool!$B$10)/Pool!$C$10</f>
        <v>3.2108739960290551</v>
      </c>
      <c r="AR48">
        <f>IF(RANK(AQ48,$AQ$2:$AQ$266)&lt;=Settings!$F$5,1,0)</f>
        <v>1</v>
      </c>
      <c r="AS48" s="6">
        <f>X48*(U48-Pool!$D$12)</f>
        <v>19.94111321653531</v>
      </c>
      <c r="AT48" s="6">
        <f>Z48*(V48-Pool!$D$13)</f>
        <v>-12.425575893891072</v>
      </c>
    </row>
    <row r="49" spans="1:46" x14ac:dyDescent="0.2">
      <c r="A49">
        <f t="shared" si="0"/>
        <v>48</v>
      </c>
      <c r="B49" t="s">
        <v>90</v>
      </c>
      <c r="C49" t="str">
        <f>INDEX('Player Data'!$C:$C,AL49)</f>
        <v>PG,SG</v>
      </c>
      <c r="D49">
        <f t="shared" si="1"/>
        <v>21</v>
      </c>
      <c r="E49" t="str">
        <f>INDEX('Player Data'!$B:$B,AL49)</f>
        <v>PHI</v>
      </c>
      <c r="F49" s="2"/>
      <c r="G49" s="3">
        <f>Settings!$B$2*AB49+Settings!$B$3*AC49+Settings!$B$4*AD49+Settings!$B$5*AE49+Settings!$B$6*AF49+Settings!$B$7*AG49+Settings!$B$8*AH49+Settings!$B$9*AI49+Settings!$B$10*AJ49</f>
        <v>0.73273570686287925</v>
      </c>
      <c r="H49" s="3">
        <f>G49-LARGE($G$2:$G$266,Settings!$F$4)</f>
        <v>3.9490004733100443</v>
      </c>
      <c r="I49">
        <f>IF(INDEX('Player Data'!$R:$R,AL49)="","",INDEX('Player Data'!$R:$R,AL49))</f>
        <v>68</v>
      </c>
      <c r="J49" s="4">
        <f t="shared" si="2"/>
        <v>20</v>
      </c>
      <c r="L49" s="5">
        <f>IF(Settings!$F$7="Yes",INDEX('Minutes &amp; Health'!$O:$O,AL49),Settings!$F$8)</f>
        <v>75</v>
      </c>
      <c r="M49" s="6">
        <f>INDEX('Minutes &amp; Health'!$P:$P,AL49)</f>
        <v>34.6</v>
      </c>
      <c r="N49" s="5">
        <f>INDEX('Player Data'!$F:$F,AL49)/INDEX('Player Data'!$E:$E,AL49)*M49*L49*AM49</f>
        <v>1152.4441017733229</v>
      </c>
      <c r="O49" s="5">
        <f>INDEX('Player Data'!$G:$G,AL49)/INDEX('Player Data'!$E:$E,AL49)*M49*L49*AM49</f>
        <v>420.16191210485738</v>
      </c>
      <c r="P49" s="5">
        <f>INDEX('Player Data'!$H:$H,AL49)/INDEX('Player Data'!$E:$E,AL49)*M49*L49*AM49</f>
        <v>296.11410948342331</v>
      </c>
      <c r="Q49" s="5">
        <f>INDEX('Player Data'!$I:$I,AL49)/INDEX('Player Data'!$E:$E,AL49)*M49*L49*AM49</f>
        <v>101.03893600616807</v>
      </c>
      <c r="R49" s="5">
        <f>INDEX('Player Data'!$J:$J,AL49)/INDEX('Player Data'!$E:$E,AL49)*M49*L49*AM49</f>
        <v>38.014649190439478</v>
      </c>
      <c r="S49" s="5">
        <f>INDEX('Player Data'!$K:$K,AL49)/INDEX('Player Data'!$E:$E,AL49)*M49*L49*AM49</f>
        <v>142.05474171164227</v>
      </c>
      <c r="T49" s="5">
        <f>INDEX('Player Data'!$L:$L,AL49)/INDEX('Player Data'!$E:$E,AL49)*M49*L49*AM49</f>
        <v>130.05011565150349</v>
      </c>
      <c r="U49" s="7">
        <f>INDEX('Player Data'!$M:$M,AL49)</f>
        <v>0.45600000000000002</v>
      </c>
      <c r="V49" s="7">
        <f>INDEX('Player Data'!$N:$N,AL49)</f>
        <v>0.82</v>
      </c>
      <c r="W49" s="5">
        <f t="shared" si="3"/>
        <v>431.81600308404018</v>
      </c>
      <c r="X49" s="5">
        <f>INDEX('Player Data'!$O:$O,AL49)/INDEX('Player Data'!$E:$E,AL49)*M49*L49*AM49</f>
        <v>946.9649190439477</v>
      </c>
      <c r="Y49" s="5">
        <f t="shared" si="4"/>
        <v>146.67252120277564</v>
      </c>
      <c r="Z49" s="5">
        <f>INDEX('Player Data'!$P:$P,AL49)/INDEX('Player Data'!$E:$E,AL49)*M49*L49*AM49</f>
        <v>178.86892829606788</v>
      </c>
      <c r="AB49" s="3">
        <f>(N49-Pool!$D$2)/Pool!$E$2</f>
        <v>-0.21429339010424736</v>
      </c>
      <c r="AC49" s="3">
        <f>(O49-Pool!$D$3)/Pool!$E$3</f>
        <v>-5.3914649164230811E-2</v>
      </c>
      <c r="AD49" s="3">
        <f>(P49-Pool!$D$4)/Pool!$E$4</f>
        <v>0.10856161739031293</v>
      </c>
      <c r="AE49" s="3">
        <f>(Q49-Pool!$D$5)/Pool!$E$5</f>
        <v>1.1839044943325658</v>
      </c>
      <c r="AF49" s="3">
        <f>(R49-Pool!$D$6)/Pool!$E$6</f>
        <v>-0.35653399776186712</v>
      </c>
      <c r="AG49" s="3">
        <f>(S49-Pool!$D$7)/Pool!$E$7</f>
        <v>0.26256274114159661</v>
      </c>
      <c r="AH49" s="3">
        <f>(AS49-Pool!$D$8)/Pool!$E$8</f>
        <v>-0.58139647635621949</v>
      </c>
      <c r="AI49" s="3">
        <f>(AT49-Pool!$D$9)/Pool!$E$9</f>
        <v>0.15923460221263167</v>
      </c>
      <c r="AJ49" s="3">
        <f>-(T49-Pool!$D$10)/Pool!$E$10</f>
        <v>0.22461076517233697</v>
      </c>
      <c r="AL49">
        <f>MATCH(B49,'Player Data'!$A:$A,0)</f>
        <v>91</v>
      </c>
      <c r="AM49" s="3">
        <f>1+IF(Settings!$F$10="ON",IFERROR(VLOOKUP(TRIM(F49),Settings!$D$12:$F$17,3,FALSE),0),0)</f>
        <v>1</v>
      </c>
      <c r="AN49" t="str">
        <f t="shared" si="5"/>
        <v>PG</v>
      </c>
      <c r="AO49" s="6">
        <f>X49*(U49-Pool!$B$12)</f>
        <v>-23.301747661771351</v>
      </c>
      <c r="AP49" s="6">
        <f>Z49*(V49-Pool!$B$13)</f>
        <v>5.3482422658804172</v>
      </c>
      <c r="AQ49" s="3">
        <f>Settings!$B$2*(N49-Pool!$B$2)/Pool!$C$2+Settings!$B$3*(O49-Pool!$B$3)/Pool!$C$3+Settings!$B$4*(P49-Pool!$B$4)/Pool!$C$4+Settings!$B$5*(Q49-Pool!$B$5)/Pool!$C$5+Settings!$B$6*(R49-Pool!$B$6)/Pool!$C$6+Settings!$B$7*(S49-Pool!$B$7)/Pool!$C$7+Settings!$B$8*(AO49-Pool!$B$8)/Pool!$C$8+Settings!$B$9*(AP49-Pool!$B$9)/Pool!$C$9+Settings!$B$10*-(T49-Pool!$B$10)/Pool!$C$10</f>
        <v>2.6114025983662592</v>
      </c>
      <c r="AR49">
        <f>IF(RANK(AQ49,$AQ$2:$AQ$266)&lt;=Settings!$F$5,1,0)</f>
        <v>1</v>
      </c>
      <c r="AS49" s="6">
        <f>X49*(U49-Pool!$D$12)</f>
        <v>-26.584707854475074</v>
      </c>
      <c r="AT49" s="6">
        <f>Z49*(V49-Pool!$D$13)</f>
        <v>3.5526176017088762</v>
      </c>
    </row>
    <row r="50" spans="1:46" x14ac:dyDescent="0.2">
      <c r="A50">
        <f t="shared" si="0"/>
        <v>49</v>
      </c>
      <c r="B50" t="s">
        <v>91</v>
      </c>
      <c r="C50" t="str">
        <f>INDEX('Player Data'!$C:$C,AL50)</f>
        <v>SF,SG</v>
      </c>
      <c r="D50">
        <f t="shared" si="1"/>
        <v>4</v>
      </c>
      <c r="E50" t="str">
        <f>INDEX('Player Data'!$B:$B,AL50)</f>
        <v>CHA</v>
      </c>
      <c r="F50" s="2"/>
      <c r="G50" s="3">
        <f>Settings!$B$2*AB50+Settings!$B$3*AC50+Settings!$B$4*AD50+Settings!$B$5*AE50+Settings!$B$6*AF50+Settings!$B$7*AG50+Settings!$B$8*AH50+Settings!$B$9*AI50+Settings!$B$10*AJ50</f>
        <v>0.70894660850531666</v>
      </c>
      <c r="H50" s="3">
        <f>G50-LARGE($G$2:$G$266,Settings!$F$4)</f>
        <v>3.9252113749524815</v>
      </c>
      <c r="I50">
        <f>IF(INDEX('Player Data'!$R:$R,AL50)="","",INDEX('Player Data'!$R:$R,AL50))</f>
        <v>39</v>
      </c>
      <c r="J50" s="4">
        <f t="shared" si="2"/>
        <v>-10</v>
      </c>
      <c r="L50" s="5">
        <f>IF(Settings!$F$7="Yes",INDEX('Minutes &amp; Health'!$O:$O,AL50),Settings!$F$8)</f>
        <v>78</v>
      </c>
      <c r="M50" s="6">
        <f>INDEX('Minutes &amp; Health'!$P:$P,AL50)</f>
        <v>32.9</v>
      </c>
      <c r="N50" s="5">
        <f>INDEX('Player Data'!$F:$F,AL50)/INDEX('Player Data'!$E:$E,AL50)*M50*L50*AM50</f>
        <v>1446.4217983651224</v>
      </c>
      <c r="O50" s="5">
        <f>INDEX('Player Data'!$G:$G,AL50)/INDEX('Player Data'!$E:$E,AL50)*M50*L50*AM50</f>
        <v>408.55422343324256</v>
      </c>
      <c r="P50" s="5">
        <f>INDEX('Player Data'!$H:$H,AL50)/INDEX('Player Data'!$E:$E,AL50)*M50*L50*AM50</f>
        <v>264.71117166212531</v>
      </c>
      <c r="Q50" s="5">
        <f>INDEX('Player Data'!$I:$I,AL50)/INDEX('Player Data'!$E:$E,AL50)*M50*L50*AM50</f>
        <v>55.93896457765667</v>
      </c>
      <c r="R50" s="5">
        <f>INDEX('Player Data'!$J:$J,AL50)/INDEX('Player Data'!$E:$E,AL50)*M50*L50*AM50</f>
        <v>18.979291553133518</v>
      </c>
      <c r="S50" s="5">
        <f>INDEX('Player Data'!$K:$K,AL50)/INDEX('Player Data'!$E:$E,AL50)*M50*L50*AM50</f>
        <v>268.7068119891008</v>
      </c>
      <c r="T50" s="5">
        <f>INDEX('Player Data'!$L:$L,AL50)/INDEX('Player Data'!$E:$E,AL50)*M50*L50*AM50</f>
        <v>156.82888283378747</v>
      </c>
      <c r="U50" s="7">
        <f>INDEX('Player Data'!$M:$M,AL50)</f>
        <v>0.46899999999999997</v>
      </c>
      <c r="V50" s="7">
        <f>INDEX('Player Data'!$N:$N,AL50)</f>
        <v>0.86699999999999999</v>
      </c>
      <c r="W50" s="5">
        <f t="shared" si="3"/>
        <v>491.49162980926428</v>
      </c>
      <c r="X50" s="5">
        <f>INDEX('Player Data'!$O:$O,AL50)/INDEX('Player Data'!$E:$E,AL50)*M50*L50*AM50</f>
        <v>1047.9565667574932</v>
      </c>
      <c r="Y50" s="5">
        <f t="shared" si="4"/>
        <v>194.7757786920981</v>
      </c>
      <c r="Z50" s="5">
        <f>INDEX('Player Data'!$P:$P,AL50)/INDEX('Player Data'!$E:$E,AL50)*M50*L50*AM50</f>
        <v>224.6548773841962</v>
      </c>
      <c r="AB50" s="3">
        <f>(N50-Pool!$D$2)/Pool!$E$2</f>
        <v>0.51035021150087412</v>
      </c>
      <c r="AC50" s="3">
        <f>(O50-Pool!$D$3)/Pool!$E$3</f>
        <v>-0.12147731335814128</v>
      </c>
      <c r="AD50" s="3">
        <f>(P50-Pool!$D$4)/Pool!$E$4</f>
        <v>-0.10382673964457401</v>
      </c>
      <c r="AE50" s="3">
        <f>(Q50-Pool!$D$5)/Pool!$E$5</f>
        <v>-0.80717667053639985</v>
      </c>
      <c r="AF50" s="3">
        <f>(R50-Pool!$D$6)/Pool!$E$6</f>
        <v>-0.90743106324778577</v>
      </c>
      <c r="AG50" s="3">
        <f>(S50-Pool!$D$7)/Pool!$E$7</f>
        <v>2.0463699951297687</v>
      </c>
      <c r="AH50" s="3">
        <f>(AS50-Pool!$D$8)/Pool!$E$8</f>
        <v>-0.3454622326159757</v>
      </c>
      <c r="AI50" s="3">
        <f>(AT50-Pool!$D$9)/Pool!$E$9</f>
        <v>0.67325781155467779</v>
      </c>
      <c r="AJ50" s="3">
        <f>-(T50-Pool!$D$10)/Pool!$E$10</f>
        <v>-0.23565739027712729</v>
      </c>
      <c r="AL50">
        <f>MATCH(B50,'Player Data'!$A:$A,0)</f>
        <v>65</v>
      </c>
      <c r="AM50" s="3">
        <f>1+IF(Settings!$F$10="ON",IFERROR(VLOOKUP(TRIM(F50),Settings!$D$12:$F$17,3,FALSE),0),0)</f>
        <v>1</v>
      </c>
      <c r="AN50" t="str">
        <f t="shared" si="5"/>
        <v>SF</v>
      </c>
      <c r="AO50" s="6">
        <f>X50*(U50-Pool!$B$12)</f>
        <v>-12.16339050922198</v>
      </c>
      <c r="AP50" s="6">
        <f>Z50*(V50-Pool!$B$13)</f>
        <v>17.276037074447391</v>
      </c>
      <c r="AQ50" s="3">
        <f>Settings!$B$2*(N50-Pool!$B$2)/Pool!$C$2+Settings!$B$3*(O50-Pool!$B$3)/Pool!$C$3+Settings!$B$4*(P50-Pool!$B$4)/Pool!$C$4+Settings!$B$5*(Q50-Pool!$B$5)/Pool!$C$5+Settings!$B$6*(R50-Pool!$B$6)/Pool!$C$6+Settings!$B$7*(S50-Pool!$B$7)/Pool!$C$7+Settings!$B$8*(AO50-Pool!$B$8)/Pool!$C$8+Settings!$B$9*(AP50-Pool!$B$9)/Pool!$C$9+Settings!$B$10*-(T50-Pool!$B$10)/Pool!$C$10</f>
        <v>2.9031850595218942</v>
      </c>
      <c r="AR50">
        <f>IF(RANK(AQ50,$AQ$2:$AQ$266)&lt;=Settings!$F$5,1,0)</f>
        <v>1</v>
      </c>
      <c r="AS50" s="6">
        <f>X50*(U50-Pool!$D$12)</f>
        <v>-15.796470915010115</v>
      </c>
      <c r="AT50" s="6">
        <f>Z50*(V50-Pool!$D$13)</f>
        <v>15.02077763615196</v>
      </c>
    </row>
    <row r="51" spans="1:46" x14ac:dyDescent="0.2">
      <c r="A51">
        <f t="shared" si="0"/>
        <v>50</v>
      </c>
      <c r="B51" t="s">
        <v>92</v>
      </c>
      <c r="C51" t="str">
        <f>INDEX('Player Data'!$C:$C,AL51)</f>
        <v>PF,SF</v>
      </c>
      <c r="D51">
        <f t="shared" si="1"/>
        <v>15</v>
      </c>
      <c r="E51" t="str">
        <f>INDEX('Player Data'!$B:$B,AL51)</f>
        <v>MIN</v>
      </c>
      <c r="F51" s="2"/>
      <c r="G51" s="3">
        <f>Settings!$B$2*AB51+Settings!$B$3*AC51+Settings!$B$4*AD51+Settings!$B$5*AE51+Settings!$B$6*AF51+Settings!$B$7*AG51+Settings!$B$8*AH51+Settings!$B$9*AI51+Settings!$B$10*AJ51</f>
        <v>0.66500334501321412</v>
      </c>
      <c r="H51" s="3">
        <f>G51-LARGE($G$2:$G$266,Settings!$F$4)</f>
        <v>3.8812681114603791</v>
      </c>
      <c r="I51">
        <f>IF(INDEX('Player Data'!$R:$R,AL51)="","",INDEX('Player Data'!$R:$R,AL51))</f>
        <v>84</v>
      </c>
      <c r="J51" s="4">
        <f t="shared" si="2"/>
        <v>34</v>
      </c>
      <c r="L51" s="5">
        <f>IF(Settings!$F$7="Yes",INDEX('Minutes &amp; Health'!$O:$O,AL51),Settings!$F$8)</f>
        <v>76</v>
      </c>
      <c r="M51" s="6">
        <f>INDEX('Minutes &amp; Health'!$P:$P,AL51)</f>
        <v>31.8</v>
      </c>
      <c r="N51" s="5">
        <f>INDEX('Player Data'!$F:$F,AL51)/INDEX('Player Data'!$E:$E,AL51)*M51*L51*AM51</f>
        <v>1056.6614173228345</v>
      </c>
      <c r="O51" s="5">
        <f>INDEX('Player Data'!$G:$G,AL51)/INDEX('Player Data'!$E:$E,AL51)*M51*L51*AM51</f>
        <v>361.5685039370079</v>
      </c>
      <c r="P51" s="5">
        <f>INDEX('Player Data'!$H:$H,AL51)/INDEX('Player Data'!$E:$E,AL51)*M51*L51*AM51</f>
        <v>186.29291338582678</v>
      </c>
      <c r="Q51" s="5">
        <f>INDEX('Player Data'!$I:$I,AL51)/INDEX('Player Data'!$E:$E,AL51)*M51*L51*AM51</f>
        <v>94.148031496062984</v>
      </c>
      <c r="R51" s="5">
        <f>INDEX('Player Data'!$J:$J,AL51)/INDEX('Player Data'!$E:$E,AL51)*M51*L51*AM51</f>
        <v>73.114960629921256</v>
      </c>
      <c r="S51" s="5">
        <f>INDEX('Player Data'!$K:$K,AL51)/INDEX('Player Data'!$E:$E,AL51)*M51*L51*AM51</f>
        <v>100.15748031496064</v>
      </c>
      <c r="T51" s="5">
        <f>INDEX('Player Data'!$L:$L,AL51)/INDEX('Player Data'!$E:$E,AL51)*M51*L51*AM51</f>
        <v>118.18582677165355</v>
      </c>
      <c r="U51" s="7">
        <f>INDEX('Player Data'!$M:$M,AL51)</f>
        <v>0.499</v>
      </c>
      <c r="V51" s="7">
        <f>INDEX('Player Data'!$N:$N,AL51)</f>
        <v>0.83</v>
      </c>
      <c r="W51" s="5">
        <f t="shared" si="3"/>
        <v>403.67701228346459</v>
      </c>
      <c r="X51" s="5">
        <f>INDEX('Player Data'!$O:$O,AL51)/INDEX('Player Data'!$E:$E,AL51)*M51*L51*AM51</f>
        <v>808.97196850393709</v>
      </c>
      <c r="Y51" s="5">
        <f t="shared" si="4"/>
        <v>149.13649133858269</v>
      </c>
      <c r="Z51" s="5">
        <f>INDEX('Player Data'!$P:$P,AL51)/INDEX('Player Data'!$E:$E,AL51)*M51*L51*AM51</f>
        <v>179.68251968503938</v>
      </c>
      <c r="AB51" s="3">
        <f>(N51-Pool!$D$2)/Pool!$E$2</f>
        <v>-0.4503939862933018</v>
      </c>
      <c r="AC51" s="3">
        <f>(O51-Pool!$D$3)/Pool!$E$3</f>
        <v>-0.39495814817723629</v>
      </c>
      <c r="AD51" s="3">
        <f>(P51-Pool!$D$4)/Pool!$E$4</f>
        <v>-0.63419511255345162</v>
      </c>
      <c r="AE51" s="3">
        <f>(Q51-Pool!$D$5)/Pool!$E$5</f>
        <v>0.87968367679326509</v>
      </c>
      <c r="AF51" s="3">
        <f>(R51-Pool!$D$6)/Pool!$E$6</f>
        <v>0.65929449036466425</v>
      </c>
      <c r="AG51" s="3">
        <f>(S51-Pool!$D$7)/Pool!$E$7</f>
        <v>-0.32753135394830324</v>
      </c>
      <c r="AH51" s="3">
        <f>(AS51-Pool!$D$8)/Pool!$E$8</f>
        <v>0.26407619382341124</v>
      </c>
      <c r="AI51" s="3">
        <f>(AT51-Pool!$D$9)/Pool!$E$9</f>
        <v>0.24049576845270609</v>
      </c>
      <c r="AJ51" s="3">
        <f>-(T51-Pool!$D$10)/Pool!$E$10</f>
        <v>0.42853181655146055</v>
      </c>
      <c r="AL51">
        <f>MATCH(B51,'Player Data'!$A:$A,0)</f>
        <v>112</v>
      </c>
      <c r="AM51" s="3">
        <f>1+IF(Settings!$F$10="ON",IFERROR(VLOOKUP(TRIM(F51),Settings!$D$12:$F$17,3,FALSE),0),0)</f>
        <v>1</v>
      </c>
      <c r="AN51" t="str">
        <f t="shared" si="5"/>
        <v>PF</v>
      </c>
      <c r="AO51" s="6">
        <f>X51*(U51-Pool!$B$12)</f>
        <v>14.879607735855833</v>
      </c>
      <c r="AP51" s="6">
        <f>Z51*(V51-Pool!$B$13)</f>
        <v>7.1693941241308936</v>
      </c>
      <c r="AQ51" s="3">
        <f>Settings!$B$2*(N51-Pool!$B$2)/Pool!$C$2+Settings!$B$3*(O51-Pool!$B$3)/Pool!$C$3+Settings!$B$4*(P51-Pool!$B$4)/Pool!$C$4+Settings!$B$5*(Q51-Pool!$B$5)/Pool!$C$5+Settings!$B$6*(R51-Pool!$B$6)/Pool!$C$6+Settings!$B$7*(S51-Pool!$B$7)/Pool!$C$7+Settings!$B$8*(AO51-Pool!$B$8)/Pool!$C$8+Settings!$B$9*(AP51-Pool!$B$9)/Pool!$C$9+Settings!$B$10*-(T51-Pool!$B$10)/Pool!$C$10</f>
        <v>2.8139519493414253</v>
      </c>
      <c r="AR51">
        <f>IF(RANK(AQ51,$AQ$2:$AQ$266)&lt;=Settings!$F$5,1,0)</f>
        <v>1</v>
      </c>
      <c r="AS51" s="6">
        <f>X51*(U51-Pool!$D$12)</f>
        <v>12.075044740752588</v>
      </c>
      <c r="AT51" s="6">
        <f>Z51*(V51-Pool!$D$13)</f>
        <v>5.3656020002528981</v>
      </c>
    </row>
    <row r="52" spans="1:46" x14ac:dyDescent="0.2">
      <c r="A52">
        <f t="shared" si="0"/>
        <v>51</v>
      </c>
      <c r="B52" t="s">
        <v>93</v>
      </c>
      <c r="C52" t="str">
        <f>INDEX('Player Data'!$C:$C,AL52)</f>
        <v>PF,C</v>
      </c>
      <c r="D52">
        <f t="shared" si="1"/>
        <v>16</v>
      </c>
      <c r="E52" t="str">
        <f>INDEX('Player Data'!$B:$B,AL52)</f>
        <v>DET</v>
      </c>
      <c r="F52" s="2"/>
      <c r="G52" s="3">
        <f>Settings!$B$2*AB52+Settings!$B$3*AC52+Settings!$B$4*AD52+Settings!$B$5*AE52+Settings!$B$6*AF52+Settings!$B$7*AG52+Settings!$B$8*AH52+Settings!$B$9*AI52+Settings!$B$10*AJ52</f>
        <v>0.62874592501407145</v>
      </c>
      <c r="H52" s="3">
        <f>G52-LARGE($G$2:$G$266,Settings!$F$4)</f>
        <v>3.8450106914612365</v>
      </c>
      <c r="I52">
        <f>IF(INDEX('Player Data'!$R:$R,AL52)="","",INDEX('Player Data'!$R:$R,AL52))</f>
        <v>167</v>
      </c>
      <c r="J52" s="4">
        <f t="shared" si="2"/>
        <v>116</v>
      </c>
      <c r="L52" s="5">
        <f>IF(Settings!$F$7="Yes",INDEX('Minutes &amp; Health'!$O:$O,AL52),Settings!$F$8)</f>
        <v>73</v>
      </c>
      <c r="M52" s="6">
        <f>INDEX('Minutes &amp; Health'!$P:$P,AL52)</f>
        <v>29.5</v>
      </c>
      <c r="N52" s="5">
        <f>INDEX('Player Data'!$F:$F,AL52)/INDEX('Player Data'!$E:$E,AL52)*M52*L52*AM52</f>
        <v>1175.6352040816328</v>
      </c>
      <c r="O52" s="5">
        <f>INDEX('Player Data'!$G:$G,AL52)/INDEX('Player Data'!$E:$E,AL52)*M52*L52*AM52</f>
        <v>528.38659554730987</v>
      </c>
      <c r="P52" s="5">
        <f>INDEX('Player Data'!$H:$H,AL52)/INDEX('Player Data'!$E:$E,AL52)*M52*L52*AM52</f>
        <v>99.884044526901661</v>
      </c>
      <c r="Q52" s="5">
        <f>INDEX('Player Data'!$I:$I,AL52)/INDEX('Player Data'!$E:$E,AL52)*M52*L52*AM52</f>
        <v>67.92115027829314</v>
      </c>
      <c r="R52" s="5">
        <f>INDEX('Player Data'!$J:$J,AL52)/INDEX('Player Data'!$E:$E,AL52)*M52*L52*AM52</f>
        <v>72.915352504638221</v>
      </c>
      <c r="S52" s="5">
        <f>INDEX('Player Data'!$K:$K,AL52)/INDEX('Player Data'!$E:$E,AL52)*M52*L52*AM52</f>
        <v>97.88636363636364</v>
      </c>
      <c r="T52" s="5">
        <f>INDEX('Player Data'!$L:$L,AL52)/INDEX('Player Data'!$E:$E,AL52)*M52*L52*AM52</f>
        <v>122.85737476808906</v>
      </c>
      <c r="U52" s="7">
        <f>INDEX('Player Data'!$M:$M,AL52)</f>
        <v>0.54</v>
      </c>
      <c r="V52" s="7">
        <f>INDEX('Player Data'!$N:$N,AL52)</f>
        <v>0.80300000000000005</v>
      </c>
      <c r="W52" s="5">
        <f t="shared" si="3"/>
        <v>458.62957653061221</v>
      </c>
      <c r="X52" s="5">
        <f>INDEX('Player Data'!$O:$O,AL52)/INDEX('Player Data'!$E:$E,AL52)*M52*L52*AM52</f>
        <v>849.31403061224478</v>
      </c>
      <c r="Y52" s="5">
        <f t="shared" si="4"/>
        <v>160.49398239795917</v>
      </c>
      <c r="Z52" s="5">
        <f>INDEX('Player Data'!$P:$P,AL52)/INDEX('Player Data'!$E:$E,AL52)*M52*L52*AM52</f>
        <v>199.86797309833022</v>
      </c>
      <c r="AB52" s="3">
        <f>(N52-Pool!$D$2)/Pool!$E$2</f>
        <v>-0.15712822384600111</v>
      </c>
      <c r="AC52" s="3">
        <f>(O52-Pool!$D$3)/Pool!$E$3</f>
        <v>0.57600816766623353</v>
      </c>
      <c r="AD52" s="3">
        <f>(P52-Pool!$D$4)/Pool!$E$4</f>
        <v>-1.2186066027976323</v>
      </c>
      <c r="AE52" s="3">
        <f>(Q52-Pool!$D$5)/Pool!$E$5</f>
        <v>-0.27818511008017222</v>
      </c>
      <c r="AF52" s="3">
        <f>(R52-Pool!$D$6)/Pool!$E$6</f>
        <v>0.65351768634759333</v>
      </c>
      <c r="AG52" s="3">
        <f>(S52-Pool!$D$7)/Pool!$E$7</f>
        <v>-0.35951846949295835</v>
      </c>
      <c r="AH52" s="3">
        <f>(AS52-Pool!$D$8)/Pool!$E$8</f>
        <v>1.038785119350671</v>
      </c>
      <c r="AI52" s="3">
        <f>(AT52-Pool!$D$9)/Pool!$E$9</f>
        <v>2.5635184587428198E-2</v>
      </c>
      <c r="AJ52" s="3">
        <f>-(T52-Pool!$D$10)/Pool!$E$10</f>
        <v>0.34823817327890932</v>
      </c>
      <c r="AL52">
        <f>MATCH(B52,'Player Data'!$A:$A,0)</f>
        <v>85</v>
      </c>
      <c r="AM52" s="3">
        <f>1+IF(Settings!$F$10="ON",IFERROR(VLOOKUP(TRIM(F52),Settings!$D$12:$F$17,3,FALSE),0),0)</f>
        <v>1</v>
      </c>
      <c r="AN52" t="str">
        <f t="shared" si="5"/>
        <v>PF</v>
      </c>
      <c r="AO52" s="6">
        <f>X52*(U52-Pool!$B$12)</f>
        <v>50.443503830737136</v>
      </c>
      <c r="AP52" s="6">
        <f>Z52*(V52-Pool!$B$13)</f>
        <v>2.5783653605129011</v>
      </c>
      <c r="AQ52" s="3">
        <f>Settings!$B$2*(N52-Pool!$B$2)/Pool!$C$2+Settings!$B$3*(O52-Pool!$B$3)/Pool!$C$3+Settings!$B$4*(P52-Pool!$B$4)/Pool!$C$4+Settings!$B$5*(Q52-Pool!$B$5)/Pool!$C$5+Settings!$B$6*(R52-Pool!$B$6)/Pool!$C$6+Settings!$B$7*(S52-Pool!$B$7)/Pool!$C$7+Settings!$B$8*(AO52-Pool!$B$8)/Pool!$C$8+Settings!$B$9*(AP52-Pool!$B$9)/Pool!$C$9+Settings!$B$10*-(T52-Pool!$B$10)/Pool!$C$10</f>
        <v>2.9776456014009245</v>
      </c>
      <c r="AR52">
        <f>IF(RANK(AQ52,$AQ$2:$AQ$266)&lt;=Settings!$F$5,1,0)</f>
        <v>1</v>
      </c>
      <c r="AS52" s="6">
        <f>X52*(U52-Pool!$D$12)</f>
        <v>47.499082028480963</v>
      </c>
      <c r="AT52" s="6">
        <f>Z52*(V52-Pool!$D$13)</f>
        <v>0.57193604105448426</v>
      </c>
    </row>
    <row r="53" spans="1:46" x14ac:dyDescent="0.2">
      <c r="A53">
        <f t="shared" si="0"/>
        <v>52</v>
      </c>
      <c r="B53" t="s">
        <v>94</v>
      </c>
      <c r="C53" t="str">
        <f>INDEX('Player Data'!$C:$C,AL53)</f>
        <v>PF,SF,SG</v>
      </c>
      <c r="D53">
        <f t="shared" si="1"/>
        <v>17</v>
      </c>
      <c r="E53" t="str">
        <f>INDEX('Player Data'!$B:$B,AL53)</f>
        <v>CHA</v>
      </c>
      <c r="F53" s="2"/>
      <c r="G53" s="3">
        <f>Settings!$B$2*AB53+Settings!$B$3*AC53+Settings!$B$4*AD53+Settings!$B$5*AE53+Settings!$B$6*AF53+Settings!$B$7*AG53+Settings!$B$8*AH53+Settings!$B$9*AI53+Settings!$B$10*AJ53</f>
        <v>0.60378603914104423</v>
      </c>
      <c r="H53" s="3">
        <f>G53-LARGE($G$2:$G$266,Settings!$F$4)</f>
        <v>3.8200508055882092</v>
      </c>
      <c r="I53">
        <f>IF(INDEX('Player Data'!$R:$R,AL53)="","",INDEX('Player Data'!$R:$R,AL53))</f>
        <v>51</v>
      </c>
      <c r="J53" s="4">
        <f t="shared" si="2"/>
        <v>-1</v>
      </c>
      <c r="L53" s="5">
        <f>IF(Settings!$F$7="Yes",INDEX('Minutes &amp; Health'!$O:$O,AL53),Settings!$F$8)</f>
        <v>73</v>
      </c>
      <c r="M53" s="6">
        <f>INDEX('Minutes &amp; Health'!$P:$P,AL53)</f>
        <v>32.799999999999997</v>
      </c>
      <c r="N53" s="5">
        <f>INDEX('Player Data'!$F:$F,AL53)/INDEX('Player Data'!$E:$E,AL53)*M53*L53*AM53</f>
        <v>1524.3447642886943</v>
      </c>
      <c r="O53" s="5">
        <f>INDEX('Player Data'!$G:$G,AL53)/INDEX('Player Data'!$E:$E,AL53)*M53*L53*AM53</f>
        <v>355.61385064664159</v>
      </c>
      <c r="P53" s="5">
        <f>INDEX('Player Data'!$H:$H,AL53)/INDEX('Player Data'!$E:$E,AL53)*M53*L53*AM53</f>
        <v>251.7266583229036</v>
      </c>
      <c r="Q53" s="5">
        <f>INDEX('Player Data'!$I:$I,AL53)/INDEX('Player Data'!$E:$E,AL53)*M53*L53*AM53</f>
        <v>72.920817688777632</v>
      </c>
      <c r="R53" s="5">
        <f>INDEX('Player Data'!$J:$J,AL53)/INDEX('Player Data'!$E:$E,AL53)*M53*L53*AM53</f>
        <v>48.946850229453489</v>
      </c>
      <c r="S53" s="5">
        <f>INDEX('Player Data'!$K:$K,AL53)/INDEX('Player Data'!$E:$E,AL53)*M53*L53*AM53</f>
        <v>251.7266583229036</v>
      </c>
      <c r="T53" s="5">
        <f>INDEX('Player Data'!$L:$L,AL53)/INDEX('Player Data'!$E:$E,AL53)*M53*L53*AM53</f>
        <v>189.79390905298285</v>
      </c>
      <c r="U53" s="7">
        <f>INDEX('Player Data'!$M:$M,AL53)</f>
        <v>0.432</v>
      </c>
      <c r="V53" s="7">
        <f>INDEX('Player Data'!$N:$N,AL53)</f>
        <v>0.88400000000000001</v>
      </c>
      <c r="W53" s="5">
        <f t="shared" si="3"/>
        <v>520.25427304130153</v>
      </c>
      <c r="X53" s="5">
        <f>INDEX('Player Data'!$O:$O,AL53)/INDEX('Player Data'!$E:$E,AL53)*M53*L53*AM53</f>
        <v>1204.2922987067166</v>
      </c>
      <c r="Y53" s="5">
        <f t="shared" si="4"/>
        <v>232.06321021276594</v>
      </c>
      <c r="Z53" s="5">
        <f>INDEX('Player Data'!$P:$P,AL53)/INDEX('Player Data'!$E:$E,AL53)*M53*L53*AM53</f>
        <v>262.51494367959947</v>
      </c>
      <c r="AB53" s="3">
        <f>(N53-Pool!$D$2)/Pool!$E$2</f>
        <v>0.70242729533834714</v>
      </c>
      <c r="AC53" s="3">
        <f>(O53-Pool!$D$3)/Pool!$E$3</f>
        <v>-0.42961726525297145</v>
      </c>
      <c r="AD53" s="3">
        <f>(P53-Pool!$D$4)/Pool!$E$4</f>
        <v>-0.1916452574758743</v>
      </c>
      <c r="AE53" s="3">
        <f>(Q53-Pool!$D$5)/Pool!$E$5</f>
        <v>-5.7458947816316434E-2</v>
      </c>
      <c r="AF53" s="3">
        <f>(R53-Pool!$D$6)/Pool!$E$6</f>
        <v>-4.014816533117755E-2</v>
      </c>
      <c r="AG53" s="3">
        <f>(S53-Pool!$D$7)/Pool!$E$7</f>
        <v>1.8072162156673313</v>
      </c>
      <c r="AH53" s="3">
        <f>(AS53-Pool!$D$8)/Pool!$E$8</f>
        <v>-1.3714815129829492</v>
      </c>
      <c r="AI53" s="3">
        <f>(AT53-Pool!$D$9)/Pool!$E$9</f>
        <v>0.98674741985854741</v>
      </c>
      <c r="AJ53" s="3">
        <f>-(T53-Pool!$D$10)/Pool!$E$10</f>
        <v>-0.80225374286389284</v>
      </c>
      <c r="AL53">
        <f>MATCH(B53,'Player Data'!$A:$A,0)</f>
        <v>39</v>
      </c>
      <c r="AM53" s="3">
        <f>1+IF(Settings!$F$10="ON",IFERROR(VLOOKUP(TRIM(F53),Settings!$D$12:$F$17,3,FALSE),0),0)</f>
        <v>1</v>
      </c>
      <c r="AN53" t="str">
        <f t="shared" si="5"/>
        <v>PF</v>
      </c>
      <c r="AO53" s="6">
        <f>X53*(U53-Pool!$B$12)</f>
        <v>-58.536758395489493</v>
      </c>
      <c r="AP53" s="6">
        <f>Z53*(V53-Pool!$B$13)</f>
        <v>24.650243192184579</v>
      </c>
      <c r="AQ53" s="3">
        <f>Settings!$B$2*(N53-Pool!$B$2)/Pool!$C$2+Settings!$B$3*(O53-Pool!$B$3)/Pool!$C$3+Settings!$B$4*(P53-Pool!$B$4)/Pool!$C$4+Settings!$B$5*(Q53-Pool!$B$5)/Pool!$C$5+Settings!$B$6*(R53-Pool!$B$6)/Pool!$C$6+Settings!$B$7*(S53-Pool!$B$7)/Pool!$C$7+Settings!$B$8*(AO53-Pool!$B$8)/Pool!$C$8+Settings!$B$9*(AP53-Pool!$B$9)/Pool!$C$9+Settings!$B$10*-(T53-Pool!$B$10)/Pool!$C$10</f>
        <v>2.6989178477713267</v>
      </c>
      <c r="AR53">
        <f>IF(RANK(AQ53,$AQ$2:$AQ$266)&lt;=Settings!$F$5,1,0)</f>
        <v>1</v>
      </c>
      <c r="AS53" s="6">
        <f>X53*(U53-Pool!$D$12)</f>
        <v>-62.711827183703313</v>
      </c>
      <c r="AT53" s="6">
        <f>Z53*(V53-Pool!$D$13)</f>
        <v>22.01491512221115</v>
      </c>
    </row>
    <row r="54" spans="1:46" x14ac:dyDescent="0.2">
      <c r="A54">
        <f t="shared" si="0"/>
        <v>53</v>
      </c>
      <c r="B54" t="s">
        <v>95</v>
      </c>
      <c r="C54" t="str">
        <f>INDEX('Player Data'!$C:$C,AL54)</f>
        <v>PG,SG</v>
      </c>
      <c r="D54">
        <f t="shared" si="1"/>
        <v>22</v>
      </c>
      <c r="E54" t="str">
        <f>INDEX('Player Data'!$B:$B,AL54)</f>
        <v>MIL</v>
      </c>
      <c r="F54" s="2"/>
      <c r="G54" s="3">
        <f>Settings!$B$2*AB54+Settings!$B$3*AC54+Settings!$B$4*AD54+Settings!$B$5*AE54+Settings!$B$6*AF54+Settings!$B$7*AG54+Settings!$B$8*AH54+Settings!$B$9*AI54+Settings!$B$10*AJ54</f>
        <v>0.56013292020568584</v>
      </c>
      <c r="H54" s="3">
        <f>G54-LARGE($G$2:$G$266,Settings!$F$4)</f>
        <v>3.7763976866528508</v>
      </c>
      <c r="I54">
        <f>IF(INDEX('Player Data'!$R:$R,AL54)="","",INDEX('Player Data'!$R:$R,AL54))</f>
        <v>63</v>
      </c>
      <c r="J54" s="4">
        <f t="shared" si="2"/>
        <v>10</v>
      </c>
      <c r="L54" s="5">
        <f>IF(Settings!$F$7="Yes",INDEX('Minutes &amp; Health'!$O:$O,AL54),Settings!$F$8)</f>
        <v>73</v>
      </c>
      <c r="M54" s="6">
        <f>INDEX('Minutes &amp; Health'!$P:$P,AL54)</f>
        <v>34.200000000000003</v>
      </c>
      <c r="N54" s="5">
        <f>INDEX('Player Data'!$F:$F,AL54)/INDEX('Player Data'!$E:$E,AL54)*M54*L54*AM54</f>
        <v>1581.2801444043321</v>
      </c>
      <c r="O54" s="5">
        <f>INDEX('Player Data'!$G:$G,AL54)/INDEX('Player Data'!$E:$E,AL54)*M54*L54*AM54</f>
        <v>340.49097472924194</v>
      </c>
      <c r="P54" s="5">
        <f>INDEX('Player Data'!$H:$H,AL54)/INDEX('Player Data'!$E:$E,AL54)*M54*L54*AM54</f>
        <v>333.48086642599287</v>
      </c>
      <c r="Q54" s="5">
        <f>INDEX('Player Data'!$I:$I,AL54)/INDEX('Player Data'!$E:$E,AL54)*M54*L54*AM54</f>
        <v>55.079422382671481</v>
      </c>
      <c r="R54" s="5">
        <f>INDEX('Player Data'!$J:$J,AL54)/INDEX('Player Data'!$E:$E,AL54)*M54*L54*AM54</f>
        <v>18.025992779783397</v>
      </c>
      <c r="S54" s="5">
        <f>INDEX('Player Data'!$K:$K,AL54)/INDEX('Player Data'!$E:$E,AL54)*M54*L54*AM54</f>
        <v>209.30180505415166</v>
      </c>
      <c r="T54" s="5">
        <f>INDEX('Player Data'!$L:$L,AL54)/INDEX('Player Data'!$E:$E,AL54)*M54*L54*AM54</f>
        <v>169.24404332129964</v>
      </c>
      <c r="U54" s="7">
        <f>INDEX('Player Data'!$M:$M,AL54)</f>
        <v>0.47399999999999998</v>
      </c>
      <c r="V54" s="7">
        <f>INDEX('Player Data'!$N:$N,AL54)</f>
        <v>0.89700000000000002</v>
      </c>
      <c r="W54" s="5">
        <f t="shared" si="3"/>
        <v>566.48845429602898</v>
      </c>
      <c r="X54" s="5">
        <f>INDEX('Player Data'!$O:$O,AL54)/INDEX('Player Data'!$E:$E,AL54)*M54*L54*AM54</f>
        <v>1195.1233212996392</v>
      </c>
      <c r="Y54" s="5">
        <f t="shared" si="4"/>
        <v>238.94655162454876</v>
      </c>
      <c r="Z54" s="5">
        <f>INDEX('Player Data'!$P:$P,AL54)/INDEX('Player Data'!$E:$E,AL54)*M54*L54*AM54</f>
        <v>266.38411552346571</v>
      </c>
      <c r="AB54" s="3">
        <f>(N54-Pool!$D$2)/Pool!$E$2</f>
        <v>0.84277079548843059</v>
      </c>
      <c r="AC54" s="3">
        <f>(O54-Pool!$D$3)/Pool!$E$3</f>
        <v>-0.51764011081325878</v>
      </c>
      <c r="AD54" s="3">
        <f>(P54-Pool!$D$4)/Pool!$E$4</f>
        <v>0.3612852370693545</v>
      </c>
      <c r="AE54" s="3">
        <f>(Q54-Pool!$D$5)/Pool!$E$5</f>
        <v>-0.84512388470610122</v>
      </c>
      <c r="AF54" s="3">
        <f>(R54-Pool!$D$6)/Pool!$E$6</f>
        <v>-0.93502022163274123</v>
      </c>
      <c r="AG54" s="3">
        <f>(S54-Pool!$D$7)/Pool!$E$7</f>
        <v>1.2096913521226995</v>
      </c>
      <c r="AH54" s="3">
        <f>(AS54-Pool!$D$8)/Pool!$E$8</f>
        <v>-0.2632919800852162</v>
      </c>
      <c r="AI54" s="3">
        <f>(AT54-Pool!$D$9)/Pool!$E$9</f>
        <v>1.1565084466891944</v>
      </c>
      <c r="AJ54" s="3">
        <f>-(T54-Pool!$D$10)/Pool!$E$10</f>
        <v>-0.4490467139266755</v>
      </c>
      <c r="AL54">
        <f>MATCH(B54,'Player Data'!$A:$A,0)</f>
        <v>32</v>
      </c>
      <c r="AM54" s="3">
        <f>1+IF(Settings!$F$10="ON",IFERROR(VLOOKUP(TRIM(F54),Settings!$D$12:$F$17,3,FALSE),0),0)</f>
        <v>1</v>
      </c>
      <c r="AN54" t="str">
        <f t="shared" si="5"/>
        <v>PG</v>
      </c>
      <c r="AO54" s="6">
        <f>X54*(U54-Pool!$B$12)</f>
        <v>-7.8959045278407771</v>
      </c>
      <c r="AP54" s="6">
        <f>Z54*(V54-Pool!$B$13)</f>
        <v>28.476553256341465</v>
      </c>
      <c r="AQ54" s="3">
        <f>Settings!$B$2*(N54-Pool!$B$2)/Pool!$C$2+Settings!$B$3*(O54-Pool!$B$3)/Pool!$C$3+Settings!$B$4*(P54-Pool!$B$4)/Pool!$C$4+Settings!$B$5*(Q54-Pool!$B$5)/Pool!$C$5+Settings!$B$6*(R54-Pool!$B$6)/Pool!$C$6+Settings!$B$7*(S54-Pool!$B$7)/Pool!$C$7+Settings!$B$8*(AO54-Pool!$B$8)/Pool!$C$8+Settings!$B$9*(AP54-Pool!$B$9)/Pool!$C$9+Settings!$B$10*-(T54-Pool!$B$10)/Pool!$C$10</f>
        <v>2.8418562815626469</v>
      </c>
      <c r="AR54">
        <f>IF(RANK(AQ54,$AQ$2:$AQ$266)&lt;=Settings!$F$5,1,0)</f>
        <v>1</v>
      </c>
      <c r="AS54" s="6">
        <f>X54*(U54-Pool!$D$12)</f>
        <v>-12.039186090118474</v>
      </c>
      <c r="AT54" s="6">
        <f>Z54*(V54-Pool!$D$13)</f>
        <v>25.802383446447372</v>
      </c>
    </row>
    <row r="55" spans="1:46" x14ac:dyDescent="0.2">
      <c r="A55">
        <f t="shared" si="0"/>
        <v>54</v>
      </c>
      <c r="B55" t="s">
        <v>96</v>
      </c>
      <c r="C55" t="str">
        <f>INDEX('Player Data'!$C:$C,AL55)</f>
        <v>C,PF,SF</v>
      </c>
      <c r="D55">
        <f t="shared" si="1"/>
        <v>10</v>
      </c>
      <c r="E55" t="str">
        <f>INDEX('Player Data'!$B:$B,AL55)</f>
        <v>IND</v>
      </c>
      <c r="F55" s="2"/>
      <c r="G55" s="3">
        <f>Settings!$B$2*AB55+Settings!$B$3*AC55+Settings!$B$4*AD55+Settings!$B$5*AE55+Settings!$B$6*AF55+Settings!$B$7*AG55+Settings!$B$8*AH55+Settings!$B$9*AI55+Settings!$B$10*AJ55</f>
        <v>0.55477124380675524</v>
      </c>
      <c r="H55" s="3">
        <f>G55-LARGE($G$2:$G$266,Settings!$F$4)</f>
        <v>3.7710360102539204</v>
      </c>
      <c r="I55">
        <f>IF(INDEX('Player Data'!$R:$R,AL55)="","",INDEX('Player Data'!$R:$R,AL55))</f>
        <v>48</v>
      </c>
      <c r="J55" s="4">
        <f t="shared" si="2"/>
        <v>-6</v>
      </c>
      <c r="L55" s="5">
        <f>IF(Settings!$F$7="Yes",INDEX('Minutes &amp; Health'!$O:$O,AL55),Settings!$F$8)</f>
        <v>76</v>
      </c>
      <c r="M55" s="6">
        <f>INDEX('Minutes &amp; Health'!$P:$P,AL55)</f>
        <v>33.799999999999997</v>
      </c>
      <c r="N55" s="5">
        <f>INDEX('Player Data'!$F:$F,AL55)/INDEX('Player Data'!$E:$E,AL55)*M55*L55*AM55</f>
        <v>1685.8998444790047</v>
      </c>
      <c r="O55" s="5">
        <f>INDEX('Player Data'!$G:$G,AL55)/INDEX('Player Data'!$E:$E,AL55)*M55*L55*AM55</f>
        <v>516.35676516329704</v>
      </c>
      <c r="P55" s="5">
        <f>INDEX('Player Data'!$H:$H,AL55)/INDEX('Player Data'!$E:$E,AL55)*M55*L55*AM55</f>
        <v>289.63919129082421</v>
      </c>
      <c r="Q55" s="5">
        <f>INDEX('Player Data'!$I:$I,AL55)/INDEX('Player Data'!$E:$E,AL55)*M55*L55*AM55</f>
        <v>69.912908242612744</v>
      </c>
      <c r="R55" s="5">
        <f>INDEX('Player Data'!$J:$J,AL55)/INDEX('Player Data'!$E:$E,AL55)*M55*L55*AM55</f>
        <v>34.956454121306372</v>
      </c>
      <c r="S55" s="5">
        <f>INDEX('Player Data'!$K:$K,AL55)/INDEX('Player Data'!$E:$E,AL55)*M55*L55*AM55</f>
        <v>115.85567651632969</v>
      </c>
      <c r="T55" s="5">
        <f>INDEX('Player Data'!$L:$L,AL55)/INDEX('Player Data'!$E:$E,AL55)*M55*L55*AM55</f>
        <v>126.84199066874027</v>
      </c>
      <c r="U55" s="7">
        <f>INDEX('Player Data'!$M:$M,AL55)</f>
        <v>0.51700000000000002</v>
      </c>
      <c r="V55" s="7">
        <f>INDEX('Player Data'!$N:$N,AL55)</f>
        <v>0.71499999999999997</v>
      </c>
      <c r="W55" s="5">
        <f t="shared" si="3"/>
        <v>640.12748177293929</v>
      </c>
      <c r="X55" s="5">
        <f>INDEX('Player Data'!$O:$O,AL55)/INDEX('Player Data'!$E:$E,AL55)*M55*L55*AM55</f>
        <v>1238.1576049766718</v>
      </c>
      <c r="Y55" s="5">
        <f t="shared" si="4"/>
        <v>289.71459735614303</v>
      </c>
      <c r="Z55" s="5">
        <f>INDEX('Player Data'!$P:$P,AL55)/INDEX('Player Data'!$E:$E,AL55)*M55*L55*AM55</f>
        <v>405.19524105754272</v>
      </c>
      <c r="AB55" s="3">
        <f>(N55-Pool!$D$2)/Pool!$E$2</f>
        <v>1.1006542918892701</v>
      </c>
      <c r="AC55" s="3">
        <f>(O55-Pool!$D$3)/Pool!$E$3</f>
        <v>0.50598842355194806</v>
      </c>
      <c r="AD55" s="3">
        <f>(P55-Pool!$D$4)/Pool!$E$4</f>
        <v>6.4769624275301294E-2</v>
      </c>
      <c r="AE55" s="3">
        <f>(Q55-Pool!$D$5)/Pool!$E$5</f>
        <v>-0.19025264267227848</v>
      </c>
      <c r="AF55" s="3">
        <f>(R55-Pool!$D$6)/Pool!$E$6</f>
        <v>-0.44504038263625051</v>
      </c>
      <c r="AG55" s="3">
        <f>(S55-Pool!$D$7)/Pool!$E$7</f>
        <v>-0.10643306319643409</v>
      </c>
      <c r="AH55" s="3">
        <f>(AS55-Pool!$D$8)/Pool!$E$8</f>
        <v>0.89158093462213917</v>
      </c>
      <c r="AI55" s="3">
        <f>(AT55-Pool!$D$9)/Pool!$E$9</f>
        <v>-1.5462473250707616</v>
      </c>
      <c r="AJ55" s="3">
        <f>-(T55-Pool!$D$10)/Pool!$E$10</f>
        <v>0.27975138304382152</v>
      </c>
      <c r="AL55">
        <f>MATCH(B55,'Player Data'!$A:$A,0)</f>
        <v>30</v>
      </c>
      <c r="AM55" s="3">
        <f>1+IF(Settings!$F$10="ON",IFERROR(VLOOKUP(TRIM(F55),Settings!$D$12:$F$17,3,FALSE),0),0)</f>
        <v>1</v>
      </c>
      <c r="AN55" t="str">
        <f t="shared" si="5"/>
        <v>C</v>
      </c>
      <c r="AO55" s="6">
        <f>X55*(U55-Pool!$B$12)</f>
        <v>45.060554885384754</v>
      </c>
      <c r="AP55" s="6">
        <f>Z55*(V55-Pool!$B$13)</f>
        <v>-30.430023717082904</v>
      </c>
      <c r="AQ55" s="3">
        <f>Settings!$B$2*(N55-Pool!$B$2)/Pool!$C$2+Settings!$B$3*(O55-Pool!$B$3)/Pool!$C$3+Settings!$B$4*(P55-Pool!$B$4)/Pool!$C$4+Settings!$B$5*(Q55-Pool!$B$5)/Pool!$C$5+Settings!$B$6*(R55-Pool!$B$6)/Pool!$C$6+Settings!$B$7*(S55-Pool!$B$7)/Pool!$C$7+Settings!$B$8*(AO55-Pool!$B$8)/Pool!$C$8+Settings!$B$9*(AP55-Pool!$B$9)/Pool!$C$9+Settings!$B$10*-(T55-Pool!$B$10)/Pool!$C$10</f>
        <v>2.4747503093974852</v>
      </c>
      <c r="AR55">
        <f>IF(RANK(AQ55,$AQ$2:$AQ$266)&lt;=Settings!$F$5,1,0)</f>
        <v>1</v>
      </c>
      <c r="AS55" s="6">
        <f>X55*(U55-Pool!$D$12)</f>
        <v>40.768081059072763</v>
      </c>
      <c r="AT55" s="6">
        <f>Z55*(V55-Pool!$D$13)</f>
        <v>-34.497686980785993</v>
      </c>
    </row>
    <row r="56" spans="1:46" x14ac:dyDescent="0.2">
      <c r="A56">
        <f t="shared" si="0"/>
        <v>55</v>
      </c>
      <c r="B56" t="s">
        <v>97</v>
      </c>
      <c r="C56" t="str">
        <f>INDEX('Player Data'!$C:$C,AL56)</f>
        <v>C</v>
      </c>
      <c r="D56">
        <f t="shared" si="1"/>
        <v>11</v>
      </c>
      <c r="E56" t="str">
        <f>INDEX('Player Data'!$B:$B,AL56)</f>
        <v>IND</v>
      </c>
      <c r="F56" s="2"/>
      <c r="G56" s="3">
        <f>Settings!$B$2*AB56+Settings!$B$3*AC56+Settings!$B$4*AD56+Settings!$B$5*AE56+Settings!$B$6*AF56+Settings!$B$7*AG56+Settings!$B$8*AH56+Settings!$B$9*AI56+Settings!$B$10*AJ56</f>
        <v>0.54621322358557345</v>
      </c>
      <c r="H56" s="3">
        <f>G56-LARGE($G$2:$G$266,Settings!$F$4)</f>
        <v>3.7624779900327385</v>
      </c>
      <c r="I56">
        <f>IF(INDEX('Player Data'!$R:$R,AL56)="","",INDEX('Player Data'!$R:$R,AL56))</f>
        <v>70</v>
      </c>
      <c r="J56" s="4">
        <f t="shared" si="2"/>
        <v>15</v>
      </c>
      <c r="L56" s="5">
        <f>IF(Settings!$F$7="Yes",INDEX('Minutes &amp; Health'!$O:$O,AL56),Settings!$F$8)</f>
        <v>74</v>
      </c>
      <c r="M56" s="6">
        <f>INDEX('Minutes &amp; Health'!$P:$P,AL56)</f>
        <v>31.2</v>
      </c>
      <c r="N56" s="5">
        <f>INDEX('Player Data'!$F:$F,AL56)/INDEX('Player Data'!$E:$E,AL56)*M56*L56*AM56</f>
        <v>1158.8957161401988</v>
      </c>
      <c r="O56" s="5">
        <f>INDEX('Player Data'!$G:$G,AL56)/INDEX('Player Data'!$E:$E,AL56)*M56*L56*AM56</f>
        <v>807.23080917351797</v>
      </c>
      <c r="P56" s="5">
        <f>INDEX('Player Data'!$H:$H,AL56)/INDEX('Player Data'!$E:$E,AL56)*M56*L56*AM56</f>
        <v>185.822933794894</v>
      </c>
      <c r="Q56" s="5">
        <f>INDEX('Player Data'!$I:$I,AL56)/INDEX('Player Data'!$E:$E,AL56)*M56*L56*AM56</f>
        <v>34.966681090437035</v>
      </c>
      <c r="R56" s="5">
        <f>INDEX('Player Data'!$J:$J,AL56)/INDEX('Player Data'!$E:$E,AL56)*M56*L56*AM56</f>
        <v>76.926698398961477</v>
      </c>
      <c r="S56" s="5">
        <f>INDEX('Player Data'!$K:$K,AL56)/INDEX('Player Data'!$E:$E,AL56)*M56*L56*AM56</f>
        <v>0</v>
      </c>
      <c r="T56" s="5">
        <f>INDEX('Player Data'!$L:$L,AL56)/INDEX('Player Data'!$E:$E,AL56)*M56*L56*AM56</f>
        <v>107.89718736477714</v>
      </c>
      <c r="U56" s="7">
        <f>INDEX('Player Data'!$M:$M,AL56)</f>
        <v>0.63200000000000001</v>
      </c>
      <c r="V56" s="7">
        <f>INDEX('Player Data'!$N:$N,AL56)</f>
        <v>0.68200000000000005</v>
      </c>
      <c r="W56" s="5">
        <f t="shared" si="3"/>
        <v>497.73132379056682</v>
      </c>
      <c r="X56" s="5">
        <f>INDEX('Player Data'!$O:$O,AL56)/INDEX('Player Data'!$E:$E,AL56)*M56*L56*AM56</f>
        <v>787.54956295975762</v>
      </c>
      <c r="Y56" s="5">
        <f t="shared" si="4"/>
        <v>163.38791158805714</v>
      </c>
      <c r="Z56" s="5">
        <f>INDEX('Player Data'!$P:$P,AL56)/INDEX('Player Data'!$E:$E,AL56)*M56*L56*AM56</f>
        <v>239.5717178710515</v>
      </c>
      <c r="AB56" s="3">
        <f>(N56-Pool!$D$2)/Pool!$E$2</f>
        <v>-0.19839041132326896</v>
      </c>
      <c r="AC56" s="3">
        <f>(O56-Pool!$D$3)/Pool!$E$3</f>
        <v>2.19902361032814</v>
      </c>
      <c r="AD56" s="3">
        <f>(P56-Pool!$D$4)/Pool!$E$4</f>
        <v>-0.6373737385064171</v>
      </c>
      <c r="AE56" s="3">
        <f>(Q56-Pool!$D$5)/Pool!$E$5</f>
        <v>-1.7330645882679192</v>
      </c>
      <c r="AF56" s="3">
        <f>(R56-Pool!$D$6)/Pool!$E$6</f>
        <v>0.76960894787980505</v>
      </c>
      <c r="AG56" s="3">
        <f>(S56-Pool!$D$7)/Pool!$E$7</f>
        <v>-1.7381805406185855</v>
      </c>
      <c r="AH56" s="3">
        <f>(AS56-Pool!$D$8)/Pool!$E$8</f>
        <v>2.5477928024970669</v>
      </c>
      <c r="AI56" s="3">
        <f>(AT56-Pool!$D$9)/Pool!$E$9</f>
        <v>-1.2685737747404728</v>
      </c>
      <c r="AJ56" s="3">
        <f>-(T56-Pool!$D$10)/Pool!$E$10</f>
        <v>0.60537091633722517</v>
      </c>
      <c r="AL56">
        <f>MATCH(B56,'Player Data'!$A:$A,0)</f>
        <v>88</v>
      </c>
      <c r="AM56" s="3">
        <f>1+IF(Settings!$F$10="ON",IFERROR(VLOOKUP(TRIM(F56),Settings!$D$12:$F$17,3,FALSE),0),0)</f>
        <v>1</v>
      </c>
      <c r="AN56" t="str">
        <f t="shared" si="5"/>
        <v>C</v>
      </c>
      <c r="AO56" s="6">
        <f>X56*(U56-Pool!$B$12)</f>
        <v>119.22967237040741</v>
      </c>
      <c r="AP56" s="6">
        <f>Z56*(V56-Pool!$B$13)</f>
        <v>-25.89762058530215</v>
      </c>
      <c r="AQ56" s="3">
        <f>Settings!$B$2*(N56-Pool!$B$2)/Pool!$C$2+Settings!$B$3*(O56-Pool!$B$3)/Pool!$C$3+Settings!$B$4*(P56-Pool!$B$4)/Pool!$C$4+Settings!$B$5*(Q56-Pool!$B$5)/Pool!$C$5+Settings!$B$6*(R56-Pool!$B$6)/Pool!$C$6+Settings!$B$7*(S56-Pool!$B$7)/Pool!$C$7+Settings!$B$8*(AO56-Pool!$B$8)/Pool!$C$8+Settings!$B$9*(AP56-Pool!$B$9)/Pool!$C$9+Settings!$B$10*-(T56-Pool!$B$10)/Pool!$C$10</f>
        <v>3.09403029843897</v>
      </c>
      <c r="AR56">
        <f>IF(RANK(AQ56,$AQ$2:$AQ$266)&lt;=Settings!$F$5,1,0)</f>
        <v>1</v>
      </c>
      <c r="AS56" s="6">
        <f>X56*(U56-Pool!$D$12)</f>
        <v>116.49937707331404</v>
      </c>
      <c r="AT56" s="6">
        <f>Z56*(V56-Pool!$D$13)</f>
        <v>-28.302626807149473</v>
      </c>
    </row>
    <row r="57" spans="1:46" x14ac:dyDescent="0.2">
      <c r="A57">
        <f t="shared" si="0"/>
        <v>56</v>
      </c>
      <c r="B57" t="s">
        <v>98</v>
      </c>
      <c r="C57" t="str">
        <f>INDEX('Player Data'!$C:$C,AL57)</f>
        <v>SF,PF</v>
      </c>
      <c r="D57">
        <f t="shared" si="1"/>
        <v>5</v>
      </c>
      <c r="E57" t="str">
        <f>INDEX('Player Data'!$B:$B,AL57)</f>
        <v>PHI</v>
      </c>
      <c r="F57" s="2"/>
      <c r="G57" s="3">
        <f>Settings!$B$2*AB57+Settings!$B$3*AC57+Settings!$B$4*AD57+Settings!$B$5*AE57+Settings!$B$6*AF57+Settings!$B$7*AG57+Settings!$B$8*AH57+Settings!$B$9*AI57+Settings!$B$10*AJ57</f>
        <v>0.52803001781439129</v>
      </c>
      <c r="H57" s="3">
        <f>G57-LARGE($G$2:$G$266,Settings!$F$4)</f>
        <v>3.7442947842615562</v>
      </c>
      <c r="I57">
        <f>IF(INDEX('Player Data'!$R:$R,AL57)="","",INDEX('Player Data'!$R:$R,AL57))</f>
        <v>43</v>
      </c>
      <c r="J57" s="4">
        <f t="shared" si="2"/>
        <v>-13</v>
      </c>
      <c r="L57" s="5">
        <f>IF(Settings!$F$7="Yes",INDEX('Minutes &amp; Health'!$O:$O,AL57),Settings!$F$8)</f>
        <v>68</v>
      </c>
      <c r="M57" s="6">
        <f>INDEX('Minutes &amp; Health'!$P:$P,AL57)</f>
        <v>32.799999999999997</v>
      </c>
      <c r="N57" s="5">
        <f>INDEX('Player Data'!$F:$F,AL57)/INDEX('Player Data'!$E:$E,AL57)*M57*L57*AM57</f>
        <v>1467.5791741472171</v>
      </c>
      <c r="O57" s="5">
        <f>INDEX('Player Data'!$G:$G,AL57)/INDEX('Player Data'!$E:$E,AL57)*M57*L57*AM57</f>
        <v>466.50197486535001</v>
      </c>
      <c r="P57" s="5">
        <f>INDEX('Player Data'!$H:$H,AL57)/INDEX('Player Data'!$E:$E,AL57)*M57*L57*AM57</f>
        <v>472.50843806104126</v>
      </c>
      <c r="Q57" s="5">
        <f>INDEX('Player Data'!$I:$I,AL57)/INDEX('Player Data'!$E:$E,AL57)*M57*L57*AM57</f>
        <v>75.08078994614003</v>
      </c>
      <c r="R57" s="5">
        <f>INDEX('Player Data'!$J:$J,AL57)/INDEX('Player Data'!$E:$E,AL57)*M57*L57*AM57</f>
        <v>42.045242369838412</v>
      </c>
      <c r="S57" s="5">
        <f>INDEX('Player Data'!$K:$K,AL57)/INDEX('Player Data'!$E:$E,AL57)*M57*L57*AM57</f>
        <v>109.11741472172352</v>
      </c>
      <c r="T57" s="5">
        <f>INDEX('Player Data'!$L:$L,AL57)/INDEX('Player Data'!$E:$E,AL57)*M57*L57*AM57</f>
        <v>208.22405745062835</v>
      </c>
      <c r="U57" s="7">
        <f>INDEX('Player Data'!$M:$M,AL57)</f>
        <v>0.51100000000000001</v>
      </c>
      <c r="V57" s="7">
        <f>INDEX('Player Data'!$N:$N,AL57)</f>
        <v>0.75800000000000001</v>
      </c>
      <c r="W57" s="5">
        <f t="shared" si="3"/>
        <v>546.84742980251337</v>
      </c>
      <c r="X57" s="5">
        <f>INDEX('Player Data'!$O:$O,AL57)/INDEX('Player Data'!$E:$E,AL57)*M57*L57*AM57</f>
        <v>1070.1515260323158</v>
      </c>
      <c r="Y57" s="5">
        <f t="shared" si="4"/>
        <v>264.75108280071811</v>
      </c>
      <c r="Z57" s="5">
        <f>INDEX('Player Data'!$P:$P,AL57)/INDEX('Player Data'!$E:$E,AL57)*M57*L57*AM57</f>
        <v>349.2758348294434</v>
      </c>
      <c r="AB57" s="3">
        <f>(N57-Pool!$D$2)/Pool!$E$2</f>
        <v>0.56250232087854102</v>
      </c>
      <c r="AC57" s="3">
        <f>(O57-Pool!$D$3)/Pool!$E$3</f>
        <v>0.21580813437906218</v>
      </c>
      <c r="AD57" s="3">
        <f>(P57-Pool!$D$4)/Pool!$E$4</f>
        <v>1.3015742536623087</v>
      </c>
      <c r="AE57" s="3">
        <f>(Q57-Pool!$D$5)/Pool!$E$5</f>
        <v>3.7899872645262817E-2</v>
      </c>
      <c r="AF57" s="3">
        <f>(R57-Pool!$D$6)/Pool!$E$6</f>
        <v>-0.23988570583029048</v>
      </c>
      <c r="AG57" s="3">
        <f>(S57-Pool!$D$7)/Pool!$E$7</f>
        <v>-0.20133684362543131</v>
      </c>
      <c r="AH57" s="3">
        <f>(AS57-Pool!$D$8)/Pool!$E$8</f>
        <v>0.63017937055864448</v>
      </c>
      <c r="AI57" s="3">
        <f>(AT57-Pool!$D$9)/Pool!$E$9</f>
        <v>-0.65968389546513517</v>
      </c>
      <c r="AJ57" s="3">
        <f>-(T57-Pool!$D$10)/Pool!$E$10</f>
        <v>-1.1190274893885708</v>
      </c>
      <c r="AL57">
        <f>MATCH(B57,'Player Data'!$A:$A,0)</f>
        <v>34</v>
      </c>
      <c r="AM57" s="3">
        <f>1+IF(Settings!$F$10="ON",IFERROR(VLOOKUP(TRIM(F57),Settings!$D$12:$F$17,3,FALSE),0),0)</f>
        <v>1</v>
      </c>
      <c r="AN57" t="str">
        <f t="shared" si="5"/>
        <v>SF</v>
      </c>
      <c r="AO57" s="6">
        <f>X57*(U57-Pool!$B$12)</f>
        <v>32.52536180368601</v>
      </c>
      <c r="AP57" s="6">
        <f>Z57*(V57-Pool!$B$13)</f>
        <v>-11.211634578845501</v>
      </c>
      <c r="AQ57" s="3">
        <f>Settings!$B$2*(N57-Pool!$B$2)/Pool!$C$2+Settings!$B$3*(O57-Pool!$B$3)/Pool!$C$3+Settings!$B$4*(P57-Pool!$B$4)/Pool!$C$4+Settings!$B$5*(Q57-Pool!$B$5)/Pool!$C$5+Settings!$B$6*(R57-Pool!$B$6)/Pool!$C$6+Settings!$B$7*(S57-Pool!$B$7)/Pool!$C$7+Settings!$B$8*(AO57-Pool!$B$8)/Pool!$C$8+Settings!$B$9*(AP57-Pool!$B$9)/Pool!$C$9+Settings!$B$10*-(T57-Pool!$B$10)/Pool!$C$10</f>
        <v>2.6681836243219914</v>
      </c>
      <c r="AR57">
        <f>IF(RANK(AQ57,$AQ$2:$AQ$266)&lt;=Settings!$F$5,1,0)</f>
        <v>1</v>
      </c>
      <c r="AS57" s="6">
        <f>X57*(U57-Pool!$D$12)</f>
        <v>28.81533539249412</v>
      </c>
      <c r="AT57" s="6">
        <f>Z57*(V57-Pool!$D$13)</f>
        <v>-14.71793558703822</v>
      </c>
    </row>
    <row r="58" spans="1:46" x14ac:dyDescent="0.2">
      <c r="A58">
        <f t="shared" si="0"/>
        <v>57</v>
      </c>
      <c r="B58" t="s">
        <v>99</v>
      </c>
      <c r="C58" t="str">
        <f>INDEX('Player Data'!$C:$C,AL58)</f>
        <v>C,PF</v>
      </c>
      <c r="D58">
        <f t="shared" si="1"/>
        <v>12</v>
      </c>
      <c r="E58" t="str">
        <f>INDEX('Player Data'!$B:$B,AL58)</f>
        <v>HOU</v>
      </c>
      <c r="F58" s="2"/>
      <c r="G58" s="3">
        <f>Settings!$B$2*AB58+Settings!$B$3*AC58+Settings!$B$4*AD58+Settings!$B$5*AE58+Settings!$B$6*AF58+Settings!$B$7*AG58+Settings!$B$8*AH58+Settings!$B$9*AI58+Settings!$B$10*AJ58</f>
        <v>0.48665981643297629</v>
      </c>
      <c r="H58" s="3">
        <f>G58-LARGE($G$2:$G$266,Settings!$F$4)</f>
        <v>3.7029245828801414</v>
      </c>
      <c r="I58">
        <f>IF(INDEX('Player Data'!$R:$R,AL58)="","",INDEX('Player Data'!$R:$R,AL58))</f>
        <v>15</v>
      </c>
      <c r="J58" s="4">
        <f t="shared" si="2"/>
        <v>-42</v>
      </c>
      <c r="L58" s="5">
        <f>IF(Settings!$F$7="Yes",INDEX('Minutes &amp; Health'!$O:$O,AL58),Settings!$F$8)</f>
        <v>75</v>
      </c>
      <c r="M58" s="6">
        <f>INDEX('Minutes &amp; Health'!$P:$P,AL58)</f>
        <v>32.799999999999997</v>
      </c>
      <c r="N58" s="5">
        <f>INDEX('Player Data'!$F:$F,AL58)/INDEX('Player Data'!$E:$E,AL58)*M58*L58*AM58</f>
        <v>1455.5917039446929</v>
      </c>
      <c r="O58" s="5">
        <f>INDEX('Player Data'!$G:$G,AL58)/INDEX('Player Data'!$E:$E,AL58)*M58*L58*AM58</f>
        <v>704.28629524196822</v>
      </c>
      <c r="P58" s="5">
        <f>INDEX('Player Data'!$H:$H,AL58)/INDEX('Player Data'!$E:$E,AL58)*M58*L58*AM58</f>
        <v>412.16754778365186</v>
      </c>
      <c r="Q58" s="5">
        <f>INDEX('Player Data'!$I:$I,AL58)/INDEX('Player Data'!$E:$E,AL58)*M58*L58*AM58</f>
        <v>86.034973566490436</v>
      </c>
      <c r="R58" s="5">
        <f>INDEX('Player Data'!$J:$J,AL58)/INDEX('Player Data'!$E:$E,AL58)*M58*L58*AM58</f>
        <v>73.029686864579091</v>
      </c>
      <c r="S58" s="5">
        <f>INDEX('Player Data'!$K:$K,AL58)/INDEX('Player Data'!$E:$E,AL58)*M58*L58*AM58</f>
        <v>32.013013420089464</v>
      </c>
      <c r="T58" s="5">
        <f>INDEX('Player Data'!$L:$L,AL58)/INDEX('Player Data'!$E:$E,AL58)*M58*L58*AM58</f>
        <v>217.0882472549817</v>
      </c>
      <c r="U58" s="7">
        <f>INDEX('Player Data'!$M:$M,AL58)</f>
        <v>0.51200000000000001</v>
      </c>
      <c r="V58" s="7">
        <f>INDEX('Player Data'!$N:$N,AL58)</f>
        <v>0.69099999999999995</v>
      </c>
      <c r="W58" s="5">
        <f t="shared" si="3"/>
        <v>580.99777795851969</v>
      </c>
      <c r="X58" s="5">
        <f>INDEX('Player Data'!$O:$O,AL58)/INDEX('Player Data'!$E:$E,AL58)*M58*L58*AM58</f>
        <v>1134.7612850752337</v>
      </c>
      <c r="Y58" s="5">
        <f t="shared" si="4"/>
        <v>261.64986173241152</v>
      </c>
      <c r="Z58" s="5">
        <f>INDEX('Player Data'!$P:$P,AL58)/INDEX('Player Data'!$E:$E,AL58)*M58*L58*AM58</f>
        <v>378.6539243594957</v>
      </c>
      <c r="AB58" s="3">
        <f>(N58-Pool!$D$2)/Pool!$E$2</f>
        <v>0.53295367252052284</v>
      </c>
      <c r="AC58" s="3">
        <f>(O58-Pool!$D$3)/Pool!$E$3</f>
        <v>1.5998340712107848</v>
      </c>
      <c r="AD58" s="3">
        <f>(P58-Pool!$D$4)/Pool!$E$4</f>
        <v>0.89346904322096909</v>
      </c>
      <c r="AE58" s="3">
        <f>(Q58-Pool!$D$5)/Pool!$E$5</f>
        <v>0.5215070234295649</v>
      </c>
      <c r="AF58" s="3">
        <f>(R58-Pool!$D$6)/Pool!$E$6</f>
        <v>0.65682660570575624</v>
      </c>
      <c r="AG58" s="3">
        <f>(S58-Pool!$D$7)/Pool!$E$7</f>
        <v>-1.2872992764144124</v>
      </c>
      <c r="AH58" s="3">
        <f>(AS58-Pool!$D$8)/Pool!$E$8</f>
        <v>0.69304282973665909</v>
      </c>
      <c r="AI58" s="3">
        <f>(AT58-Pool!$D$9)/Pool!$E$9</f>
        <v>-1.8522907219188542</v>
      </c>
      <c r="AJ58" s="3">
        <f>-(T58-Pool!$D$10)/Pool!$E$10</f>
        <v>-1.2713834310580141</v>
      </c>
      <c r="AL58">
        <f>MATCH(B58,'Player Data'!$A:$A,0)</f>
        <v>55</v>
      </c>
      <c r="AM58" s="3">
        <f>1+IF(Settings!$F$10="ON",IFERROR(VLOOKUP(TRIM(F58),Settings!$D$12:$F$17,3,FALSE),0),0)</f>
        <v>1</v>
      </c>
      <c r="AN58" t="str">
        <f t="shared" si="5"/>
        <v>C</v>
      </c>
      <c r="AO58" s="6">
        <f>X58*(U58-Pool!$B$12)</f>
        <v>35.623822376011915</v>
      </c>
      <c r="AP58" s="6">
        <f>Z58*(V58-Pool!$B$13)</f>
        <v>-37.524474115095153</v>
      </c>
      <c r="AQ58" s="3">
        <f>Settings!$B$2*(N58-Pool!$B$2)/Pool!$C$2+Settings!$B$3*(O58-Pool!$B$3)/Pool!$C$3+Settings!$B$4*(P58-Pool!$B$4)/Pool!$C$4+Settings!$B$5*(Q58-Pool!$B$5)/Pool!$C$5+Settings!$B$6*(R58-Pool!$B$6)/Pool!$C$6+Settings!$B$7*(S58-Pool!$B$7)/Pool!$C$7+Settings!$B$8*(AO58-Pool!$B$8)/Pool!$C$8+Settings!$B$9*(AP58-Pool!$B$9)/Pool!$C$9+Settings!$B$10*-(T58-Pool!$B$10)/Pool!$C$10</f>
        <v>2.4499910464934205</v>
      </c>
      <c r="AR58">
        <f>IF(RANK(AQ58,$AQ$2:$AQ$266)&lt;=Settings!$F$5,1,0)</f>
        <v>1</v>
      </c>
      <c r="AS58" s="6">
        <f>X58*(U58-Pool!$D$12)</f>
        <v>31.689805336727673</v>
      </c>
      <c r="AT58" s="6">
        <f>Z58*(V58-Pool!$D$13)</f>
        <v>-41.325695111062863</v>
      </c>
    </row>
    <row r="59" spans="1:46" x14ac:dyDescent="0.2">
      <c r="A59">
        <f t="shared" si="0"/>
        <v>58</v>
      </c>
      <c r="B59" t="s">
        <v>100</v>
      </c>
      <c r="C59" t="str">
        <f>INDEX('Player Data'!$C:$C,AL59)</f>
        <v>SF,SG</v>
      </c>
      <c r="D59">
        <f t="shared" si="1"/>
        <v>6</v>
      </c>
      <c r="E59" t="str">
        <f>INDEX('Player Data'!$B:$B,AL59)</f>
        <v>NYK</v>
      </c>
      <c r="F59" s="2"/>
      <c r="G59" s="3">
        <f>Settings!$B$2*AB59+Settings!$B$3*AC59+Settings!$B$4*AD59+Settings!$B$5*AE59+Settings!$B$6*AF59+Settings!$B$7*AG59+Settings!$B$8*AH59+Settings!$B$9*AI59+Settings!$B$10*AJ59</f>
        <v>0.37777405553982968</v>
      </c>
      <c r="H59" s="3">
        <f>G59-LARGE($G$2:$G$266,Settings!$F$4)</f>
        <v>3.5940388219869948</v>
      </c>
      <c r="I59">
        <f>IF(INDEX('Player Data'!$R:$R,AL59)="","",INDEX('Player Data'!$R:$R,AL59))</f>
        <v>114</v>
      </c>
      <c r="J59" s="4">
        <f t="shared" si="2"/>
        <v>56</v>
      </c>
      <c r="L59" s="5">
        <f>IF(Settings!$F$7="Yes",INDEX('Minutes &amp; Health'!$O:$O,AL59),Settings!$F$8)</f>
        <v>73</v>
      </c>
      <c r="M59" s="6">
        <f>INDEX('Minutes &amp; Health'!$P:$P,AL59)</f>
        <v>32.700000000000003</v>
      </c>
      <c r="N59" s="5">
        <f>INDEX('Player Data'!$F:$F,AL59)/INDEX('Player Data'!$E:$E,AL59)*M59*L59*AM59</f>
        <v>884.77836477987432</v>
      </c>
      <c r="O59" s="5">
        <f>INDEX('Player Data'!$G:$G,AL59)/INDEX('Player Data'!$E:$E,AL59)*M59*L59*AM59</f>
        <v>604.53182389937115</v>
      </c>
      <c r="P59" s="5">
        <f>INDEX('Player Data'!$H:$H,AL59)/INDEX('Player Data'!$E:$E,AL59)*M59*L59*AM59</f>
        <v>365.32138364779877</v>
      </c>
      <c r="Q59" s="5">
        <f>INDEX('Player Data'!$I:$I,AL59)/INDEX('Player Data'!$E:$E,AL59)*M59*L59*AM59</f>
        <v>93.081886792452835</v>
      </c>
      <c r="R59" s="5">
        <f>INDEX('Player Data'!$J:$J,AL59)/INDEX('Player Data'!$E:$E,AL59)*M59*L59*AM59</f>
        <v>24.021132075471698</v>
      </c>
      <c r="S59" s="5">
        <f>INDEX('Player Data'!$K:$K,AL59)/INDEX('Player Data'!$E:$E,AL59)*M59*L59*AM59</f>
        <v>100.08805031446542</v>
      </c>
      <c r="T59" s="5">
        <f>INDEX('Player Data'!$L:$L,AL59)/INDEX('Player Data'!$E:$E,AL59)*M59*L59*AM59</f>
        <v>144.12679245283019</v>
      </c>
      <c r="U59" s="7">
        <f>INDEX('Player Data'!$M:$M,AL59)</f>
        <v>0.50600000000000001</v>
      </c>
      <c r="V59" s="7">
        <f>INDEX('Player Data'!$N:$N,AL59)</f>
        <v>0.74099999999999999</v>
      </c>
      <c r="W59" s="5">
        <f t="shared" si="3"/>
        <v>337.90046067924533</v>
      </c>
      <c r="X59" s="5">
        <f>INDEX('Player Data'!$O:$O,AL59)/INDEX('Player Data'!$E:$E,AL59)*M59*L59*AM59</f>
        <v>667.78747169811334</v>
      </c>
      <c r="Y59" s="5">
        <f t="shared" si="4"/>
        <v>108.8745800754717</v>
      </c>
      <c r="Z59" s="5">
        <f>INDEX('Player Data'!$P:$P,AL59)/INDEX('Player Data'!$E:$E,AL59)*M59*L59*AM59</f>
        <v>146.92925786163522</v>
      </c>
      <c r="AB59" s="3">
        <f>(N59-Pool!$D$2)/Pool!$E$2</f>
        <v>-0.87407903347074623</v>
      </c>
      <c r="AC59" s="3">
        <f>(O59-Pool!$D$3)/Pool!$E$3</f>
        <v>1.0192122058396014</v>
      </c>
      <c r="AD59" s="3">
        <f>(P59-Pool!$D$4)/Pool!$E$4</f>
        <v>0.57663308695408411</v>
      </c>
      <c r="AE59" s="3">
        <f>(Q59-Pool!$D$5)/Pool!$E$5</f>
        <v>0.83261534013704741</v>
      </c>
      <c r="AF59" s="3">
        <f>(R59-Pool!$D$6)/Pool!$E$6</f>
        <v>-0.76151653926949114</v>
      </c>
      <c r="AG59" s="3">
        <f>(S59-Pool!$D$7)/Pool!$E$7</f>
        <v>-0.32850922772688773</v>
      </c>
      <c r="AH59" s="3">
        <f>(AS59-Pool!$D$8)/Pool!$E$8</f>
        <v>0.32021836722888269</v>
      </c>
      <c r="AI59" s="3">
        <f>(AT59-Pool!$D$9)/Pool!$E$9</f>
        <v>-0.38946377179989022</v>
      </c>
      <c r="AJ59" s="3">
        <f>-(T59-Pool!$D$10)/Pool!$E$10</f>
        <v>-1.7336372352770735E-2</v>
      </c>
      <c r="AL59">
        <f>MATCH(B59,'Player Data'!$A:$A,0)</f>
        <v>136</v>
      </c>
      <c r="AM59" s="3">
        <f>1+IF(Settings!$F$10="ON",IFERROR(VLOOKUP(TRIM(F59),Settings!$D$12:$F$17,3,FALSE),0),0)</f>
        <v>1</v>
      </c>
      <c r="AN59" t="str">
        <f t="shared" si="5"/>
        <v>SF</v>
      </c>
      <c r="AO59" s="6">
        <f>X59*(U59-Pool!$B$12)</f>
        <v>16.957281070948909</v>
      </c>
      <c r="AP59" s="6">
        <f>Z59*(V59-Pool!$B$13)</f>
        <v>-7.2141761989472508</v>
      </c>
      <c r="AQ59" s="3">
        <f>Settings!$B$2*(N59-Pool!$B$2)/Pool!$C$2+Settings!$B$3*(O59-Pool!$B$3)/Pool!$C$3+Settings!$B$4*(P59-Pool!$B$4)/Pool!$C$4+Settings!$B$5*(Q59-Pool!$B$5)/Pool!$C$5+Settings!$B$6*(R59-Pool!$B$6)/Pool!$C$6+Settings!$B$7*(S59-Pool!$B$7)/Pool!$C$7+Settings!$B$8*(AO59-Pool!$B$8)/Pool!$C$8+Settings!$B$9*(AP59-Pool!$B$9)/Pool!$C$9+Settings!$B$10*-(T59-Pool!$B$10)/Pool!$C$10</f>
        <v>2.3669773951993243</v>
      </c>
      <c r="AR59">
        <f>IF(RANK(AQ59,$AQ$2:$AQ$266)&lt;=Settings!$F$5,1,0)</f>
        <v>1</v>
      </c>
      <c r="AS59" s="6">
        <f>X59*(U59-Pool!$D$12)</f>
        <v>14.642179800899191</v>
      </c>
      <c r="AT59" s="6">
        <f>Z59*(V59-Pool!$D$13)</f>
        <v>-8.6891657447451411</v>
      </c>
    </row>
    <row r="60" spans="1:46" x14ac:dyDescent="0.2">
      <c r="A60">
        <f t="shared" si="0"/>
        <v>59</v>
      </c>
      <c r="B60" t="s">
        <v>101</v>
      </c>
      <c r="C60" t="str">
        <f>INDEX('Player Data'!$C:$C,AL60)</f>
        <v>PG</v>
      </c>
      <c r="D60">
        <f t="shared" si="1"/>
        <v>23</v>
      </c>
      <c r="E60" t="str">
        <f>INDEX('Player Data'!$B:$B,AL60)</f>
        <v>LAC</v>
      </c>
      <c r="F60" s="2"/>
      <c r="G60" s="3">
        <f>Settings!$B$2*AB60+Settings!$B$3*AC60+Settings!$B$4*AD60+Settings!$B$5*AE60+Settings!$B$6*AF60+Settings!$B$7*AG60+Settings!$B$8*AH60+Settings!$B$9*AI60+Settings!$B$10*AJ60</f>
        <v>0.35514623945145929</v>
      </c>
      <c r="H60" s="3">
        <f>G60-LARGE($G$2:$G$266,Settings!$F$4)</f>
        <v>3.5714110058986241</v>
      </c>
      <c r="I60">
        <f>IF(INDEX('Player Data'!$R:$R,AL60)="","",INDEX('Player Data'!$R:$R,AL60))</f>
        <v>58</v>
      </c>
      <c r="J60" s="4">
        <f t="shared" si="2"/>
        <v>-1</v>
      </c>
      <c r="L60" s="5">
        <f>IF(Settings!$F$7="Yes",INDEX('Minutes &amp; Health'!$O:$O,AL60),Settings!$F$8)</f>
        <v>74</v>
      </c>
      <c r="M60" s="6">
        <f>INDEX('Minutes &amp; Health'!$P:$P,AL60)</f>
        <v>32.700000000000003</v>
      </c>
      <c r="N60" s="5">
        <f>INDEX('Player Data'!$F:$F,AL60)/INDEX('Player Data'!$E:$E,AL60)*M60*L60*AM60</f>
        <v>1468.0920595533501</v>
      </c>
      <c r="O60" s="5">
        <f>INDEX('Player Data'!$G:$G,AL60)/INDEX('Player Data'!$E:$E,AL60)*M60*L60*AM60</f>
        <v>207.15409429280402</v>
      </c>
      <c r="P60" s="5">
        <f>INDEX('Player Data'!$H:$H,AL60)/INDEX('Player Data'!$E:$E,AL60)*M60*L60*AM60</f>
        <v>491.36550868486358</v>
      </c>
      <c r="Q60" s="5">
        <f>INDEX('Player Data'!$I:$I,AL60)/INDEX('Player Data'!$E:$E,AL60)*M60*L60*AM60</f>
        <v>88.065508684863545</v>
      </c>
      <c r="R60" s="5">
        <f>INDEX('Player Data'!$J:$J,AL60)/INDEX('Player Data'!$E:$E,AL60)*M60*L60*AM60</f>
        <v>14.010421836228289</v>
      </c>
      <c r="S60" s="5">
        <f>INDEX('Player Data'!$K:$K,AL60)/INDEX('Player Data'!$E:$E,AL60)*M60*L60*AM60</f>
        <v>197.14665012406951</v>
      </c>
      <c r="T60" s="5">
        <f>INDEX('Player Data'!$L:$L,AL60)/INDEX('Player Data'!$E:$E,AL60)*M60*L60*AM60</f>
        <v>213.15856079404469</v>
      </c>
      <c r="U60" s="7">
        <f>INDEX('Player Data'!$M:$M,AL60)</f>
        <v>0.46600000000000003</v>
      </c>
      <c r="V60" s="7">
        <f>INDEX('Player Data'!$N:$N,AL60)</f>
        <v>0.87</v>
      </c>
      <c r="W60" s="5">
        <f t="shared" si="3"/>
        <v>535.97249017369745</v>
      </c>
      <c r="X60" s="5">
        <f>INDEX('Player Data'!$O:$O,AL60)/INDEX('Player Data'!$E:$E,AL60)*M60*L60*AM60</f>
        <v>1150.1555583126553</v>
      </c>
      <c r="Y60" s="5">
        <f t="shared" si="4"/>
        <v>198.94298635235737</v>
      </c>
      <c r="Z60" s="5">
        <f>INDEX('Player Data'!$P:$P,AL60)/INDEX('Player Data'!$E:$E,AL60)*M60*L60*AM60</f>
        <v>228.67009925558318</v>
      </c>
      <c r="AB60" s="3">
        <f>(N60-Pool!$D$2)/Pool!$E$2</f>
        <v>0.56376656348000254</v>
      </c>
      <c r="AC60" s="3">
        <f>(O60-Pool!$D$3)/Pool!$E$3</f>
        <v>-1.29372871315664</v>
      </c>
      <c r="AD60" s="3">
        <f>(P60-Pool!$D$4)/Pool!$E$4</f>
        <v>1.4291108004362281</v>
      </c>
      <c r="AE60" s="3">
        <f>(Q60-Pool!$D$5)/Pool!$E$5</f>
        <v>0.61115143119169013</v>
      </c>
      <c r="AF60" s="3">
        <f>(R60-Pool!$D$6)/Pool!$E$6</f>
        <v>-1.0512337591561747</v>
      </c>
      <c r="AG60" s="3">
        <f>(S60-Pool!$D$7)/Pool!$E$7</f>
        <v>1.0384943595261273</v>
      </c>
      <c r="AH60" s="3">
        <f>(AS60-Pool!$D$8)/Pool!$E$8</f>
        <v>-0.45461272443712536</v>
      </c>
      <c r="AI60" s="3">
        <f>(AT60-Pool!$D$9)/Pool!$E$9</f>
        <v>0.71603903873906372</v>
      </c>
      <c r="AJ60" s="3">
        <f>-(T60-Pool!$D$10)/Pool!$E$10</f>
        <v>-1.2038407571717122</v>
      </c>
      <c r="AL60">
        <f>MATCH(B60,'Player Data'!$A:$A,0)</f>
        <v>49</v>
      </c>
      <c r="AM60" s="3">
        <f>1+IF(Settings!$F$10="ON",IFERROR(VLOOKUP(TRIM(F60),Settings!$D$12:$F$17,3,FALSE),0),0)</f>
        <v>1</v>
      </c>
      <c r="AN60" t="str">
        <f t="shared" si="5"/>
        <v>PG</v>
      </c>
      <c r="AO60" s="6">
        <f>X60*(U60-Pool!$B$12)</f>
        <v>-16.800057341080873</v>
      </c>
      <c r="AP60" s="6">
        <f>Z60*(V60-Pool!$B$13)</f>
        <v>18.270819310397282</v>
      </c>
      <c r="AQ60" s="3">
        <f>Settings!$B$2*(N60-Pool!$B$2)/Pool!$C$2+Settings!$B$3*(O60-Pool!$B$3)/Pool!$C$3+Settings!$B$4*(P60-Pool!$B$4)/Pool!$C$4+Settings!$B$5*(Q60-Pool!$B$5)/Pool!$C$5+Settings!$B$6*(R60-Pool!$B$6)/Pool!$C$6+Settings!$B$7*(S60-Pool!$B$7)/Pool!$C$7+Settings!$B$8*(AO60-Pool!$B$8)/Pool!$C$8+Settings!$B$9*(AP60-Pool!$B$9)/Pool!$C$9+Settings!$B$10*-(T60-Pool!$B$10)/Pool!$C$10</f>
        <v>2.3893031709718455</v>
      </c>
      <c r="AR60">
        <f>IF(RANK(AQ60,$AQ$2:$AQ$266)&lt;=Settings!$F$5,1,0)</f>
        <v>1</v>
      </c>
      <c r="AS60" s="6">
        <f>X60*(U60-Pool!$D$12)</f>
        <v>-20.787443607902166</v>
      </c>
      <c r="AT60" s="6">
        <f>Z60*(V60-Pool!$D$13)</f>
        <v>15.975251969029664</v>
      </c>
    </row>
    <row r="61" spans="1:46" x14ac:dyDescent="0.2">
      <c r="A61">
        <f t="shared" si="0"/>
        <v>60</v>
      </c>
      <c r="B61" t="s">
        <v>102</v>
      </c>
      <c r="C61" t="str">
        <f>INDEX('Player Data'!$C:$C,AL61)</f>
        <v>PG,SG</v>
      </c>
      <c r="D61">
        <f t="shared" si="1"/>
        <v>24</v>
      </c>
      <c r="E61" t="str">
        <f>INDEX('Player Data'!$B:$B,AL61)</f>
        <v>MEM</v>
      </c>
      <c r="F61" s="2"/>
      <c r="G61" s="3">
        <f>Settings!$B$2*AB61+Settings!$B$3*AC61+Settings!$B$4*AD61+Settings!$B$5*AE61+Settings!$B$6*AF61+Settings!$B$7*AG61+Settings!$B$8*AH61+Settings!$B$9*AI61+Settings!$B$10*AJ61</f>
        <v>0.32339547879917863</v>
      </c>
      <c r="H61" s="3">
        <f>G61-LARGE($G$2:$G$266,Settings!$F$4)</f>
        <v>3.5396602452463437</v>
      </c>
      <c r="I61">
        <f>IF(INDEX('Player Data'!$R:$R,AL61)="","",INDEX('Player Data'!$R:$R,AL61))</f>
        <v>112</v>
      </c>
      <c r="J61" s="4">
        <f t="shared" si="2"/>
        <v>52</v>
      </c>
      <c r="L61" s="5">
        <f>IF(Settings!$F$7="Yes",INDEX('Minutes &amp; Health'!$O:$O,AL61),Settings!$F$8)</f>
        <v>71</v>
      </c>
      <c r="M61" s="6">
        <f>INDEX('Minutes &amp; Health'!$P:$P,AL61)</f>
        <v>25.6</v>
      </c>
      <c r="N61" s="5">
        <f>INDEX('Player Data'!$F:$F,AL61)/INDEX('Player Data'!$E:$E,AL61)*M61*L61*AM61</f>
        <v>1242.0933920704845</v>
      </c>
      <c r="O61" s="5">
        <f>INDEX('Player Data'!$G:$G,AL61)/INDEX('Player Data'!$E:$E,AL61)*M61*L61*AM61</f>
        <v>210.18502202643171</v>
      </c>
      <c r="P61" s="5">
        <f>INDEX('Player Data'!$H:$H,AL61)/INDEX('Player Data'!$E:$E,AL61)*M61*L61*AM61</f>
        <v>358.3154185022027</v>
      </c>
      <c r="Q61" s="5">
        <f>INDEX('Player Data'!$I:$I,AL61)/INDEX('Player Data'!$E:$E,AL61)*M61*L61*AM61</f>
        <v>93.081938325991203</v>
      </c>
      <c r="R61" s="5">
        <f>INDEX('Player Data'!$J:$J,AL61)/INDEX('Player Data'!$E:$E,AL61)*M61*L61*AM61</f>
        <v>11.009691629955949</v>
      </c>
      <c r="S61" s="5">
        <f>INDEX('Player Data'!$K:$K,AL61)/INDEX('Player Data'!$E:$E,AL61)*M61*L61*AM61</f>
        <v>164.1444933920705</v>
      </c>
      <c r="T61" s="5">
        <f>INDEX('Player Data'!$L:$L,AL61)/INDEX('Player Data'!$E:$E,AL61)*M61*L61*AM61</f>
        <v>135.11894273127751</v>
      </c>
      <c r="U61" s="7">
        <f>INDEX('Player Data'!$M:$M,AL61)</f>
        <v>0.47899999999999998</v>
      </c>
      <c r="V61" s="7">
        <f>INDEX('Player Data'!$N:$N,AL61)</f>
        <v>0.872</v>
      </c>
      <c r="W61" s="5">
        <f t="shared" si="3"/>
        <v>436.22610185022023</v>
      </c>
      <c r="X61" s="5">
        <f>INDEX('Player Data'!$O:$O,AL61)/INDEX('Player Data'!$E:$E,AL61)*M61*L61*AM61</f>
        <v>910.70167400881053</v>
      </c>
      <c r="Y61" s="5">
        <f t="shared" si="4"/>
        <v>205.44965356828195</v>
      </c>
      <c r="Z61" s="5">
        <f>INDEX('Player Data'!$P:$P,AL61)/INDEX('Player Data'!$E:$E,AL61)*M61*L61*AM61</f>
        <v>235.60740088105729</v>
      </c>
      <c r="AB61" s="3">
        <f>(N61-Pool!$D$2)/Pool!$E$2</f>
        <v>6.6886277679560069E-3</v>
      </c>
      <c r="AC61" s="3">
        <f>(O61-Pool!$D$3)/Pool!$E$3</f>
        <v>-1.2760871689649993</v>
      </c>
      <c r="AD61" s="3">
        <f>(P61-Pool!$D$4)/Pool!$E$4</f>
        <v>0.52924944930895734</v>
      </c>
      <c r="AE61" s="3">
        <f>(Q61-Pool!$D$5)/Pool!$E$5</f>
        <v>0.83261761524841338</v>
      </c>
      <c r="AF61" s="3">
        <f>(R61-Pool!$D$6)/Pool!$E$6</f>
        <v>-1.1380770691925786</v>
      </c>
      <c r="AG61" s="3">
        <f>(S61-Pool!$D$7)/Pool!$E$7</f>
        <v>0.57368169245461265</v>
      </c>
      <c r="AH61" s="3">
        <f>(AS61-Pool!$D$8)/Pool!$E$8</f>
        <v>-0.10104905944864487</v>
      </c>
      <c r="AI61" s="3">
        <f>(AT61-Pool!$D$9)/Pool!$E$9</f>
        <v>0.75888262405738127</v>
      </c>
      <c r="AJ61" s="3">
        <f>-(T61-Pool!$D$10)/Pool!$E$10</f>
        <v>0.13748876756808059</v>
      </c>
      <c r="AL61">
        <f>MATCH(B61,'Player Data'!$A:$A,0)</f>
        <v>72</v>
      </c>
      <c r="AM61" s="3">
        <f>1+IF(Settings!$F$10="ON",IFERROR(VLOOKUP(TRIM(F61),Settings!$D$12:$F$17,3,FALSE),0),0)</f>
        <v>1</v>
      </c>
      <c r="AN61" t="str">
        <f t="shared" si="5"/>
        <v>PG</v>
      </c>
      <c r="AO61" s="6">
        <f>X61*(U61-Pool!$B$12)</f>
        <v>-1.4632878409935439</v>
      </c>
      <c r="AP61" s="6">
        <f>Z61*(V61-Pool!$B$13)</f>
        <v>19.296326889891979</v>
      </c>
      <c r="AQ61" s="3">
        <f>Settings!$B$2*(N61-Pool!$B$2)/Pool!$C$2+Settings!$B$3*(O61-Pool!$B$3)/Pool!$C$3+Settings!$B$4*(P61-Pool!$B$4)/Pool!$C$4+Settings!$B$5*(Q61-Pool!$B$5)/Pool!$C$5+Settings!$B$6*(R61-Pool!$B$6)/Pool!$C$6+Settings!$B$7*(S61-Pool!$B$7)/Pool!$C$7+Settings!$B$8*(AO61-Pool!$B$8)/Pool!$C$8+Settings!$B$9*(AP61-Pool!$B$9)/Pool!$C$9+Settings!$B$10*-(T61-Pool!$B$10)/Pool!$C$10</f>
        <v>2.3640263887086714</v>
      </c>
      <c r="AR61">
        <f>IF(RANK(AQ61,$AQ$2:$AQ$266)&lt;=Settings!$F$5,1,0)</f>
        <v>1</v>
      </c>
      <c r="AS61" s="6">
        <f>X61*(U61-Pool!$D$12)</f>
        <v>-4.6205297652435551</v>
      </c>
      <c r="AT61" s="6">
        <f>Z61*(V61-Pool!$D$13)</f>
        <v>16.931117548540552</v>
      </c>
    </row>
    <row r="62" spans="1:46" x14ac:dyDescent="0.2">
      <c r="A62">
        <f t="shared" si="0"/>
        <v>61</v>
      </c>
      <c r="B62" t="s">
        <v>103</v>
      </c>
      <c r="C62" t="str">
        <f>INDEX('Player Data'!$C:$C,AL62)</f>
        <v>SF,PF</v>
      </c>
      <c r="D62">
        <f t="shared" si="1"/>
        <v>7</v>
      </c>
      <c r="E62" t="str">
        <f>INDEX('Player Data'!$B:$B,AL62)</f>
        <v>BKN</v>
      </c>
      <c r="F62" s="2"/>
      <c r="G62" s="3">
        <f>Settings!$B$2*AB62+Settings!$B$3*AC62+Settings!$B$4*AD62+Settings!$B$5*AE62+Settings!$B$6*AF62+Settings!$B$7*AG62+Settings!$B$8*AH62+Settings!$B$9*AI62+Settings!$B$10*AJ62</f>
        <v>0.21457837882180969</v>
      </c>
      <c r="H62" s="3">
        <f>G62-LARGE($G$2:$G$266,Settings!$F$4)</f>
        <v>3.4308431452689749</v>
      </c>
      <c r="I62">
        <f>IF(INDEX('Player Data'!$R:$R,AL62)="","",INDEX('Player Data'!$R:$R,AL62))</f>
        <v>71</v>
      </c>
      <c r="J62" s="4">
        <f t="shared" si="2"/>
        <v>10</v>
      </c>
      <c r="L62" s="5">
        <f>IF(Settings!$F$7="Yes",INDEX('Minutes &amp; Health'!$O:$O,AL62),Settings!$F$8)</f>
        <v>74</v>
      </c>
      <c r="M62" s="6">
        <f>INDEX('Minutes &amp; Health'!$P:$P,AL62)</f>
        <v>32.9</v>
      </c>
      <c r="N62" s="5">
        <f>INDEX('Player Data'!$F:$F,AL62)/INDEX('Player Data'!$E:$E,AL62)*M62*L62*AM62</f>
        <v>1522.8732567678423</v>
      </c>
      <c r="O62" s="5">
        <f>INDEX('Player Data'!$G:$G,AL62)/INDEX('Player Data'!$E:$E,AL62)*M62*L62*AM62</f>
        <v>473.3389663658736</v>
      </c>
      <c r="P62" s="5">
        <f>INDEX('Player Data'!$H:$H,AL62)/INDEX('Player Data'!$E:$E,AL62)*M62*L62*AM62</f>
        <v>180.74757998359308</v>
      </c>
      <c r="Q62" s="5">
        <f>INDEX('Player Data'!$I:$I,AL62)/INDEX('Player Data'!$E:$E,AL62)*M62*L62*AM62</f>
        <v>63.910746513535685</v>
      </c>
      <c r="R62" s="5">
        <f>INDEX('Player Data'!$J:$J,AL62)/INDEX('Player Data'!$E:$E,AL62)*M62*L62*AM62</f>
        <v>25.963740771123867</v>
      </c>
      <c r="S62" s="5">
        <f>INDEX('Player Data'!$K:$K,AL62)/INDEX('Player Data'!$E:$E,AL62)*M62*L62*AM62</f>
        <v>223.68761279737492</v>
      </c>
      <c r="T62" s="5">
        <f>INDEX('Player Data'!$L:$L,AL62)/INDEX('Player Data'!$E:$E,AL62)*M62*L62*AM62</f>
        <v>143.79917965545528</v>
      </c>
      <c r="U62" s="7">
        <f>INDEX('Player Data'!$M:$M,AL62)</f>
        <v>0.45500000000000002</v>
      </c>
      <c r="V62" s="7">
        <f>INDEX('Player Data'!$N:$N,AL62)</f>
        <v>0.83499999999999996</v>
      </c>
      <c r="W62" s="5">
        <f t="shared" si="3"/>
        <v>532.97068867924531</v>
      </c>
      <c r="X62" s="5">
        <f>INDEX('Player Data'!$O:$O,AL62)/INDEX('Player Data'!$E:$E,AL62)*M62*L62*AM62</f>
        <v>1171.3641509433962</v>
      </c>
      <c r="Y62" s="5">
        <f t="shared" si="4"/>
        <v>233.3071787530763</v>
      </c>
      <c r="Z62" s="5">
        <f>INDEX('Player Data'!$P:$P,AL62)/INDEX('Player Data'!$E:$E,AL62)*M62*L62*AM62</f>
        <v>279.40979491386383</v>
      </c>
      <c r="AB62" s="3">
        <f>(N62-Pool!$D$2)/Pool!$E$2</f>
        <v>0.69880008646481218</v>
      </c>
      <c r="AC62" s="3">
        <f>(O62-Pool!$D$3)/Pool!$E$3</f>
        <v>0.25560290954184522</v>
      </c>
      <c r="AD62" s="3">
        <f>(P62-Pool!$D$4)/Pool!$E$4</f>
        <v>-0.67170001917121125</v>
      </c>
      <c r="AE62" s="3">
        <f>(Q62-Pool!$D$5)/Pool!$E$5</f>
        <v>-0.45523709363154446</v>
      </c>
      <c r="AF62" s="3">
        <f>(R62-Pool!$D$6)/Pool!$E$6</f>
        <v>-0.7052960337127766</v>
      </c>
      <c r="AG62" s="3">
        <f>(S62-Pool!$D$7)/Pool!$E$7</f>
        <v>1.4123055545642691</v>
      </c>
      <c r="AH62" s="3">
        <f>(AS62-Pool!$D$8)/Pool!$E$8</f>
        <v>-0.74478537546160994</v>
      </c>
      <c r="AI62" s="3">
        <f>(AT62-Pool!$D$9)/Pool!$E$9</f>
        <v>0.43659377859734261</v>
      </c>
      <c r="AJ62" s="3">
        <f>-(T62-Pool!$D$10)/Pool!$E$10</f>
        <v>-1.1705428369317032E-2</v>
      </c>
      <c r="AL62">
        <f>MATCH(B62,'Player Data'!$A:$A,0)</f>
        <v>40</v>
      </c>
      <c r="AM62" s="3">
        <f>1+IF(Settings!$F$10="ON",IFERROR(VLOOKUP(TRIM(F62),Settings!$D$12:$F$17,3,FALSE),0),0)</f>
        <v>1</v>
      </c>
      <c r="AN62" t="str">
        <f t="shared" si="5"/>
        <v>SF</v>
      </c>
      <c r="AO62" s="6">
        <f>X62*(U62-Pool!$B$12)</f>
        <v>-29.99485202933791</v>
      </c>
      <c r="AP62" s="6">
        <f>Z62*(V62-Pool!$B$13)</f>
        <v>12.545595563249323</v>
      </c>
      <c r="AQ62" s="3">
        <f>Settings!$B$2*(N62-Pool!$B$2)/Pool!$C$2+Settings!$B$3*(O62-Pool!$B$3)/Pool!$C$3+Settings!$B$4*(P62-Pool!$B$4)/Pool!$C$4+Settings!$B$5*(Q62-Pool!$B$5)/Pool!$C$5+Settings!$B$6*(R62-Pool!$B$6)/Pool!$C$6+Settings!$B$7*(S62-Pool!$B$7)/Pool!$C$7+Settings!$B$8*(AO62-Pool!$B$8)/Pool!$C$8+Settings!$B$9*(AP62-Pool!$B$9)/Pool!$C$9+Settings!$B$10*-(T62-Pool!$B$10)/Pool!$C$10</f>
        <v>2.2525926361442017</v>
      </c>
      <c r="AR62">
        <f>IF(RANK(AQ62,$AQ$2:$AQ$266)&lt;=Settings!$F$5,1,0)</f>
        <v>1</v>
      </c>
      <c r="AS62" s="6">
        <f>X62*(U62-Pool!$D$12)</f>
        <v>-34.055764742545712</v>
      </c>
      <c r="AT62" s="6">
        <f>Z62*(V62-Pool!$D$13)</f>
        <v>9.7406639077747865</v>
      </c>
    </row>
    <row r="63" spans="1:46" x14ac:dyDescent="0.2">
      <c r="A63">
        <f t="shared" si="0"/>
        <v>62</v>
      </c>
      <c r="B63" t="s">
        <v>104</v>
      </c>
      <c r="C63" t="str">
        <f>INDEX('Player Data'!$C:$C,AL63)</f>
        <v>PF</v>
      </c>
      <c r="D63">
        <f t="shared" si="1"/>
        <v>18</v>
      </c>
      <c r="E63" t="str">
        <f>INDEX('Player Data'!$B:$B,AL63)</f>
        <v>MEM</v>
      </c>
      <c r="F63" s="2"/>
      <c r="G63" s="3">
        <f>Settings!$B$2*AB63+Settings!$B$3*AC63+Settings!$B$4*AD63+Settings!$B$5*AE63+Settings!$B$6*AF63+Settings!$B$7*AG63+Settings!$B$8*AH63+Settings!$B$9*AI63+Settings!$B$10*AJ63</f>
        <v>0.19665351033026979</v>
      </c>
      <c r="H63" s="3">
        <f>G63-LARGE($G$2:$G$266,Settings!$F$4)</f>
        <v>3.4129182767774351</v>
      </c>
      <c r="I63">
        <f>IF(INDEX('Player Data'!$R:$R,AL63)="","",INDEX('Player Data'!$R:$R,AL63))</f>
        <v>65</v>
      </c>
      <c r="J63" s="4">
        <f t="shared" si="2"/>
        <v>3</v>
      </c>
      <c r="L63" s="5">
        <f>IF(Settings!$F$7="Yes",INDEX('Minutes &amp; Health'!$O:$O,AL63),Settings!$F$8)</f>
        <v>75</v>
      </c>
      <c r="M63" s="6">
        <f>INDEX('Minutes &amp; Health'!$P:$P,AL63)</f>
        <v>32.299999999999997</v>
      </c>
      <c r="N63" s="5">
        <f>INDEX('Player Data'!$F:$F,AL63)/INDEX('Player Data'!$E:$E,AL63)*M63*L63*AM63</f>
        <v>1339.3822314049585</v>
      </c>
      <c r="O63" s="5">
        <f>INDEX('Player Data'!$G:$G,AL63)/INDEX('Player Data'!$E:$E,AL63)*M63*L63*AM63</f>
        <v>615.63533057851225</v>
      </c>
      <c r="P63" s="5">
        <f>INDEX('Player Data'!$H:$H,AL63)/INDEX('Player Data'!$E:$E,AL63)*M63*L63*AM63</f>
        <v>226.23347107438016</v>
      </c>
      <c r="Q63" s="5">
        <f>INDEX('Player Data'!$I:$I,AL63)/INDEX('Player Data'!$E:$E,AL63)*M63*L63*AM63</f>
        <v>76.078512396694208</v>
      </c>
      <c r="R63" s="5">
        <f>INDEX('Player Data'!$J:$J,AL63)/INDEX('Player Data'!$E:$E,AL63)*M63*L63*AM63</f>
        <v>69.071280991735534</v>
      </c>
      <c r="S63" s="5">
        <f>INDEX('Player Data'!$K:$K,AL63)/INDEX('Player Data'!$E:$E,AL63)*M63*L63*AM63</f>
        <v>60.06198347107437</v>
      </c>
      <c r="T63" s="5">
        <f>INDEX('Player Data'!$L:$L,AL63)/INDEX('Player Data'!$E:$E,AL63)*M63*L63*AM63</f>
        <v>173.17871900826447</v>
      </c>
      <c r="U63" s="7">
        <f>INDEX('Player Data'!$M:$M,AL63)</f>
        <v>0.50700000000000001</v>
      </c>
      <c r="V63" s="7">
        <f>INDEX('Player Data'!$N:$N,AL63)</f>
        <v>0.755</v>
      </c>
      <c r="W63" s="5">
        <f t="shared" si="3"/>
        <v>542.39064266528931</v>
      </c>
      <c r="X63" s="5">
        <f>INDEX('Player Data'!$O:$O,AL63)/INDEX('Player Data'!$E:$E,AL63)*M63*L63*AM63</f>
        <v>1069.8040289256198</v>
      </c>
      <c r="Y63" s="5">
        <f t="shared" si="4"/>
        <v>194.53776136363635</v>
      </c>
      <c r="Z63" s="5">
        <f>INDEX('Player Data'!$P:$P,AL63)/INDEX('Player Data'!$E:$E,AL63)*M63*L63*AM63</f>
        <v>257.66590909090905</v>
      </c>
      <c r="AB63" s="3">
        <f>(N63-Pool!$D$2)/Pool!$E$2</f>
        <v>0.24650183723468344</v>
      </c>
      <c r="AC63" s="3">
        <f>(O63-Pool!$D$3)/Pool!$E$3</f>
        <v>1.0838402738693835</v>
      </c>
      <c r="AD63" s="3">
        <f>(P63-Pool!$D$4)/Pool!$E$4</f>
        <v>-0.36406403517457891</v>
      </c>
      <c r="AE63" s="3">
        <f>(Q63-Pool!$D$5)/Pool!$E$5</f>
        <v>8.194749210360848E-2</v>
      </c>
      <c r="AF63" s="3">
        <f>(R63-Pool!$D$6)/Pool!$E$6</f>
        <v>0.54226746681792137</v>
      </c>
      <c r="AG63" s="3">
        <f>(S63-Pool!$D$7)/Pool!$E$7</f>
        <v>-0.89224883519988085</v>
      </c>
      <c r="AH63" s="3">
        <f>(AS63-Pool!$D$8)/Pool!$E$8</f>
        <v>0.53639006794077748</v>
      </c>
      <c r="AI63" s="3">
        <f>(AT63-Pool!$D$9)/Pool!$E$9</f>
        <v>-0.5213056156182051</v>
      </c>
      <c r="AJ63" s="3">
        <f>-(T63-Pool!$D$10)/Pool!$E$10</f>
        <v>-0.51667514164343975</v>
      </c>
      <c r="AL63">
        <f>MATCH(B63,'Player Data'!$A:$A,0)</f>
        <v>68</v>
      </c>
      <c r="AM63" s="3">
        <f>1+IF(Settings!$F$10="ON",IFERROR(VLOOKUP(TRIM(F63),Settings!$D$12:$F$17,3,FALSE),0),0)</f>
        <v>1</v>
      </c>
      <c r="AN63" t="str">
        <f t="shared" si="5"/>
        <v>PF</v>
      </c>
      <c r="AO63" s="6">
        <f>X63*(U63-Pool!$B$12)</f>
        <v>28.235584128385586</v>
      </c>
      <c r="AP63" s="6">
        <f>Z63*(V63-Pool!$B$13)</f>
        <v>-9.0439850904951768</v>
      </c>
      <c r="AQ63" s="3">
        <f>Settings!$B$2*(N63-Pool!$B$2)/Pool!$C$2+Settings!$B$3*(O63-Pool!$B$3)/Pool!$C$3+Settings!$B$4*(P63-Pool!$B$4)/Pool!$C$4+Settings!$B$5*(Q63-Pool!$B$5)/Pool!$C$5+Settings!$B$6*(R63-Pool!$B$6)/Pool!$C$6+Settings!$B$7*(S63-Pool!$B$7)/Pool!$C$7+Settings!$B$8*(AO63-Pool!$B$8)/Pool!$C$8+Settings!$B$9*(AP63-Pool!$B$9)/Pool!$C$9+Settings!$B$10*-(T63-Pool!$B$10)/Pool!$C$10</f>
        <v>2.3406789186332775</v>
      </c>
      <c r="AR63">
        <f>IF(RANK(AQ63,$AQ$2:$AQ$266)&lt;=Settings!$F$5,1,0)</f>
        <v>1</v>
      </c>
      <c r="AS63" s="6">
        <f>X63*(U63-Pool!$D$12)</f>
        <v>24.526762428313841</v>
      </c>
      <c r="AT63" s="6">
        <f>Z63*(V63-Pool!$D$13)</f>
        <v>-11.630634800354199</v>
      </c>
    </row>
    <row r="64" spans="1:46" x14ac:dyDescent="0.2">
      <c r="A64">
        <f t="shared" si="0"/>
        <v>63</v>
      </c>
      <c r="B64" t="s">
        <v>105</v>
      </c>
      <c r="C64" t="str">
        <f>INDEX('Player Data'!$C:$C,AL64)</f>
        <v>PG,SG</v>
      </c>
      <c r="D64">
        <f t="shared" si="1"/>
        <v>25</v>
      </c>
      <c r="E64" t="str">
        <f>INDEX('Player Data'!$B:$B,AL64)</f>
        <v>ATL</v>
      </c>
      <c r="F64" s="2"/>
      <c r="G64" s="3">
        <f>Settings!$B$2*AB64+Settings!$B$3*AC64+Settings!$B$4*AD64+Settings!$B$5*AE64+Settings!$B$6*AF64+Settings!$B$7*AG64+Settings!$B$8*AH64+Settings!$B$9*AI64+Settings!$B$10*AJ64</f>
        <v>0.1921150395526133</v>
      </c>
      <c r="H64" s="3">
        <f>G64-LARGE($G$2:$G$266,Settings!$F$4)</f>
        <v>3.4083798059997785</v>
      </c>
      <c r="I64">
        <f>IF(INDEX('Player Data'!$R:$R,AL64)="","",INDEX('Player Data'!$R:$R,AL64))</f>
        <v>60</v>
      </c>
      <c r="J64" s="4">
        <f t="shared" si="2"/>
        <v>-3</v>
      </c>
      <c r="L64" s="5">
        <f>IF(Settings!$F$7="Yes",INDEX('Minutes &amp; Health'!$O:$O,AL64),Settings!$F$8)</f>
        <v>79</v>
      </c>
      <c r="M64" s="6">
        <f>INDEX('Minutes &amp; Health'!$P:$P,AL64)</f>
        <v>30.3</v>
      </c>
      <c r="N64" s="5">
        <f>INDEX('Player Data'!$F:$F,AL64)/INDEX('Player Data'!$E:$E,AL64)*M64*L64*AM64</f>
        <v>1281.7684056761268</v>
      </c>
      <c r="O64" s="5">
        <f>INDEX('Player Data'!$G:$G,AL64)/INDEX('Player Data'!$E:$E,AL64)*M64*L64*AM64</f>
        <v>244.76481636060097</v>
      </c>
      <c r="P64" s="5">
        <f>INDEX('Player Data'!$H:$H,AL64)/INDEX('Player Data'!$E:$E,AL64)*M64*L64*AM64</f>
        <v>260.74945742904845</v>
      </c>
      <c r="Q64" s="5">
        <f>INDEX('Player Data'!$I:$I,AL64)/INDEX('Player Data'!$E:$E,AL64)*M64*L64*AM64</f>
        <v>80.922245409015019</v>
      </c>
      <c r="R64" s="5">
        <f>INDEX('Player Data'!$J:$J,AL64)/INDEX('Player Data'!$E:$E,AL64)*M64*L64*AM64</f>
        <v>36.964482470784638</v>
      </c>
      <c r="S64" s="5">
        <f>INDEX('Player Data'!$K:$K,AL64)/INDEX('Player Data'!$E:$E,AL64)*M64*L64*AM64</f>
        <v>202.80513355592655</v>
      </c>
      <c r="T64" s="5">
        <f>INDEX('Player Data'!$L:$L,AL64)/INDEX('Player Data'!$E:$E,AL64)*M64*L64*AM64</f>
        <v>134.87040901502505</v>
      </c>
      <c r="U64" s="7">
        <f>INDEX('Player Data'!$M:$M,AL64)</f>
        <v>0.44900000000000001</v>
      </c>
      <c r="V64" s="7">
        <f>INDEX('Player Data'!$N:$N,AL64)</f>
        <v>0.878</v>
      </c>
      <c r="W64" s="5">
        <f t="shared" si="3"/>
        <v>431.16451317195333</v>
      </c>
      <c r="X64" s="5">
        <f>INDEX('Player Data'!$O:$O,AL64)/INDEX('Player Data'!$E:$E,AL64)*M64*L64*AM64</f>
        <v>960.27731218697841</v>
      </c>
      <c r="Y64" s="5">
        <f t="shared" si="4"/>
        <v>216.57010740400668</v>
      </c>
      <c r="Z64" s="5">
        <f>INDEX('Player Data'!$P:$P,AL64)/INDEX('Player Data'!$E:$E,AL64)*M64*L64*AM64</f>
        <v>246.66299248747913</v>
      </c>
      <c r="AB64" s="3">
        <f>(N64-Pool!$D$2)/Pool!$E$2</f>
        <v>0.10448599500444332</v>
      </c>
      <c r="AC64" s="3">
        <f>(O64-Pool!$D$3)/Pool!$E$3</f>
        <v>-1.0748151415537968</v>
      </c>
      <c r="AD64" s="3">
        <f>(P64-Pool!$D$4)/Pool!$E$4</f>
        <v>-0.13062111097992898</v>
      </c>
      <c r="AE64" s="3">
        <f>(Q64-Pool!$D$5)/Pool!$E$5</f>
        <v>0.29578943618938791</v>
      </c>
      <c r="AF64" s="3">
        <f>(R64-Pool!$D$6)/Pool!$E$6</f>
        <v>-0.38692658481759962</v>
      </c>
      <c r="AG64" s="3">
        <f>(S64-Pool!$D$7)/Pool!$E$7</f>
        <v>1.1181902047673948</v>
      </c>
      <c r="AH64" s="3">
        <f>(AS64-Pool!$D$8)/Pool!$E$8</f>
        <v>-0.73657577468126456</v>
      </c>
      <c r="AI64" s="3">
        <f>(AT64-Pool!$D$9)/Pool!$E$9</f>
        <v>0.86082749968272276</v>
      </c>
      <c r="AJ64" s="3">
        <f>-(T64-Pool!$D$10)/Pool!$E$10</f>
        <v>0.14176051594125447</v>
      </c>
      <c r="AL64">
        <f>MATCH(B64,'Player Data'!$A:$A,0)</f>
        <v>83</v>
      </c>
      <c r="AM64" s="3">
        <f>1+IF(Settings!$F$10="ON",IFERROR(VLOOKUP(TRIM(F64),Settings!$D$12:$F$17,3,FALSE),0),0)</f>
        <v>1</v>
      </c>
      <c r="AN64" t="str">
        <f t="shared" si="5"/>
        <v>PG</v>
      </c>
      <c r="AO64" s="6">
        <f>X64*(U64-Pool!$B$12)</f>
        <v>-30.351263839094035</v>
      </c>
      <c r="AP64" s="6">
        <f>Z64*(V64-Pool!$B$13)</f>
        <v>21.681761586841521</v>
      </c>
      <c r="AQ64" s="3">
        <f>Settings!$B$2*(N64-Pool!$B$2)/Pool!$C$2+Settings!$B$3*(O64-Pool!$B$3)/Pool!$C$3+Settings!$B$4*(P64-Pool!$B$4)/Pool!$C$4+Settings!$B$5*(Q64-Pool!$B$5)/Pool!$C$5+Settings!$B$6*(R64-Pool!$B$6)/Pool!$C$6+Settings!$B$7*(S64-Pool!$B$7)/Pool!$C$7+Settings!$B$8*(AO64-Pool!$B$8)/Pool!$C$8+Settings!$B$9*(AP64-Pool!$B$9)/Pool!$C$9+Settings!$B$10*-(T64-Pool!$B$10)/Pool!$C$10</f>
        <v>2.2833012157055488</v>
      </c>
      <c r="AR64">
        <f>IF(RANK(AQ64,$AQ$2:$AQ$266)&lt;=Settings!$F$5,1,0)</f>
        <v>1</v>
      </c>
      <c r="AS64" s="6">
        <f>X64*(U64-Pool!$D$12)</f>
        <v>-33.680375748592418</v>
      </c>
      <c r="AT64" s="6">
        <f>Z64*(V64-Pool!$D$13)</f>
        <v>19.205567665023221</v>
      </c>
    </row>
    <row r="65" spans="1:46" x14ac:dyDescent="0.2">
      <c r="A65">
        <f t="shared" si="0"/>
        <v>64</v>
      </c>
      <c r="B65" t="s">
        <v>106</v>
      </c>
      <c r="C65" t="str">
        <f>INDEX('Player Data'!$C:$C,AL65)</f>
        <v>C</v>
      </c>
      <c r="D65">
        <f t="shared" si="1"/>
        <v>13</v>
      </c>
      <c r="E65" t="str">
        <f>INDEX('Player Data'!$B:$B,AL65)</f>
        <v>MIN</v>
      </c>
      <c r="F65" s="2"/>
      <c r="G65" s="3">
        <f>Settings!$B$2*AB65+Settings!$B$3*AC65+Settings!$B$4*AD65+Settings!$B$5*AE65+Settings!$B$6*AF65+Settings!$B$7*AG65+Settings!$B$8*AH65+Settings!$B$9*AI65+Settings!$B$10*AJ65</f>
        <v>0.17877625303765798</v>
      </c>
      <c r="H65" s="3">
        <f>G65-LARGE($G$2:$G$266,Settings!$F$4)</f>
        <v>3.3950410194848231</v>
      </c>
      <c r="I65">
        <f>IF(INDEX('Player Data'!$R:$R,AL65)="","",INDEX('Player Data'!$R:$R,AL65))</f>
        <v>80</v>
      </c>
      <c r="J65" s="4">
        <f t="shared" si="2"/>
        <v>16</v>
      </c>
      <c r="L65" s="5">
        <f>IF(Settings!$F$7="Yes",INDEX('Minutes &amp; Health'!$O:$O,AL65),Settings!$F$8)</f>
        <v>75</v>
      </c>
      <c r="M65" s="6">
        <f>INDEX('Minutes &amp; Health'!$P:$P,AL65)</f>
        <v>32.1</v>
      </c>
      <c r="N65" s="5">
        <f>INDEX('Player Data'!$F:$F,AL65)/INDEX('Player Data'!$E:$E,AL65)*M65*L65*AM65</f>
        <v>851.7617171298217</v>
      </c>
      <c r="O65" s="5">
        <f>INDEX('Player Data'!$G:$G,AL65)/INDEX('Player Data'!$E:$E,AL65)*M65*L65*AM65</f>
        <v>834.78639568643723</v>
      </c>
      <c r="P65" s="5">
        <f>INDEX('Player Data'!$H:$H,AL65)/INDEX('Player Data'!$E:$E,AL65)*M65*L65*AM65</f>
        <v>126.81563666528412</v>
      </c>
      <c r="Q65" s="5">
        <f>INDEX('Player Data'!$I:$I,AL65)/INDEX('Player Data'!$E:$E,AL65)*M65*L65*AM65</f>
        <v>59.912899211945259</v>
      </c>
      <c r="R65" s="5">
        <f>INDEX('Player Data'!$J:$J,AL65)/INDEX('Player Data'!$E:$E,AL65)*M65*L65*AM65</f>
        <v>117.82870178349233</v>
      </c>
      <c r="S65" s="5">
        <f>INDEX('Player Data'!$K:$K,AL65)/INDEX('Player Data'!$E:$E,AL65)*M65*L65*AM65</f>
        <v>0</v>
      </c>
      <c r="T65" s="5">
        <f>INDEX('Player Data'!$L:$L,AL65)/INDEX('Player Data'!$E:$E,AL65)*M65*L65*AM65</f>
        <v>98.856283699709664</v>
      </c>
      <c r="U65" s="7">
        <f>INDEX('Player Data'!$M:$M,AL65)</f>
        <v>0.66600000000000004</v>
      </c>
      <c r="V65" s="7">
        <f>INDEX('Player Data'!$N:$N,AL65)</f>
        <v>0.59</v>
      </c>
      <c r="W65" s="5">
        <f t="shared" si="3"/>
        <v>344.68669784321855</v>
      </c>
      <c r="X65" s="5">
        <f>INDEX('Player Data'!$O:$O,AL65)/INDEX('Player Data'!$E:$E,AL65)*M65*L65*AM65</f>
        <v>517.54759435918697</v>
      </c>
      <c r="Y65" s="5">
        <f t="shared" si="4"/>
        <v>162.36795105765245</v>
      </c>
      <c r="Z65" s="5">
        <f>INDEX('Player Data'!$P:$P,AL65)/INDEX('Player Data'!$E:$E,AL65)*M65*L65*AM65</f>
        <v>275.19991704686856</v>
      </c>
      <c r="AB65" s="3">
        <f>(N65-Pool!$D$2)/Pool!$E$2</f>
        <v>-0.9554637872919951</v>
      </c>
      <c r="AC65" s="3">
        <f>(O65-Pool!$D$3)/Pool!$E$3</f>
        <v>2.3594111681708347</v>
      </c>
      <c r="AD65" s="3">
        <f>(P65-Pool!$D$4)/Pool!$E$4</f>
        <v>-1.0364594215639915</v>
      </c>
      <c r="AE65" s="3">
        <f>(Q65-Pool!$D$5)/Pool!$E$5</f>
        <v>-0.63173473232376587</v>
      </c>
      <c r="AF65" s="3">
        <f>(R65-Pool!$D$6)/Pool!$E$6</f>
        <v>1.9533426116420687</v>
      </c>
      <c r="AG65" s="3">
        <f>(S65-Pool!$D$7)/Pool!$E$7</f>
        <v>-1.7381805406185855</v>
      </c>
      <c r="AH65" s="3">
        <f>(AS65-Pool!$D$8)/Pool!$E$8</f>
        <v>2.0591431503074742</v>
      </c>
      <c r="AI65" s="3">
        <f>(AT65-Pool!$D$9)/Pool!$E$9</f>
        <v>-2.5920463761879406</v>
      </c>
      <c r="AJ65" s="3">
        <f>-(T65-Pool!$D$10)/Pool!$E$10</f>
        <v>0.7607641809035588</v>
      </c>
      <c r="AL65">
        <f>MATCH(B65,'Player Data'!$A:$A,0)</f>
        <v>156</v>
      </c>
      <c r="AM65" s="3">
        <f>1+IF(Settings!$F$10="ON",IFERROR(VLOOKUP(TRIM(F65),Settings!$D$12:$F$17,3,FALSE),0),0)</f>
        <v>1</v>
      </c>
      <c r="AN65" t="str">
        <f t="shared" si="5"/>
        <v>C</v>
      </c>
      <c r="AO65" s="6">
        <f>X65*(U65-Pool!$B$12)</f>
        <v>95.949820360508525</v>
      </c>
      <c r="AP65" s="6">
        <f>Z65*(V65-Pool!$B$13)</f>
        <v>-55.067409072456108</v>
      </c>
      <c r="AQ65" s="3">
        <f>Settings!$B$2*(N65-Pool!$B$2)/Pool!$C$2+Settings!$B$3*(O65-Pool!$B$3)/Pool!$C$3+Settings!$B$4*(P65-Pool!$B$4)/Pool!$C$4+Settings!$B$5*(Q65-Pool!$B$5)/Pool!$C$5+Settings!$B$6*(R65-Pool!$B$6)/Pool!$C$6+Settings!$B$7*(S65-Pool!$B$7)/Pool!$C$7+Settings!$B$8*(AO65-Pool!$B$8)/Pool!$C$8+Settings!$B$9*(AP65-Pool!$B$9)/Pool!$C$9+Settings!$B$10*-(T65-Pool!$B$10)/Pool!$C$10</f>
        <v>2.4660513106534161</v>
      </c>
      <c r="AR65">
        <f>IF(RANK(AQ65,$AQ$2:$AQ$266)&lt;=Settings!$F$5,1,0)</f>
        <v>1</v>
      </c>
      <c r="AS65" s="6">
        <f>X65*(U65-Pool!$D$12)</f>
        <v>94.155574221141322</v>
      </c>
      <c r="AT65" s="6">
        <f>Z65*(V65-Pool!$D$13)</f>
        <v>-57.83007871740071</v>
      </c>
    </row>
    <row r="66" spans="1:46" x14ac:dyDescent="0.2">
      <c r="A66">
        <f t="shared" ref="A66:A129" si="6">RANK(H66,$H$2:$H$266)</f>
        <v>65</v>
      </c>
      <c r="B66" t="s">
        <v>107</v>
      </c>
      <c r="C66" t="str">
        <f>INDEX('Player Data'!$C:$C,AL66)</f>
        <v>PF,C</v>
      </c>
      <c r="D66">
        <f t="shared" ref="D66:D129" si="7">SUMPRODUCT(($AN$2:$AN$266=AN66)*($H$2:$H$266&gt;H66))+1</f>
        <v>19</v>
      </c>
      <c r="E66" t="str">
        <f>INDEX('Player Data'!$B:$B,AL66)</f>
        <v>CHA</v>
      </c>
      <c r="F66" s="2"/>
      <c r="G66" s="3">
        <f>Settings!$B$2*AB66+Settings!$B$3*AC66+Settings!$B$4*AD66+Settings!$B$5*AE66+Settings!$B$6*AF66+Settings!$B$7*AG66+Settings!$B$8*AH66+Settings!$B$9*AI66+Settings!$B$10*AJ66</f>
        <v>0.14429177180238001</v>
      </c>
      <c r="H66" s="3">
        <f>G66-LARGE($G$2:$G$266,Settings!$F$4)</f>
        <v>3.3605565382495453</v>
      </c>
      <c r="I66">
        <f>IF(INDEX('Player Data'!$R:$R,AL66)="","",INDEX('Player Data'!$R:$R,AL66))</f>
        <v>67</v>
      </c>
      <c r="J66" s="4">
        <f t="shared" ref="J66:J129" si="8">IF(I66="","",I66-A66)</f>
        <v>2</v>
      </c>
      <c r="L66" s="5">
        <f>IF(Settings!$F$7="Yes",INDEX('Minutes &amp; Health'!$O:$O,AL66),Settings!$F$8)</f>
        <v>77</v>
      </c>
      <c r="M66" s="6">
        <f>INDEX('Minutes &amp; Health'!$P:$P,AL66)</f>
        <v>29.1</v>
      </c>
      <c r="N66" s="5">
        <f>INDEX('Player Data'!$F:$F,AL66)/INDEX('Player Data'!$E:$E,AL66)*M66*L66*AM66</f>
        <v>1142.8269282211324</v>
      </c>
      <c r="O66" s="5">
        <f>INDEX('Player Data'!$G:$G,AL66)/INDEX('Player Data'!$E:$E,AL66)*M66*L66*AM66</f>
        <v>500.48626839054839</v>
      </c>
      <c r="P66" s="5">
        <f>INDEX('Player Data'!$H:$H,AL66)/INDEX('Player Data'!$E:$E,AL66)*M66*L66*AM66</f>
        <v>178.8164511814534</v>
      </c>
      <c r="Q66" s="5">
        <f>INDEX('Player Data'!$I:$I,AL66)/INDEX('Player Data'!$E:$E,AL66)*M66*L66*AM66</f>
        <v>67.930271957200176</v>
      </c>
      <c r="R66" s="5">
        <f>INDEX('Player Data'!$J:$J,AL66)/INDEX('Player Data'!$E:$E,AL66)*M66*L66*AM66</f>
        <v>73.924119482835508</v>
      </c>
      <c r="S66" s="5">
        <f>INDEX('Player Data'!$K:$K,AL66)/INDEX('Player Data'!$E:$E,AL66)*M66*L66*AM66</f>
        <v>192.80209540793581</v>
      </c>
      <c r="T66" s="5">
        <f>INDEX('Player Data'!$L:$L,AL66)/INDEX('Player Data'!$E:$E,AL66)*M66*L66*AM66</f>
        <v>128.86772180115918</v>
      </c>
      <c r="U66" s="7">
        <f>INDEX('Player Data'!$M:$M,AL66)</f>
        <v>0.45400000000000001</v>
      </c>
      <c r="V66" s="7">
        <f>INDEX('Player Data'!$N:$N,AL66)</f>
        <v>0.745</v>
      </c>
      <c r="W66" s="5">
        <f t="shared" ref="W66:W129" si="9">X66*U66</f>
        <v>419.92755908158722</v>
      </c>
      <c r="X66" s="5">
        <f>INDEX('Player Data'!$O:$O,AL66)/INDEX('Player Data'!$E:$E,AL66)*M66*L66*AM66</f>
        <v>924.95057066428899</v>
      </c>
      <c r="Y66" s="5">
        <f t="shared" ref="Y66:Y129" si="10">Z66*V66</f>
        <v>110.1469380294249</v>
      </c>
      <c r="Z66" s="5">
        <f>INDEX('Player Data'!$P:$P,AL66)/INDEX('Player Data'!$E:$E,AL66)*M66*L66*AM66</f>
        <v>147.84823896567102</v>
      </c>
      <c r="AB66" s="3">
        <f>(N66-Pool!$D$2)/Pool!$E$2</f>
        <v>-0.23799934930086497</v>
      </c>
      <c r="AC66" s="3">
        <f>(O66-Pool!$D$3)/Pool!$E$3</f>
        <v>0.41361404357139087</v>
      </c>
      <c r="AD66" s="3">
        <f>(P66-Pool!$D$4)/Pool!$E$4</f>
        <v>-0.68476087595611457</v>
      </c>
      <c r="AE66" s="3">
        <f>(Q66-Pool!$D$5)/Pool!$E$5</f>
        <v>-0.27778240465734128</v>
      </c>
      <c r="AF66" s="3">
        <f>(R66-Pool!$D$6)/Pool!$E$6</f>
        <v>0.68271213483848259</v>
      </c>
      <c r="AG66" s="3">
        <f>(S66-Pool!$D$7)/Pool!$E$7</f>
        <v>0.9773042960632079</v>
      </c>
      <c r="AH66" s="3">
        <f>(AS66-Pool!$D$8)/Pool!$E$8</f>
        <v>-0.60833716261809023</v>
      </c>
      <c r="AI66" s="3">
        <f>(AT66-Pool!$D$9)/Pool!$E$9</f>
        <v>-0.36539242701940661</v>
      </c>
      <c r="AJ66" s="3">
        <f>-(T66-Pool!$D$10)/Pool!$E$10</f>
        <v>0.24493351688111631</v>
      </c>
      <c r="AL66">
        <f>MATCH(B66,'Player Data'!$A:$A,0)</f>
        <v>98</v>
      </c>
      <c r="AM66" s="3">
        <f>1+IF(Settings!$F$10="ON",IFERROR(VLOOKUP(TRIM(F66),Settings!$D$12:$F$17,3,FALSE),0),0)</f>
        <v>1</v>
      </c>
      <c r="AN66" t="str">
        <f t="shared" ref="AN66:AN129" si="11">IFERROR(LEFT(C66,FIND(",",C66)-1),C66)</f>
        <v>PF</v>
      </c>
      <c r="AO66" s="6">
        <f>X66*(U66-Pool!$B$12)</f>
        <v>-24.60994680277765</v>
      </c>
      <c r="AP66" s="6">
        <f>Z66*(V66-Pool!$B$13)</f>
        <v>-6.6679049002990922</v>
      </c>
      <c r="AQ66" s="3">
        <f>Settings!$B$2*(N66-Pool!$B$2)/Pool!$C$2+Settings!$B$3*(O66-Pool!$B$3)/Pool!$C$3+Settings!$B$4*(P66-Pool!$B$4)/Pool!$C$4+Settings!$B$5*(Q66-Pool!$B$5)/Pool!$C$5+Settings!$B$6*(R66-Pool!$B$6)/Pool!$C$6+Settings!$B$7*(S66-Pool!$B$7)/Pool!$C$7+Settings!$B$8*(AO66-Pool!$B$8)/Pool!$C$8+Settings!$B$9*(AP66-Pool!$B$9)/Pool!$C$9+Settings!$B$10*-(T66-Pool!$B$10)/Pool!$C$10</f>
        <v>2.1872045145864383</v>
      </c>
      <c r="AR66">
        <f>IF(RANK(AQ66,$AQ$2:$AQ$266)&lt;=Settings!$F$5,1,0)</f>
        <v>1</v>
      </c>
      <c r="AS66" s="6">
        <f>X66*(U66-Pool!$D$12)</f>
        <v>-27.816587136165261</v>
      </c>
      <c r="AT66" s="6">
        <f>Z66*(V66-Pool!$D$13)</f>
        <v>-8.1521198892862134</v>
      </c>
    </row>
    <row r="67" spans="1:46" x14ac:dyDescent="0.2">
      <c r="A67">
        <f t="shared" si="6"/>
        <v>66</v>
      </c>
      <c r="B67" t="s">
        <v>108</v>
      </c>
      <c r="C67" t="str">
        <f>INDEX('Player Data'!$C:$C,AL67)</f>
        <v>C</v>
      </c>
      <c r="D67">
        <f t="shared" si="7"/>
        <v>14</v>
      </c>
      <c r="E67" t="str">
        <f>INDEX('Player Data'!$B:$B,AL67)</f>
        <v>POR</v>
      </c>
      <c r="F67" s="2"/>
      <c r="G67" s="3">
        <f>Settings!$B$2*AB67+Settings!$B$3*AC67+Settings!$B$4*AD67+Settings!$B$5*AE67+Settings!$B$6*AF67+Settings!$B$7*AG67+Settings!$B$8*AH67+Settings!$B$9*AI67+Settings!$B$10*AJ67</f>
        <v>0.11586614665321082</v>
      </c>
      <c r="H67" s="3">
        <f>G67-LARGE($G$2:$G$266,Settings!$F$4)</f>
        <v>3.332130913100376</v>
      </c>
      <c r="I67">
        <f>IF(INDEX('Player Data'!$R:$R,AL67)="","",INDEX('Player Data'!$R:$R,AL67))</f>
        <v>42</v>
      </c>
      <c r="J67" s="4">
        <f t="shared" si="8"/>
        <v>-24</v>
      </c>
      <c r="L67" s="5">
        <f>IF(Settings!$F$7="Yes",INDEX('Minutes &amp; Health'!$O:$O,AL67),Settings!$F$8)</f>
        <v>76</v>
      </c>
      <c r="M67" s="6">
        <f>INDEX('Minutes &amp; Health'!$P:$P,AL67)</f>
        <v>25.1</v>
      </c>
      <c r="N67" s="5">
        <f>INDEX('Player Data'!$F:$F,AL67)/INDEX('Player Data'!$E:$E,AL67)*M67*L67*AM67</f>
        <v>763.83983228511534</v>
      </c>
      <c r="O67" s="5">
        <f>INDEX('Player Data'!$G:$G,AL67)/INDEX('Player Data'!$E:$E,AL67)*M67*L67*AM67</f>
        <v>765.83941299790354</v>
      </c>
      <c r="P67" s="5">
        <f>INDEX('Player Data'!$H:$H,AL67)/INDEX('Player Data'!$E:$E,AL67)*M67*L67*AM67</f>
        <v>133.97190775681344</v>
      </c>
      <c r="Q67" s="5">
        <f>INDEX('Player Data'!$I:$I,AL67)/INDEX('Player Data'!$E:$E,AL67)*M67*L67*AM67</f>
        <v>41.991194968553465</v>
      </c>
      <c r="R67" s="5">
        <f>INDEX('Player Data'!$J:$J,AL67)/INDEX('Player Data'!$E:$E,AL67)*M67*L67*AM67</f>
        <v>127.97316561844866</v>
      </c>
      <c r="S67" s="5">
        <f>INDEX('Player Data'!$K:$K,AL67)/INDEX('Player Data'!$E:$E,AL67)*M67*L67*AM67</f>
        <v>61.987002096436058</v>
      </c>
      <c r="T67" s="5">
        <f>INDEX('Player Data'!$L:$L,AL67)/INDEX('Player Data'!$E:$E,AL67)*M67*L67*AM67</f>
        <v>86.981761006289304</v>
      </c>
      <c r="U67" s="7">
        <f>INDEX('Player Data'!$M:$M,AL67)</f>
        <v>0.52100000000000002</v>
      </c>
      <c r="V67" s="7">
        <f>INDEX('Player Data'!$N:$N,AL67)</f>
        <v>0.66200000000000003</v>
      </c>
      <c r="W67" s="5">
        <f t="shared" si="9"/>
        <v>294.14702102725369</v>
      </c>
      <c r="X67" s="5">
        <f>INDEX('Player Data'!$O:$O,AL67)/INDEX('Player Data'!$E:$E,AL67)*M67*L67*AM67</f>
        <v>564.5816142557652</v>
      </c>
      <c r="Y67" s="5">
        <f t="shared" si="10"/>
        <v>113.50919853249476</v>
      </c>
      <c r="Z67" s="5">
        <f>INDEX('Player Data'!$P:$P,AL67)/INDEX('Player Data'!$E:$E,AL67)*M67*L67*AM67</f>
        <v>171.4640461215933</v>
      </c>
      <c r="AB67" s="3">
        <f>(N67-Pool!$D$2)/Pool!$E$2</f>
        <v>-1.1721878178304261</v>
      </c>
      <c r="AC67" s="3">
        <f>(O67-Pool!$D$3)/Pool!$E$3</f>
        <v>1.9581045885104138</v>
      </c>
      <c r="AD67" s="3">
        <f>(P67-Pool!$D$4)/Pool!$E$4</f>
        <v>-0.98805921556175735</v>
      </c>
      <c r="AE67" s="3">
        <f>(Q67-Pool!$D$5)/Pool!$E$5</f>
        <v>-1.4229451617567899</v>
      </c>
      <c r="AF67" s="3">
        <f>(R67-Pool!$D$6)/Pool!$E$6</f>
        <v>2.2469307576642312</v>
      </c>
      <c r="AG67" s="3">
        <f>(S67-Pool!$D$7)/Pool!$E$7</f>
        <v>-0.86513627256699288</v>
      </c>
      <c r="AH67" s="3">
        <f>(AS67-Pool!$D$8)/Pool!$E$8</f>
        <v>0.45593642001374346</v>
      </c>
      <c r="AI67" s="3">
        <f>(AT67-Pool!$D$9)/Pool!$E$9</f>
        <v>-1.0616382808660432</v>
      </c>
      <c r="AJ67" s="3">
        <f>-(T67-Pool!$D$10)/Pool!$E$10</f>
        <v>0.96486112904683174</v>
      </c>
      <c r="AL67">
        <f>MATCH(B67,'Player Data'!$A:$A,0)</f>
        <v>174</v>
      </c>
      <c r="AM67" s="3">
        <f>1+IF(Settings!$F$10="ON",IFERROR(VLOOKUP(TRIM(F67),Settings!$D$12:$F$17,3,FALSE),0),0)</f>
        <v>1</v>
      </c>
      <c r="AN67" t="str">
        <f t="shared" si="11"/>
        <v>C</v>
      </c>
      <c r="AO67" s="6">
        <f>X67*(U67-Pool!$B$12)</f>
        <v>22.805275176794773</v>
      </c>
      <c r="AP67" s="6">
        <f>Z67*(V67-Pool!$B$13)</f>
        <v>-21.964485536475078</v>
      </c>
      <c r="AQ67" s="3">
        <f>Settings!$B$2*(N67-Pool!$B$2)/Pool!$C$2+Settings!$B$3*(O67-Pool!$B$3)/Pool!$C$3+Settings!$B$4*(P67-Pool!$B$4)/Pool!$C$4+Settings!$B$5*(Q67-Pool!$B$5)/Pool!$C$5+Settings!$B$6*(R67-Pool!$B$6)/Pool!$C$6+Settings!$B$7*(S67-Pool!$B$7)/Pool!$C$7+Settings!$B$8*(AO67-Pool!$B$8)/Pool!$C$8+Settings!$B$9*(AP67-Pool!$B$9)/Pool!$C$9+Settings!$B$10*-(T67-Pool!$B$10)/Pool!$C$10</f>
        <v>2.5388917353811458</v>
      </c>
      <c r="AR67">
        <f>IF(RANK(AQ67,$AQ$2:$AQ$266)&lt;=Settings!$F$5,1,0)</f>
        <v>1</v>
      </c>
      <c r="AS67" s="6">
        <f>X67*(U67-Pool!$D$12)</f>
        <v>20.847970394052268</v>
      </c>
      <c r="AT67" s="6">
        <f>Z67*(V67-Pool!$D$13)</f>
        <v>-23.685774265420562</v>
      </c>
    </row>
    <row r="68" spans="1:46" x14ac:dyDescent="0.2">
      <c r="A68">
        <f t="shared" si="6"/>
        <v>67</v>
      </c>
      <c r="B68" t="s">
        <v>109</v>
      </c>
      <c r="C68" t="str">
        <f>INDEX('Player Data'!$C:$C,AL68)</f>
        <v>SF</v>
      </c>
      <c r="D68">
        <f t="shared" si="7"/>
        <v>8</v>
      </c>
      <c r="E68" t="str">
        <f>INDEX('Player Data'!$B:$B,AL68)</f>
        <v>WAS</v>
      </c>
      <c r="F68" s="2"/>
      <c r="G68" s="3">
        <f>Settings!$B$2*AB68+Settings!$B$3*AC68+Settings!$B$4*AD68+Settings!$B$5*AE68+Settings!$B$6*AF68+Settings!$B$7*AG68+Settings!$B$8*AH68+Settings!$B$9*AI68+Settings!$B$10*AJ68</f>
        <v>8.1054208936079619E-2</v>
      </c>
      <c r="H68" s="3">
        <f>G68-LARGE($G$2:$G$266,Settings!$F$4)</f>
        <v>3.2973189753832446</v>
      </c>
      <c r="I68">
        <f>IF(INDEX('Player Data'!$R:$R,AL68)="","",INDEX('Player Data'!$R:$R,AL68))</f>
        <v>82</v>
      </c>
      <c r="J68" s="4">
        <f t="shared" si="8"/>
        <v>15</v>
      </c>
      <c r="L68" s="5">
        <f>IF(Settings!$F$7="Yes",INDEX('Minutes &amp; Health'!$O:$O,AL68),Settings!$F$8)</f>
        <v>75</v>
      </c>
      <c r="M68" s="6">
        <f>INDEX('Minutes &amp; Health'!$P:$P,AL68)</f>
        <v>32.5</v>
      </c>
      <c r="N68" s="5">
        <f>INDEX('Player Data'!$F:$F,AL68)/INDEX('Player Data'!$E:$E,AL68)*M68*L68*AM68</f>
        <v>1490.0830258302583</v>
      </c>
      <c r="O68" s="5">
        <f>INDEX('Player Data'!$G:$G,AL68)/INDEX('Player Data'!$E:$E,AL68)*M68*L68*AM68</f>
        <v>458.71771217712177</v>
      </c>
      <c r="P68" s="5">
        <f>INDEX('Player Data'!$H:$H,AL68)/INDEX('Player Data'!$E:$E,AL68)*M68*L68*AM68</f>
        <v>229.85854858548586</v>
      </c>
      <c r="Q68" s="5">
        <f>INDEX('Player Data'!$I:$I,AL68)/INDEX('Player Data'!$E:$E,AL68)*M68*L68*AM68</f>
        <v>83.948339483394832</v>
      </c>
      <c r="R68" s="5">
        <f>INDEX('Player Data'!$J:$J,AL68)/INDEX('Player Data'!$E:$E,AL68)*M68*L68*AM68</f>
        <v>51.968019680196797</v>
      </c>
      <c r="S68" s="5">
        <f>INDEX('Player Data'!$K:$K,AL68)/INDEX('Player Data'!$E:$E,AL68)*M68*L68*AM68</f>
        <v>128.92066420664207</v>
      </c>
      <c r="T68" s="5">
        <f>INDEX('Player Data'!$L:$L,AL68)/INDEX('Player Data'!$E:$E,AL68)*M68*L68*AM68</f>
        <v>157.90282902829026</v>
      </c>
      <c r="U68" s="7">
        <f>INDEX('Player Data'!$M:$M,AL68)</f>
        <v>0.46400000000000002</v>
      </c>
      <c r="V68" s="7">
        <f>INDEX('Player Data'!$N:$N,AL68)</f>
        <v>0.79</v>
      </c>
      <c r="W68" s="5">
        <f t="shared" si="9"/>
        <v>562.71771217712183</v>
      </c>
      <c r="X68" s="5">
        <f>INDEX('Player Data'!$O:$O,AL68)/INDEX('Player Data'!$E:$E,AL68)*M68*L68*AM68</f>
        <v>1212.7536900369005</v>
      </c>
      <c r="Y68" s="5">
        <f t="shared" si="10"/>
        <v>235.74892373923743</v>
      </c>
      <c r="Z68" s="5">
        <f>INDEX('Player Data'!$P:$P,AL68)/INDEX('Player Data'!$E:$E,AL68)*M68*L68*AM68</f>
        <v>298.41635916359166</v>
      </c>
      <c r="AB68" s="3">
        <f>(N68-Pool!$D$2)/Pool!$E$2</f>
        <v>0.61797344104392471</v>
      </c>
      <c r="AC68" s="3">
        <f>(O68-Pool!$D$3)/Pool!$E$3</f>
        <v>0.17049975810532239</v>
      </c>
      <c r="AD68" s="3">
        <f>(P68-Pool!$D$4)/Pool!$E$4</f>
        <v>-0.339546448282257</v>
      </c>
      <c r="AE68" s="3">
        <f>(Q68-Pool!$D$5)/Pool!$E$5</f>
        <v>0.42938594908673777</v>
      </c>
      <c r="AF68" s="3">
        <f>(R68-Pool!$D$6)/Pool!$E$6</f>
        <v>4.7286671274589846E-2</v>
      </c>
      <c r="AG68" s="3">
        <f>(S68-Pool!$D$7)/Pool!$E$7</f>
        <v>7.7578297724787887E-2</v>
      </c>
      <c r="AH68" s="3">
        <f>(AS68-Pool!$D$8)/Pool!$E$8</f>
        <v>-0.53240021890588674</v>
      </c>
      <c r="AI68" s="3">
        <f>(AT68-Pool!$D$9)/Pool!$E$9</f>
        <v>-0.13560707599083013</v>
      </c>
      <c r="AJ68" s="3">
        <f>-(T68-Pool!$D$10)/Pool!$E$10</f>
        <v>-0.2541161651203091</v>
      </c>
      <c r="AL68">
        <f>MATCH(B68,'Player Data'!$A:$A,0)</f>
        <v>50</v>
      </c>
      <c r="AM68" s="3">
        <f>1+IF(Settings!$F$10="ON",IFERROR(VLOOKUP(TRIM(F68),Settings!$D$12:$F$17,3,FALSE),0),0)</f>
        <v>1</v>
      </c>
      <c r="AN68" t="str">
        <f t="shared" si="11"/>
        <v>SF</v>
      </c>
      <c r="AO68" s="6">
        <f>X68*(U68-Pool!$B$12)</f>
        <v>-20.139921213901349</v>
      </c>
      <c r="AP68" s="6">
        <f>Z68*(V68-Pool!$B$13)</f>
        <v>-2.9739349533654962E-2</v>
      </c>
      <c r="AQ68" s="3">
        <f>Settings!$B$2*(N68-Pool!$B$2)/Pool!$C$2+Settings!$B$3*(O68-Pool!$B$3)/Pool!$C$3+Settings!$B$4*(P68-Pool!$B$4)/Pool!$C$4+Settings!$B$5*(Q68-Pool!$B$5)/Pool!$C$5+Settings!$B$6*(R68-Pool!$B$6)/Pool!$C$6+Settings!$B$7*(S68-Pool!$B$7)/Pool!$C$7+Settings!$B$8*(AO68-Pool!$B$8)/Pool!$C$8+Settings!$B$9*(AP68-Pool!$B$9)/Pool!$C$9+Settings!$B$10*-(T68-Pool!$B$10)/Pool!$C$10</f>
        <v>2.0194609372476782</v>
      </c>
      <c r="AR68">
        <f>IF(RANK(AQ68,$AQ$2:$AQ$266)&lt;=Settings!$F$5,1,0)</f>
        <v>1</v>
      </c>
      <c r="AS68" s="6">
        <f>X68*(U68-Pool!$D$12)</f>
        <v>-24.344324152043267</v>
      </c>
      <c r="AT68" s="6">
        <f>Z68*(V68-Pool!$D$13)</f>
        <v>-3.0254735992490529</v>
      </c>
    </row>
    <row r="69" spans="1:46" x14ac:dyDescent="0.2">
      <c r="A69">
        <f t="shared" si="6"/>
        <v>68</v>
      </c>
      <c r="B69" t="s">
        <v>110</v>
      </c>
      <c r="C69" t="str">
        <f>INDEX('Player Data'!$C:$C,AL69)</f>
        <v>PF,C</v>
      </c>
      <c r="D69">
        <f t="shared" si="7"/>
        <v>20</v>
      </c>
      <c r="E69" t="str">
        <f>INDEX('Player Data'!$B:$B,AL69)</f>
        <v>UTH</v>
      </c>
      <c r="F69" s="2"/>
      <c r="G69" s="3">
        <f>Settings!$B$2*AB69+Settings!$B$3*AC69+Settings!$B$4*AD69+Settings!$B$5*AE69+Settings!$B$6*AF69+Settings!$B$7*AG69+Settings!$B$8*AH69+Settings!$B$9*AI69+Settings!$B$10*AJ69</f>
        <v>-2.2427705178197976E-2</v>
      </c>
      <c r="H69" s="3">
        <f>G69-LARGE($G$2:$G$266,Settings!$F$4)</f>
        <v>3.193837061268967</v>
      </c>
      <c r="I69">
        <f>IF(INDEX('Player Data'!$R:$R,AL69)="","",INDEX('Player Data'!$R:$R,AL69))</f>
        <v>54</v>
      </c>
      <c r="J69" s="4">
        <f t="shared" si="8"/>
        <v>-14</v>
      </c>
      <c r="L69" s="5">
        <f>IF(Settings!$F$7="Yes",INDEX('Minutes &amp; Health'!$O:$O,AL69),Settings!$F$8)</f>
        <v>70</v>
      </c>
      <c r="M69" s="6">
        <f>INDEX('Minutes &amp; Health'!$P:$P,AL69)</f>
        <v>31</v>
      </c>
      <c r="N69" s="5">
        <f>INDEX('Player Data'!$F:$F,AL69)/INDEX('Player Data'!$E:$E,AL69)*M69*L69*AM69</f>
        <v>1418.3463841547675</v>
      </c>
      <c r="O69" s="5">
        <f>INDEX('Player Data'!$G:$G,AL69)/INDEX('Player Data'!$E:$E,AL69)*M69*L69*AM69</f>
        <v>359.83417779824964</v>
      </c>
      <c r="P69" s="5">
        <f>INDEX('Player Data'!$H:$H,AL69)/INDEX('Player Data'!$E:$E,AL69)*M69*L69*AM69</f>
        <v>137.93643482266236</v>
      </c>
      <c r="Q69" s="5">
        <f>INDEX('Player Data'!$I:$I,AL69)/INDEX('Player Data'!$E:$E,AL69)*M69*L69*AM69</f>
        <v>80.962690004606173</v>
      </c>
      <c r="R69" s="5">
        <f>INDEX('Player Data'!$J:$J,AL69)/INDEX('Player Data'!$E:$E,AL69)*M69*L69*AM69</f>
        <v>87.959465684016578</v>
      </c>
      <c r="S69" s="5">
        <f>INDEX('Player Data'!$K:$K,AL69)/INDEX('Player Data'!$E:$E,AL69)*M69*L69*AM69</f>
        <v>122.94334408106863</v>
      </c>
      <c r="T69" s="5">
        <f>INDEX('Player Data'!$L:$L,AL69)/INDEX('Player Data'!$E:$E,AL69)*M69*L69*AM69</f>
        <v>145.93274988484572</v>
      </c>
      <c r="U69" s="7">
        <f>INDEX('Player Data'!$M:$M,AL69)</f>
        <v>0.47</v>
      </c>
      <c r="V69" s="7">
        <f>INDEX('Player Data'!$N:$N,AL69)</f>
        <v>0.79400000000000004</v>
      </c>
      <c r="W69" s="5">
        <f t="shared" si="9"/>
        <v>526.20450944265315</v>
      </c>
      <c r="X69" s="5">
        <f>INDEX('Player Data'!$O:$O,AL69)/INDEX('Player Data'!$E:$E,AL69)*M69*L69*AM69</f>
        <v>1119.5840626439428</v>
      </c>
      <c r="Y69" s="5">
        <f t="shared" si="10"/>
        <v>242.93145002303089</v>
      </c>
      <c r="Z69" s="5">
        <f>INDEX('Player Data'!$P:$P,AL69)/INDEX('Player Data'!$E:$E,AL69)*M69*L69*AM69</f>
        <v>305.95900506678953</v>
      </c>
      <c r="AB69" s="3">
        <f>(N69-Pool!$D$2)/Pool!$E$2</f>
        <v>0.44114540615063491</v>
      </c>
      <c r="AC69" s="3">
        <f>(O69-Pool!$D$3)/Pool!$E$3</f>
        <v>-0.40505281024395634</v>
      </c>
      <c r="AD69" s="3">
        <f>(P69-Pool!$D$4)/Pool!$E$4</f>
        <v>-0.96124582011679605</v>
      </c>
      <c r="AE69" s="3">
        <f>(Q69-Pool!$D$5)/Pool!$E$5</f>
        <v>0.2975749910345819</v>
      </c>
      <c r="AF69" s="3">
        <f>(R69-Pool!$D$6)/Pool!$E$6</f>
        <v>1.0889052404597903</v>
      </c>
      <c r="AG69" s="3">
        <f>(S69-Pool!$D$7)/Pool!$E$7</f>
        <v>-6.6081429393808891E-3</v>
      </c>
      <c r="AH69" s="3">
        <f>(AS69-Pool!$D$8)/Pool!$E$8</f>
        <v>-0.34458962899012929</v>
      </c>
      <c r="AI69" s="3">
        <f>(AT69-Pool!$D$9)/Pool!$E$9</f>
        <v>-8.4180128924851952E-2</v>
      </c>
      <c r="AJ69" s="3">
        <f>-(T69-Pool!$D$10)/Pool!$E$10</f>
        <v>-4.8376811608090639E-2</v>
      </c>
      <c r="AL69">
        <f>MATCH(B69,'Player Data'!$A:$A,0)</f>
        <v>45</v>
      </c>
      <c r="AM69" s="3">
        <f>1+IF(Settings!$F$10="ON",IFERROR(VLOOKUP(TRIM(F69),Settings!$D$12:$F$17,3,FALSE),0),0)</f>
        <v>1</v>
      </c>
      <c r="AN69" t="str">
        <f t="shared" si="11"/>
        <v>PF</v>
      </c>
      <c r="AO69" s="6">
        <f>X69*(U69-Pool!$B$12)</f>
        <v>-11.875170294375929</v>
      </c>
      <c r="AP69" s="6">
        <f>Z69*(V69-Pool!$B$13)</f>
        <v>1.1933449914906085</v>
      </c>
      <c r="AQ69" s="3">
        <f>Settings!$B$2*(N69-Pool!$B$2)/Pool!$C$2+Settings!$B$3*(O69-Pool!$B$3)/Pool!$C$3+Settings!$B$4*(P69-Pool!$B$4)/Pool!$C$4+Settings!$B$5*(Q69-Pool!$B$5)/Pool!$C$5+Settings!$B$6*(R69-Pool!$B$6)/Pool!$C$6+Settings!$B$7*(S69-Pool!$B$7)/Pool!$C$7+Settings!$B$8*(AO69-Pool!$B$8)/Pool!$C$8+Settings!$B$9*(AP69-Pool!$B$9)/Pool!$C$9+Settings!$B$10*-(T69-Pool!$B$10)/Pool!$C$10</f>
        <v>2.0664126423514864</v>
      </c>
      <c r="AR69">
        <f>IF(RANK(AQ69,$AQ$2:$AQ$266)&lt;=Settings!$F$5,1,0)</f>
        <v>1</v>
      </c>
      <c r="AS69" s="6">
        <f>X69*(U69-Pool!$D$12)</f>
        <v>-15.756570582948815</v>
      </c>
      <c r="AT69" s="6">
        <f>Z69*(V69-Pool!$D$13)</f>
        <v>-1.8781081723252675</v>
      </c>
    </row>
    <row r="70" spans="1:46" x14ac:dyDescent="0.2">
      <c r="A70">
        <f t="shared" si="6"/>
        <v>69</v>
      </c>
      <c r="B70" t="s">
        <v>111</v>
      </c>
      <c r="C70" t="str">
        <f>INDEX('Player Data'!$C:$C,AL70)</f>
        <v>PF,SF</v>
      </c>
      <c r="D70">
        <f t="shared" si="7"/>
        <v>21</v>
      </c>
      <c r="E70" t="str">
        <f>INDEX('Player Data'!$B:$B,AL70)</f>
        <v>BOS</v>
      </c>
      <c r="F70" s="2"/>
      <c r="G70" s="3">
        <f>Settings!$B$2*AB70+Settings!$B$3*AC70+Settings!$B$4*AD70+Settings!$B$5*AE70+Settings!$B$6*AF70+Settings!$B$7*AG70+Settings!$B$8*AH70+Settings!$B$9*AI70+Settings!$B$10*AJ70</f>
        <v>-4.35287178904539E-2</v>
      </c>
      <c r="H70" s="3">
        <f>G70-LARGE($G$2:$G$266,Settings!$F$4)</f>
        <v>3.1727360485567111</v>
      </c>
      <c r="I70">
        <f>IF(INDEX('Player Data'!$R:$R,AL70)="","",INDEX('Player Data'!$R:$R,AL70))</f>
        <v>88</v>
      </c>
      <c r="J70" s="4">
        <f t="shared" si="8"/>
        <v>19</v>
      </c>
      <c r="L70" s="5">
        <f>IF(Settings!$F$7="Yes",INDEX('Minutes &amp; Health'!$O:$O,AL70),Settings!$F$8)</f>
        <v>63</v>
      </c>
      <c r="M70" s="6">
        <f>INDEX('Minutes &amp; Health'!$P:$P,AL70)</f>
        <v>31.8</v>
      </c>
      <c r="N70" s="5">
        <f>INDEX('Player Data'!$F:$F,AL70)/INDEX('Player Data'!$E:$E,AL70)*M70*L70*AM70</f>
        <v>1190.8321678321677</v>
      </c>
      <c r="O70" s="5">
        <f>INDEX('Player Data'!$G:$G,AL70)/INDEX('Player Data'!$E:$E,AL70)*M70*L70*AM70</f>
        <v>339.23706293706294</v>
      </c>
      <c r="P70" s="5">
        <f>INDEX('Player Data'!$H:$H,AL70)/INDEX('Player Data'!$E:$E,AL70)*M70*L70*AM70</f>
        <v>232.16223776223777</v>
      </c>
      <c r="Q70" s="5">
        <f>INDEX('Player Data'!$I:$I,AL70)/INDEX('Player Data'!$E:$E,AL70)*M70*L70*AM70</f>
        <v>90.062937062937053</v>
      </c>
      <c r="R70" s="5">
        <f>INDEX('Player Data'!$J:$J,AL70)/INDEX('Player Data'!$E:$E,AL70)*M70*L70*AM70</f>
        <v>30.020979020979023</v>
      </c>
      <c r="S70" s="5">
        <f>INDEX('Player Data'!$K:$K,AL70)/INDEX('Player Data'!$E:$E,AL70)*M70*L70*AM70</f>
        <v>197.13776223776225</v>
      </c>
      <c r="T70" s="5">
        <f>INDEX('Player Data'!$L:$L,AL70)/INDEX('Player Data'!$E:$E,AL70)*M70*L70*AM70</f>
        <v>133.09300699300701</v>
      </c>
      <c r="U70" s="7">
        <f>INDEX('Player Data'!$M:$M,AL70)</f>
        <v>0.44700000000000001</v>
      </c>
      <c r="V70" s="7">
        <f>INDEX('Player Data'!$N:$N,AL70)</f>
        <v>0.83799999999999997</v>
      </c>
      <c r="W70" s="5">
        <f t="shared" si="9"/>
        <v>410.85661153846161</v>
      </c>
      <c r="X70" s="5">
        <f>INDEX('Player Data'!$O:$O,AL70)/INDEX('Player Data'!$E:$E,AL70)*M70*L70*AM70</f>
        <v>919.14230769230778</v>
      </c>
      <c r="Y70" s="5">
        <f t="shared" si="10"/>
        <v>171.91013286713289</v>
      </c>
      <c r="Z70" s="5">
        <f>INDEX('Player Data'!$P:$P,AL70)/INDEX('Player Data'!$E:$E,AL70)*M70*L70*AM70</f>
        <v>205.14335664335667</v>
      </c>
      <c r="AB70" s="3">
        <f>(N70-Pool!$D$2)/Pool!$E$2</f>
        <v>-0.11966829857506722</v>
      </c>
      <c r="AC70" s="3">
        <f>(O70-Pool!$D$3)/Pool!$E$3</f>
        <v>-0.52493851652868262</v>
      </c>
      <c r="AD70" s="3">
        <f>(P70-Pool!$D$4)/Pool!$E$4</f>
        <v>-0.32396584362183722</v>
      </c>
      <c r="AE70" s="3">
        <f>(Q70-Pool!$D$5)/Pool!$E$5</f>
        <v>0.69933423698483776</v>
      </c>
      <c r="AF70" s="3">
        <f>(R70-Pool!$D$6)/Pool!$E$6</f>
        <v>-0.58787661410376513</v>
      </c>
      <c r="AG70" s="3">
        <f>(S70-Pool!$D$7)/Pool!$E$7</f>
        <v>1.0383691797637058</v>
      </c>
      <c r="AH70" s="3">
        <f>(AS70-Pool!$D$8)/Pool!$E$8</f>
        <v>-0.74522589906565384</v>
      </c>
      <c r="AI70" s="3">
        <f>(AT70-Pool!$D$9)/Pool!$E$9</f>
        <v>0.34813288680030163</v>
      </c>
      <c r="AJ70" s="3">
        <f>-(T70-Pool!$D$10)/Pool!$E$10</f>
        <v>0.17231015045570694</v>
      </c>
      <c r="AL70">
        <f>MATCH(B70,'Player Data'!$A:$A,0)</f>
        <v>58</v>
      </c>
      <c r="AM70" s="3">
        <f>1+IF(Settings!$F$10="ON",IFERROR(VLOOKUP(TRIM(F70),Settings!$D$12:$F$17,3,FALSE),0),0)</f>
        <v>1</v>
      </c>
      <c r="AN70" t="str">
        <f t="shared" si="11"/>
        <v>PF</v>
      </c>
      <c r="AO70" s="6">
        <f>X70*(U70-Pool!$B$12)</f>
        <v>-30.88940384146402</v>
      </c>
      <c r="AP70" s="6">
        <f>Z70*(V70-Pool!$B$13)</f>
        <v>9.8264370989727343</v>
      </c>
      <c r="AQ70" s="3">
        <f>Settings!$B$2*(N70-Pool!$B$2)/Pool!$C$2+Settings!$B$3*(O70-Pool!$B$3)/Pool!$C$3+Settings!$B$4*(P70-Pool!$B$4)/Pool!$C$4+Settings!$B$5*(Q70-Pool!$B$5)/Pool!$C$5+Settings!$B$6*(R70-Pool!$B$6)/Pool!$C$6+Settings!$B$7*(S70-Pool!$B$7)/Pool!$C$7+Settings!$B$8*(AO70-Pool!$B$8)/Pool!$C$8+Settings!$B$9*(AP70-Pool!$B$9)/Pool!$C$9+Settings!$B$10*-(T70-Pool!$B$10)/Pool!$C$10</f>
        <v>1.8826060632433934</v>
      </c>
      <c r="AR70">
        <f>IF(RANK(AQ70,$AQ$2:$AQ$266)&lt;=Settings!$F$5,1,0)</f>
        <v>1</v>
      </c>
      <c r="AS70" s="6">
        <f>X70*(U70-Pool!$D$12)</f>
        <v>-34.07590795254572</v>
      </c>
      <c r="AT70" s="6">
        <f>Z70*(V70-Pool!$D$13)</f>
        <v>7.767049398779041</v>
      </c>
    </row>
    <row r="71" spans="1:46" x14ac:dyDescent="0.2">
      <c r="A71">
        <f t="shared" si="6"/>
        <v>70</v>
      </c>
      <c r="B71" t="s">
        <v>112</v>
      </c>
      <c r="C71" t="str">
        <f>INDEX('Player Data'!$C:$C,AL71)</f>
        <v>PG,SG</v>
      </c>
      <c r="D71">
        <f t="shared" si="7"/>
        <v>26</v>
      </c>
      <c r="E71" t="str">
        <f>INDEX('Player Data'!$B:$B,AL71)</f>
        <v>SAS</v>
      </c>
      <c r="F71" s="2"/>
      <c r="G71" s="3">
        <f>Settings!$B$2*AB71+Settings!$B$3*AC71+Settings!$B$4*AD71+Settings!$B$5*AE71+Settings!$B$6*AF71+Settings!$B$7*AG71+Settings!$B$8*AH71+Settings!$B$9*AI71+Settings!$B$10*AJ71</f>
        <v>-0.14646483580951652</v>
      </c>
      <c r="H71" s="3">
        <f>G71-LARGE($G$2:$G$266,Settings!$F$4)</f>
        <v>3.0697999306376484</v>
      </c>
      <c r="I71">
        <f>IF(INDEX('Player Data'!$R:$R,AL71)="","",INDEX('Player Data'!$R:$R,AL71))</f>
        <v>93</v>
      </c>
      <c r="J71" s="4">
        <f t="shared" si="8"/>
        <v>23</v>
      </c>
      <c r="L71" s="5">
        <f>IF(Settings!$F$7="Yes",INDEX('Minutes &amp; Health'!$O:$O,AL71),Settings!$F$8)</f>
        <v>75</v>
      </c>
      <c r="M71" s="6">
        <f>INDEX('Minutes &amp; Health'!$P:$P,AL71)</f>
        <v>31.3</v>
      </c>
      <c r="N71" s="5">
        <f>INDEX('Player Data'!$F:$F,AL71)/INDEX('Player Data'!$E:$E,AL71)*M71*L71*AM71</f>
        <v>1425.4819148936169</v>
      </c>
      <c r="O71" s="5">
        <f>INDEX('Player Data'!$G:$G,AL71)/INDEX('Player Data'!$E:$E,AL71)*M71*L71*AM71</f>
        <v>291.68936170212766</v>
      </c>
      <c r="P71" s="5">
        <f>INDEX('Player Data'!$H:$H,AL71)/INDEX('Player Data'!$E:$E,AL71)*M71*L71*AM71</f>
        <v>415.55744680851063</v>
      </c>
      <c r="Q71" s="5">
        <f>INDEX('Player Data'!$I:$I,AL71)/INDEX('Player Data'!$E:$E,AL71)*M71*L71*AM71</f>
        <v>95.897872340425522</v>
      </c>
      <c r="R71" s="5">
        <f>INDEX('Player Data'!$J:$J,AL71)/INDEX('Player Data'!$E:$E,AL71)*M71*L71*AM71</f>
        <v>21.976595744680854</v>
      </c>
      <c r="S71" s="5">
        <f>INDEX('Player Data'!$K:$K,AL71)/INDEX('Player Data'!$E:$E,AL71)*M71*L71*AM71</f>
        <v>133.85744680851064</v>
      </c>
      <c r="T71" s="5">
        <f>INDEX('Player Data'!$L:$L,AL71)/INDEX('Player Data'!$E:$E,AL71)*M71*L71*AM71</f>
        <v>168.82021276595745</v>
      </c>
      <c r="U71" s="7">
        <f>INDEX('Player Data'!$M:$M,AL71)</f>
        <v>0.47099999999999997</v>
      </c>
      <c r="V71" s="7">
        <f>INDEX('Player Data'!$N:$N,AL71)</f>
        <v>0.78100000000000003</v>
      </c>
      <c r="W71" s="5">
        <f t="shared" si="9"/>
        <v>539.19178085106375</v>
      </c>
      <c r="X71" s="5">
        <f>INDEX('Player Data'!$O:$O,AL71)/INDEX('Player Data'!$E:$E,AL71)*M71*L71*AM71</f>
        <v>1144.7808510638297</v>
      </c>
      <c r="Y71" s="5">
        <f t="shared" si="10"/>
        <v>213.22022840425535</v>
      </c>
      <c r="Z71" s="5">
        <f>INDEX('Player Data'!$P:$P,AL71)/INDEX('Player Data'!$E:$E,AL71)*M71*L71*AM71</f>
        <v>273.00925531914896</v>
      </c>
      <c r="AB71" s="3">
        <f>(N71-Pool!$D$2)/Pool!$E$2</f>
        <v>0.4587342122196329</v>
      </c>
      <c r="AC71" s="3">
        <f>(O71-Pool!$D$3)/Pool!$E$3</f>
        <v>-0.80169037149391487</v>
      </c>
      <c r="AD71" s="3">
        <f>(P71-Pool!$D$4)/Pool!$E$4</f>
        <v>0.91639604095923877</v>
      </c>
      <c r="AE71" s="3">
        <f>(Q71-Pool!$D$5)/Pool!$E$5</f>
        <v>0.95693594628197887</v>
      </c>
      <c r="AF71" s="3">
        <f>(R71-Pool!$D$6)/Pool!$E$6</f>
        <v>-0.82068690456405313</v>
      </c>
      <c r="AG71" s="3">
        <f>(S71-Pool!$D$7)/Pool!$E$7</f>
        <v>0.14710948341550528</v>
      </c>
      <c r="AH71" s="3">
        <f>(AS71-Pool!$D$8)/Pool!$E$8</f>
        <v>-0.32730890769195842</v>
      </c>
      <c r="AI71" s="3">
        <f>(AT71-Pool!$D$9)/Pool!$E$9</f>
        <v>-0.23419233679183749</v>
      </c>
      <c r="AJ71" s="3">
        <f>-(T71-Pool!$D$10)/Pool!$E$10</f>
        <v>-0.44176199814410844</v>
      </c>
      <c r="AL71">
        <f>MATCH(B71,'Player Data'!$A:$A,0)</f>
        <v>57</v>
      </c>
      <c r="AM71" s="3">
        <f>1+IF(Settings!$F$10="ON",IFERROR(VLOOKUP(TRIM(F71),Settings!$D$12:$F$17,3,FALSE),0),0)</f>
        <v>1</v>
      </c>
      <c r="AN71" t="str">
        <f t="shared" si="11"/>
        <v>PG</v>
      </c>
      <c r="AO71" s="6">
        <f>X71*(U71-Pool!$B$12)</f>
        <v>-10.997645974859095</v>
      </c>
      <c r="AP71" s="6">
        <f>Z71*(V71-Pool!$B$13)</f>
        <v>-2.4842906456619058</v>
      </c>
      <c r="AQ71" s="3">
        <f>Settings!$B$2*(N71-Pool!$B$2)/Pool!$C$2+Settings!$B$3*(O71-Pool!$B$3)/Pool!$C$3+Settings!$B$4*(P71-Pool!$B$4)/Pool!$C$4+Settings!$B$5*(Q71-Pool!$B$5)/Pool!$C$5+Settings!$B$6*(R71-Pool!$B$6)/Pool!$C$6+Settings!$B$7*(S71-Pool!$B$7)/Pool!$C$7+Settings!$B$8*(AO71-Pool!$B$8)/Pool!$C$8+Settings!$B$9*(AP71-Pool!$B$9)/Pool!$C$9+Settings!$B$10*-(T71-Pool!$B$10)/Pool!$C$10</f>
        <v>1.6874299587178077</v>
      </c>
      <c r="AR71">
        <f>IF(RANK(AQ71,$AQ$2:$AQ$266)&lt;=Settings!$F$5,1,0)</f>
        <v>1</v>
      </c>
      <c r="AS71" s="6">
        <f>X71*(U71-Pool!$D$12)</f>
        <v>-14.966399080524699</v>
      </c>
      <c r="AT71" s="6">
        <f>Z71*(V71-Pool!$D$13)</f>
        <v>-5.2249687336232906</v>
      </c>
    </row>
    <row r="72" spans="1:46" x14ac:dyDescent="0.2">
      <c r="A72">
        <f t="shared" si="6"/>
        <v>71</v>
      </c>
      <c r="B72" t="s">
        <v>113</v>
      </c>
      <c r="C72" t="str">
        <f>INDEX('Player Data'!$C:$C,AL72)</f>
        <v>C</v>
      </c>
      <c r="D72">
        <f t="shared" si="7"/>
        <v>15</v>
      </c>
      <c r="E72" t="str">
        <f>INDEX('Player Data'!$B:$B,AL72)</f>
        <v>PHI</v>
      </c>
      <c r="F72" s="2"/>
      <c r="G72" s="3">
        <f>Settings!$B$2*AB72+Settings!$B$3*AC72+Settings!$B$4*AD72+Settings!$B$5*AE72+Settings!$B$6*AF72+Settings!$B$7*AG72+Settings!$B$8*AH72+Settings!$B$9*AI72+Settings!$B$10*AJ72</f>
        <v>-0.20711838406335481</v>
      </c>
      <c r="H72" s="3">
        <f>G72-LARGE($G$2:$G$266,Settings!$F$4)</f>
        <v>3.0091463823838103</v>
      </c>
      <c r="I72">
        <f>IF(INDEX('Player Data'!$R:$R,AL72)="","",INDEX('Player Data'!$R:$R,AL72))</f>
        <v>49</v>
      </c>
      <c r="J72" s="4">
        <f t="shared" si="8"/>
        <v>-22</v>
      </c>
      <c r="L72" s="5">
        <f>IF(Settings!$F$7="Yes",INDEX('Minutes &amp; Health'!$O:$O,AL72),Settings!$F$8)</f>
        <v>59</v>
      </c>
      <c r="M72" s="6">
        <f>INDEX('Minutes &amp; Health'!$P:$P,AL72)</f>
        <v>31</v>
      </c>
      <c r="N72" s="5">
        <f>INDEX('Player Data'!$F:$F,AL72)/INDEX('Player Data'!$E:$E,AL72)*M72*L72*AM72</f>
        <v>1523.6661193212917</v>
      </c>
      <c r="O72" s="5">
        <f>INDEX('Player Data'!$G:$G,AL72)/INDEX('Player Data'!$E:$E,AL72)*M72*L72*AM72</f>
        <v>474.51888341543514</v>
      </c>
      <c r="P72" s="5">
        <f>INDEX('Player Data'!$H:$H,AL72)/INDEX('Player Data'!$E:$E,AL72)*M72*L72*AM72</f>
        <v>239.2616310892173</v>
      </c>
      <c r="Q72" s="5">
        <f>INDEX('Player Data'!$I:$I,AL72)/INDEX('Player Data'!$E:$E,AL72)*M72*L72*AM72</f>
        <v>36.039408866995075</v>
      </c>
      <c r="R72" s="5">
        <f>INDEX('Player Data'!$J:$J,AL72)/INDEX('Player Data'!$E:$E,AL72)*M72*L72*AM72</f>
        <v>70.076628352490417</v>
      </c>
      <c r="S72" s="5">
        <f>INDEX('Player Data'!$K:$K,AL72)/INDEX('Player Data'!$E:$E,AL72)*M72*L72*AM72</f>
        <v>74.081007115489868</v>
      </c>
      <c r="T72" s="5">
        <f>INDEX('Player Data'!$L:$L,AL72)/INDEX('Player Data'!$E:$E,AL72)*M72*L72*AM72</f>
        <v>173.18938149972632</v>
      </c>
      <c r="U72" s="7">
        <f>INDEX('Player Data'!$M:$M,AL72)</f>
        <v>0.49</v>
      </c>
      <c r="V72" s="7">
        <f>INDEX('Player Data'!$N:$N,AL72)</f>
        <v>0.86099999999999999</v>
      </c>
      <c r="W72" s="5">
        <f t="shared" si="9"/>
        <v>520.6062796934865</v>
      </c>
      <c r="X72" s="5">
        <f>INDEX('Player Data'!$O:$O,AL72)/INDEX('Player Data'!$E:$E,AL72)*M72*L72*AM72</f>
        <v>1062.4617952928297</v>
      </c>
      <c r="Y72" s="5">
        <f t="shared" si="10"/>
        <v>408.38837011494252</v>
      </c>
      <c r="Z72" s="5">
        <f>INDEX('Player Data'!$P:$P,AL72)/INDEX('Player Data'!$E:$E,AL72)*M72*L72*AM72</f>
        <v>474.31866447728515</v>
      </c>
      <c r="AB72" s="3">
        <f>(N72-Pool!$D$2)/Pool!$E$2</f>
        <v>0.70075446185781054</v>
      </c>
      <c r="AC72" s="3">
        <f>(O72-Pool!$D$3)/Pool!$E$3</f>
        <v>0.26247062814211553</v>
      </c>
      <c r="AD72" s="3">
        <f>(P72-Pool!$D$4)/Pool!$E$4</f>
        <v>-0.27595032057612429</v>
      </c>
      <c r="AE72" s="3">
        <f>(Q72-Pool!$D$5)/Pool!$E$5</f>
        <v>-1.6857056209940242</v>
      </c>
      <c r="AF72" s="3">
        <f>(R72-Pool!$D$6)/Pool!$E$6</f>
        <v>0.571362949098141</v>
      </c>
      <c r="AG72" s="3">
        <f>(S72-Pool!$D$7)/Pool!$E$7</f>
        <v>-0.69480053438682388</v>
      </c>
      <c r="AH72" s="3">
        <f>(AS72-Pool!$D$8)/Pool!$E$8</f>
        <v>0.13770359834607351</v>
      </c>
      <c r="AI72" s="3">
        <f>(AT72-Pool!$D$9)/Pool!$E$9</f>
        <v>1.2939048608879031</v>
      </c>
      <c r="AJ72" s="3">
        <f>-(T72-Pool!$D$10)/Pool!$E$10</f>
        <v>-0.51685840643842607</v>
      </c>
      <c r="AL72">
        <f>MATCH(B72,'Player Data'!$A:$A,0)</f>
        <v>10</v>
      </c>
      <c r="AM72" s="3">
        <f>1+IF(Settings!$F$10="ON",IFERROR(VLOOKUP(TRIM(F72),Settings!$D$12:$F$17,3,FALSE),0),0)</f>
        <v>1</v>
      </c>
      <c r="AN72" t="str">
        <f t="shared" si="11"/>
        <v>C</v>
      </c>
      <c r="AO72" s="6">
        <f>X72*(U72-Pool!$B$12)</f>
        <v>9.9799483451035798</v>
      </c>
      <c r="AP72" s="6">
        <f>Z72*(V72-Pool!$B$13)</f>
        <v>33.629355890798664</v>
      </c>
      <c r="AQ72" s="3">
        <f>Settings!$B$2*(N72-Pool!$B$2)/Pool!$C$2+Settings!$B$3*(O72-Pool!$B$3)/Pool!$C$3+Settings!$B$4*(P72-Pool!$B$4)/Pool!$C$4+Settings!$B$5*(Q72-Pool!$B$5)/Pool!$C$5+Settings!$B$6*(R72-Pool!$B$6)/Pool!$C$6+Settings!$B$7*(S72-Pool!$B$7)/Pool!$C$7+Settings!$B$8*(AO72-Pool!$B$8)/Pool!$C$8+Settings!$B$9*(AP72-Pool!$B$9)/Pool!$C$9+Settings!$B$10*-(T72-Pool!$B$10)/Pool!$C$10</f>
        <v>2.4779899088361161</v>
      </c>
      <c r="AR72">
        <f>IF(RANK(AQ72,$AQ$2:$AQ$266)&lt;=Settings!$F$5,1,0)</f>
        <v>1</v>
      </c>
      <c r="AS72" s="6">
        <f>X72*(U72-Pool!$D$12)</f>
        <v>6.2965808728044097</v>
      </c>
      <c r="AT72" s="6">
        <f>Z72*(V72-Pool!$D$13)</f>
        <v>28.867778233204781</v>
      </c>
    </row>
    <row r="73" spans="1:46" x14ac:dyDescent="0.2">
      <c r="A73">
        <f t="shared" si="6"/>
        <v>72</v>
      </c>
      <c r="B73" t="s">
        <v>114</v>
      </c>
      <c r="C73" t="str">
        <f>INDEX('Player Data'!$C:$C,AL73)</f>
        <v>PF,SF,SG</v>
      </c>
      <c r="D73">
        <f t="shared" si="7"/>
        <v>22</v>
      </c>
      <c r="E73" t="str">
        <f>INDEX('Player Data'!$B:$B,AL73)</f>
        <v>POR</v>
      </c>
      <c r="F73" s="2"/>
      <c r="G73" s="3">
        <f>Settings!$B$2*AB73+Settings!$B$3*AC73+Settings!$B$4*AD73+Settings!$B$5*AE73+Settings!$B$6*AF73+Settings!$B$7*AG73+Settings!$B$8*AH73+Settings!$B$9*AI73+Settings!$B$10*AJ73</f>
        <v>-0.25319326957216681</v>
      </c>
      <c r="H73" s="3">
        <f>G73-LARGE($G$2:$G$266,Settings!$F$4)</f>
        <v>2.9630714968749983</v>
      </c>
      <c r="I73">
        <f>IF(INDEX('Player Data'!$R:$R,AL73)="","",INDEX('Player Data'!$R:$R,AL73))</f>
        <v>35</v>
      </c>
      <c r="J73" s="4">
        <f t="shared" si="8"/>
        <v>-37</v>
      </c>
      <c r="L73" s="5">
        <f>IF(Settings!$F$7="Yes",INDEX('Minutes &amp; Health'!$O:$O,AL73),Settings!$F$8)</f>
        <v>75</v>
      </c>
      <c r="M73" s="6">
        <f>INDEX('Minutes &amp; Health'!$P:$P,AL73)</f>
        <v>33.700000000000003</v>
      </c>
      <c r="N73" s="5">
        <f>INDEX('Player Data'!$F:$F,AL73)/INDEX('Player Data'!$E:$E,AL73)*M73*L73*AM73</f>
        <v>1678.339920948617</v>
      </c>
      <c r="O73" s="5">
        <f>INDEX('Player Data'!$G:$G,AL73)/INDEX('Player Data'!$E:$E,AL73)*M73*L73*AM73</f>
        <v>545.46047430830049</v>
      </c>
      <c r="P73" s="5">
        <f>INDEX('Player Data'!$H:$H,AL73)/INDEX('Player Data'!$E:$E,AL73)*M73*L73*AM73</f>
        <v>434.57015810276687</v>
      </c>
      <c r="Q73" s="5">
        <f>INDEX('Player Data'!$I:$I,AL73)/INDEX('Player Data'!$E:$E,AL73)*M73*L73*AM73</f>
        <v>63.936758893280633</v>
      </c>
      <c r="R73" s="5">
        <f>INDEX('Player Data'!$J:$J,AL73)/INDEX('Player Data'!$E:$E,AL73)*M73*L73*AM73</f>
        <v>44.955533596837952</v>
      </c>
      <c r="S73" s="5">
        <f>INDEX('Player Data'!$K:$K,AL73)/INDEX('Player Data'!$E:$E,AL73)*M73*L73*AM73</f>
        <v>138.8626482213439</v>
      </c>
      <c r="T73" s="5">
        <f>INDEX('Player Data'!$L:$L,AL73)/INDEX('Player Data'!$E:$E,AL73)*M73*L73*AM73</f>
        <v>266.73616600790518</v>
      </c>
      <c r="U73" s="7">
        <f>INDEX('Player Data'!$M:$M,AL73)</f>
        <v>0.46899999999999997</v>
      </c>
      <c r="V73" s="7">
        <f>INDEX('Player Data'!$N:$N,AL73)</f>
        <v>0.79400000000000004</v>
      </c>
      <c r="W73" s="5">
        <f t="shared" si="9"/>
        <v>534.27224081027668</v>
      </c>
      <c r="X73" s="5">
        <f>INDEX('Player Data'!$O:$O,AL73)/INDEX('Player Data'!$E:$E,AL73)*M73*L73*AM73</f>
        <v>1139.1732213438736</v>
      </c>
      <c r="Y73" s="5">
        <f t="shared" si="10"/>
        <v>470.93199189723327</v>
      </c>
      <c r="Z73" s="5">
        <f>INDEX('Player Data'!$P:$P,AL73)/INDEX('Player Data'!$E:$E,AL73)*M73*L73*AM73</f>
        <v>593.11333992094865</v>
      </c>
      <c r="AB73" s="3">
        <f>(N73-Pool!$D$2)/Pool!$E$2</f>
        <v>1.0820193740760107</v>
      </c>
      <c r="AC73" s="3">
        <f>(O73-Pool!$D$3)/Pool!$E$3</f>
        <v>0.67538684414962602</v>
      </c>
      <c r="AD73" s="3">
        <f>(P73-Pool!$D$4)/Pool!$E$4</f>
        <v>1.04498523657988</v>
      </c>
      <c r="AE73" s="3">
        <f>(Q73-Pool!$D$5)/Pool!$E$5</f>
        <v>-0.45408869469196461</v>
      </c>
      <c r="AF73" s="3">
        <f>(R73-Pool!$D$6)/Pool!$E$6</f>
        <v>-0.1556597654927509</v>
      </c>
      <c r="AG73" s="3">
        <f>(S73-Pool!$D$7)/Pool!$E$7</f>
        <v>0.21760430097612174</v>
      </c>
      <c r="AH73" s="3">
        <f>(AS73-Pool!$D$8)/Pool!$E$8</f>
        <v>-0.37553209442587177</v>
      </c>
      <c r="AI73" s="3">
        <f>(AT73-Pool!$D$9)/Pool!$E$9</f>
        <v>-0.1631864288834822</v>
      </c>
      <c r="AJ73" s="3">
        <f>-(T73-Pool!$D$10)/Pool!$E$10</f>
        <v>-2.1247220418597363</v>
      </c>
      <c r="AL73">
        <f>MATCH(B73,'Player Data'!$A:$A,0)</f>
        <v>25</v>
      </c>
      <c r="AM73" s="3">
        <f>1+IF(Settings!$F$10="ON",IFERROR(VLOOKUP(TRIM(F73),Settings!$D$12:$F$17,3,FALSE),0),0)</f>
        <v>1</v>
      </c>
      <c r="AN73" t="str">
        <f t="shared" si="11"/>
        <v>PF</v>
      </c>
      <c r="AO73" s="6">
        <f>X73*(U73-Pool!$B$12)</f>
        <v>-13.222121210353899</v>
      </c>
      <c r="AP73" s="6">
        <f>Z73*(V73-Pool!$B$13)</f>
        <v>2.3133453235881181</v>
      </c>
      <c r="AQ73" s="3">
        <f>Settings!$B$2*(N73-Pool!$B$2)/Pool!$C$2+Settings!$B$3*(O73-Pool!$B$3)/Pool!$C$3+Settings!$B$4*(P73-Pool!$B$4)/Pool!$C$4+Settings!$B$5*(Q73-Pool!$B$5)/Pool!$C$5+Settings!$B$6*(R73-Pool!$B$6)/Pool!$C$6+Settings!$B$7*(S73-Pool!$B$7)/Pool!$C$7+Settings!$B$8*(AO73-Pool!$B$8)/Pool!$C$8+Settings!$B$9*(AP73-Pool!$B$9)/Pool!$C$9+Settings!$B$10*-(T73-Pool!$B$10)/Pool!$C$10</f>
        <v>1.9900611170865279</v>
      </c>
      <c r="AR73">
        <f>IF(RANK(AQ73,$AQ$2:$AQ$266)&lt;=Settings!$F$5,1,0)</f>
        <v>1</v>
      </c>
      <c r="AS73" s="6">
        <f>X73*(U73-Pool!$D$12)</f>
        <v>-17.171433653777626</v>
      </c>
      <c r="AT73" s="6">
        <f>Z73*(V73-Pool!$D$13)</f>
        <v>-3.6407851783198919</v>
      </c>
    </row>
    <row r="74" spans="1:46" x14ac:dyDescent="0.2">
      <c r="A74">
        <f t="shared" si="6"/>
        <v>73</v>
      </c>
      <c r="B74" t="s">
        <v>115</v>
      </c>
      <c r="C74" t="str">
        <f>INDEX('Player Data'!$C:$C,AL74)</f>
        <v>PG,SG</v>
      </c>
      <c r="D74">
        <f t="shared" si="7"/>
        <v>27</v>
      </c>
      <c r="E74" t="str">
        <f>INDEX('Player Data'!$B:$B,AL74)</f>
        <v>TOR</v>
      </c>
      <c r="F74" s="2"/>
      <c r="G74" s="3">
        <f>Settings!$B$2*AB74+Settings!$B$3*AC74+Settings!$B$4*AD74+Settings!$B$5*AE74+Settings!$B$6*AF74+Settings!$B$7*AG74+Settings!$B$8*AH74+Settings!$B$9*AI74+Settings!$B$10*AJ74</f>
        <v>-0.2634392517035532</v>
      </c>
      <c r="H74" s="3">
        <f>G74-LARGE($G$2:$G$266,Settings!$F$4)</f>
        <v>2.952825514743612</v>
      </c>
      <c r="I74">
        <f>IF(INDEX('Player Data'!$R:$R,AL74)="","",INDEX('Player Data'!$R:$R,AL74))</f>
        <v>117</v>
      </c>
      <c r="J74" s="4">
        <f t="shared" si="8"/>
        <v>44</v>
      </c>
      <c r="L74" s="5">
        <f>IF(Settings!$F$7="Yes",INDEX('Minutes &amp; Health'!$O:$O,AL74),Settings!$F$8)</f>
        <v>72</v>
      </c>
      <c r="M74" s="6">
        <f>INDEX('Minutes &amp; Health'!$P:$P,AL74)</f>
        <v>30.9</v>
      </c>
      <c r="N74" s="5">
        <f>INDEX('Player Data'!$F:$F,AL74)/INDEX('Player Data'!$E:$E,AL74)*M74*L74*AM74</f>
        <v>1188.4957695769574</v>
      </c>
      <c r="O74" s="5">
        <f>INDEX('Player Data'!$G:$G,AL74)/INDEX('Player Data'!$E:$E,AL74)*M74*L74*AM74</f>
        <v>279.35157515751575</v>
      </c>
      <c r="P74" s="5">
        <f>INDEX('Player Data'!$H:$H,AL74)/INDEX('Player Data'!$E:$E,AL74)*M74*L74*AM74</f>
        <v>411.51791179117907</v>
      </c>
      <c r="Q74" s="5">
        <f>INDEX('Player Data'!$I:$I,AL74)/INDEX('Player Data'!$E:$E,AL74)*M74*L74*AM74</f>
        <v>79.099549954995496</v>
      </c>
      <c r="R74" s="5">
        <f>INDEX('Player Data'!$J:$J,AL74)/INDEX('Player Data'!$E:$E,AL74)*M74*L74*AM74</f>
        <v>8.0100810081008103</v>
      </c>
      <c r="S74" s="5">
        <f>INDEX('Player Data'!$K:$K,AL74)/INDEX('Player Data'!$E:$E,AL74)*M74*L74*AM74</f>
        <v>181.22808280828079</v>
      </c>
      <c r="T74" s="5">
        <f>INDEX('Player Data'!$L:$L,AL74)/INDEX('Player Data'!$E:$E,AL74)*M74*L74*AM74</f>
        <v>109.13735373537354</v>
      </c>
      <c r="U74" s="7">
        <f>INDEX('Player Data'!$M:$M,AL74)</f>
        <v>0.439</v>
      </c>
      <c r="V74" s="7">
        <f>INDEX('Player Data'!$N:$N,AL74)</f>
        <v>0.83899999999999997</v>
      </c>
      <c r="W74" s="5">
        <f t="shared" si="9"/>
        <v>411.64156741674162</v>
      </c>
      <c r="X74" s="5">
        <f>INDEX('Player Data'!$O:$O,AL74)/INDEX('Player Data'!$E:$E,AL74)*M74*L74*AM74</f>
        <v>937.68010801080095</v>
      </c>
      <c r="Y74" s="5">
        <f t="shared" si="10"/>
        <v>183.97253681368136</v>
      </c>
      <c r="Z74" s="5">
        <f>INDEX('Player Data'!$P:$P,AL74)/INDEX('Player Data'!$E:$E,AL74)*M74*L74*AM74</f>
        <v>219.27596759675967</v>
      </c>
      <c r="AB74" s="3">
        <f>(N74-Pool!$D$2)/Pool!$E$2</f>
        <v>-0.1254274295093788</v>
      </c>
      <c r="AC74" s="3">
        <f>(O74-Pool!$D$3)/Pool!$E$3</f>
        <v>-0.87350257741981663</v>
      </c>
      <c r="AD74" s="3">
        <f>(P74-Pool!$D$4)/Pool!$E$4</f>
        <v>0.88907534216353346</v>
      </c>
      <c r="AE74" s="3">
        <f>(Q74-Pool!$D$5)/Pool!$E$5</f>
        <v>0.2153207690740849</v>
      </c>
      <c r="AF74" s="3">
        <f>(R74-Pool!$D$6)/Pool!$E$6</f>
        <v>-1.2248879776433776</v>
      </c>
      <c r="AG74" s="3">
        <f>(S74-Pool!$D$7)/Pool!$E$7</f>
        <v>0.81429229327647057</v>
      </c>
      <c r="AH74" s="3">
        <f>(AS74-Pool!$D$8)/Pool!$E$8</f>
        <v>-0.92430943540048938</v>
      </c>
      <c r="AI74" s="3">
        <f>(AT74-Pool!$D$9)/Pool!$E$9</f>
        <v>0.38194458178189261</v>
      </c>
      <c r="AJ74" s="3">
        <f>-(T74-Pool!$D$10)/Pool!$E$10</f>
        <v>0.58405518197352779</v>
      </c>
      <c r="AL74">
        <f>MATCH(B74,'Player Data'!$A:$A,0)</f>
        <v>80</v>
      </c>
      <c r="AM74" s="3">
        <f>1+IF(Settings!$F$10="ON",IFERROR(VLOOKUP(TRIM(F74),Settings!$D$12:$F$17,3,FALSE),0),0)</f>
        <v>1</v>
      </c>
      <c r="AN74" t="str">
        <f t="shared" si="11"/>
        <v>PG</v>
      </c>
      <c r="AO74" s="6">
        <f>X74*(U74-Pool!$B$12)</f>
        <v>-39.013840291302593</v>
      </c>
      <c r="AP74" s="6">
        <f>Z74*(V74-Pool!$B$13)</f>
        <v>10.722669975387653</v>
      </c>
      <c r="AQ74" s="3">
        <f>Settings!$B$2*(N74-Pool!$B$2)/Pool!$C$2+Settings!$B$3*(O74-Pool!$B$3)/Pool!$C$3+Settings!$B$4*(P74-Pool!$B$4)/Pool!$C$4+Settings!$B$5*(Q74-Pool!$B$5)/Pool!$C$5+Settings!$B$6*(R74-Pool!$B$6)/Pool!$C$6+Settings!$B$7*(S74-Pool!$B$7)/Pool!$C$7+Settings!$B$8*(AO74-Pool!$B$8)/Pool!$C$8+Settings!$B$9*(AP74-Pool!$B$9)/Pool!$C$9+Settings!$B$10*-(T74-Pool!$B$10)/Pool!$C$10</f>
        <v>1.6463052605618269</v>
      </c>
      <c r="AR74">
        <f>IF(RANK(AQ74,$AQ$2:$AQ$266)&lt;=Settings!$F$5,1,0)</f>
        <v>1</v>
      </c>
      <c r="AS74" s="6">
        <f>X74*(U74-Pool!$D$12)</f>
        <v>-42.264611683338416</v>
      </c>
      <c r="AT74" s="6">
        <f>Z74*(V74-Pool!$D$13)</f>
        <v>8.5214081943303057</v>
      </c>
    </row>
    <row r="75" spans="1:46" x14ac:dyDescent="0.2">
      <c r="A75">
        <f t="shared" si="6"/>
        <v>74</v>
      </c>
      <c r="B75" t="s">
        <v>116</v>
      </c>
      <c r="C75" t="str">
        <f>INDEX('Player Data'!$C:$C,AL75)</f>
        <v>SF,PF</v>
      </c>
      <c r="D75">
        <f t="shared" si="7"/>
        <v>9</v>
      </c>
      <c r="E75" t="str">
        <f>INDEX('Player Data'!$B:$B,AL75)</f>
        <v>SAC</v>
      </c>
      <c r="F75" s="2"/>
      <c r="G75" s="3">
        <f>Settings!$B$2*AB75+Settings!$B$3*AC75+Settings!$B$4*AD75+Settings!$B$5*AE75+Settings!$B$6*AF75+Settings!$B$7*AG75+Settings!$B$8*AH75+Settings!$B$9*AI75+Settings!$B$10*AJ75</f>
        <v>-0.28498152898585749</v>
      </c>
      <c r="H75" s="3">
        <f>G75-LARGE($G$2:$G$266,Settings!$F$4)</f>
        <v>2.9312832374613076</v>
      </c>
      <c r="I75">
        <f>IF(INDEX('Player Data'!$R:$R,AL75)="","",INDEX('Player Data'!$R:$R,AL75))</f>
        <v>187</v>
      </c>
      <c r="J75" s="4">
        <f t="shared" si="8"/>
        <v>113</v>
      </c>
      <c r="L75" s="5">
        <f>IF(Settings!$F$7="Yes",INDEX('Minutes &amp; Health'!$O:$O,AL75),Settings!$F$8)</f>
        <v>75</v>
      </c>
      <c r="M75" s="6">
        <f>INDEX('Minutes &amp; Health'!$P:$P,AL75)</f>
        <v>34.200000000000003</v>
      </c>
      <c r="N75" s="5">
        <f>INDEX('Player Data'!$F:$F,AL75)/INDEX('Player Data'!$E:$E,AL75)*M75*L75*AM75</f>
        <v>977.23802103622916</v>
      </c>
      <c r="O75" s="5">
        <f>INDEX('Player Data'!$G:$G,AL75)/INDEX('Player Data'!$E:$E,AL75)*M75*L75*AM75</f>
        <v>437.65874561745227</v>
      </c>
      <c r="P75" s="5">
        <f>INDEX('Player Data'!$H:$H,AL75)/INDEX('Player Data'!$E:$E,AL75)*M75*L75*AM75</f>
        <v>113.91118036618622</v>
      </c>
      <c r="Q75" s="5">
        <f>INDEX('Player Data'!$I:$I,AL75)/INDEX('Player Data'!$E:$E,AL75)*M75*L75*AM75</f>
        <v>64.949357226334243</v>
      </c>
      <c r="R75" s="5">
        <f>INDEX('Player Data'!$J:$J,AL75)/INDEX('Player Data'!$E:$E,AL75)*M75*L75*AM75</f>
        <v>78.938449552006233</v>
      </c>
      <c r="S75" s="5">
        <f>INDEX('Player Data'!$K:$K,AL75)/INDEX('Player Data'!$E:$E,AL75)*M75*L75*AM75</f>
        <v>143.88780677834049</v>
      </c>
      <c r="T75" s="5">
        <f>INDEX('Player Data'!$L:$L,AL75)/INDEX('Player Data'!$E:$E,AL75)*M75*L75*AM75</f>
        <v>68.946240747954818</v>
      </c>
      <c r="U75" s="7">
        <f>INDEX('Player Data'!$M:$M,AL75)</f>
        <v>0.44700000000000001</v>
      </c>
      <c r="V75" s="7">
        <f>INDEX('Player Data'!$N:$N,AL75)</f>
        <v>0.81399999999999995</v>
      </c>
      <c r="W75" s="5">
        <f t="shared" si="9"/>
        <v>353.48018192442544</v>
      </c>
      <c r="X75" s="5">
        <f>INDEX('Player Data'!$O:$O,AL75)/INDEX('Player Data'!$E:$E,AL75)*M75*L75*AM75</f>
        <v>790.78340475262962</v>
      </c>
      <c r="Y75" s="5">
        <f t="shared" si="10"/>
        <v>126.39704479937672</v>
      </c>
      <c r="Z75" s="5">
        <f>INDEX('Player Data'!$P:$P,AL75)/INDEX('Player Data'!$E:$E,AL75)*M75*L75*AM75</f>
        <v>155.27892481495911</v>
      </c>
      <c r="AB75" s="3">
        <f>(N75-Pool!$D$2)/Pool!$E$2</f>
        <v>-0.64616957268668807</v>
      </c>
      <c r="AC75" s="3">
        <f>(O75-Pool!$D$3)/Pool!$E$3</f>
        <v>4.7925839542101202E-2</v>
      </c>
      <c r="AD75" s="3">
        <f>(P75-Pool!$D$4)/Pool!$E$4</f>
        <v>-1.1237364874038338</v>
      </c>
      <c r="AE75" s="3">
        <f>(Q75-Pool!$D$5)/Pool!$E$5</f>
        <v>-0.40938433225757576</v>
      </c>
      <c r="AF75" s="3">
        <f>(R75-Pool!$D$6)/Pool!$E$6</f>
        <v>0.82783048633560263</v>
      </c>
      <c r="AG75" s="3">
        <f>(S75-Pool!$D$7)/Pool!$E$7</f>
        <v>0.28838020117873092</v>
      </c>
      <c r="AH75" s="3">
        <f>(AS75-Pool!$D$8)/Pool!$E$8</f>
        <v>-0.64115455119519527</v>
      </c>
      <c r="AI75" s="3">
        <f>(AT75-Pool!$D$9)/Pool!$E$9</f>
        <v>9.6474802359414441E-2</v>
      </c>
      <c r="AJ75" s="3">
        <f>-(T75-Pool!$D$10)/Pool!$E$10</f>
        <v>1.2748520851415865</v>
      </c>
      <c r="AL75">
        <f>MATCH(B75,'Player Data'!$A:$A,0)</f>
        <v>123</v>
      </c>
      <c r="AM75" s="3">
        <f>1+IF(Settings!$F$10="ON",IFERROR(VLOOKUP(TRIM(F75),Settings!$D$12:$F$17,3,FALSE),0),0)</f>
        <v>1</v>
      </c>
      <c r="AN75" t="str">
        <f t="shared" si="11"/>
        <v>SF</v>
      </c>
      <c r="AO75" s="6">
        <f>X75*(U75-Pool!$B$12)</f>
        <v>-26.575675753475384</v>
      </c>
      <c r="AP75" s="6">
        <f>Z75*(V75-Pool!$B$13)</f>
        <v>3.7112195271017345</v>
      </c>
      <c r="AQ75" s="3">
        <f>Settings!$B$2*(N75-Pool!$B$2)/Pool!$C$2+Settings!$B$3*(O75-Pool!$B$3)/Pool!$C$3+Settings!$B$4*(P75-Pool!$B$4)/Pool!$C$4+Settings!$B$5*(Q75-Pool!$B$5)/Pool!$C$5+Settings!$B$6*(R75-Pool!$B$6)/Pool!$C$6+Settings!$B$7*(S75-Pool!$B$7)/Pool!$C$7+Settings!$B$8*(AO75-Pool!$B$8)/Pool!$C$8+Settings!$B$9*(AP75-Pool!$B$9)/Pool!$C$9+Settings!$B$10*-(T75-Pool!$B$10)/Pool!$C$10</f>
        <v>1.8443685735446791</v>
      </c>
      <c r="AR75">
        <f>IF(RANK(AQ75,$AQ$2:$AQ$266)&lt;=Settings!$F$5,1,0)</f>
        <v>1</v>
      </c>
      <c r="AS75" s="6">
        <f>X75*(U75-Pool!$D$12)</f>
        <v>-29.317182209147074</v>
      </c>
      <c r="AT75" s="6">
        <f>Z75*(V75-Pool!$D$13)</f>
        <v>2.1524095656406508</v>
      </c>
    </row>
    <row r="76" spans="1:46" x14ac:dyDescent="0.2">
      <c r="A76">
        <f t="shared" si="6"/>
        <v>75</v>
      </c>
      <c r="B76" t="s">
        <v>117</v>
      </c>
      <c r="C76" t="str">
        <f>INDEX('Player Data'!$C:$C,AL76)</f>
        <v>PF,SF,SG</v>
      </c>
      <c r="D76">
        <f t="shared" si="7"/>
        <v>23</v>
      </c>
      <c r="E76" t="str">
        <f>INDEX('Player Data'!$B:$B,AL76)</f>
        <v>PHI</v>
      </c>
      <c r="F76" s="2"/>
      <c r="G76" s="3">
        <f>Settings!$B$2*AB76+Settings!$B$3*AC76+Settings!$B$4*AD76+Settings!$B$5*AE76+Settings!$B$6*AF76+Settings!$B$7*AG76+Settings!$B$8*AH76+Settings!$B$9*AI76+Settings!$B$10*AJ76</f>
        <v>-0.30961327093229585</v>
      </c>
      <c r="H76" s="3">
        <f>G76-LARGE($G$2:$G$266,Settings!$F$4)</f>
        <v>2.9066514955148692</v>
      </c>
      <c r="I76">
        <f>IF(INDEX('Player Data'!$R:$R,AL76)="","",INDEX('Player Data'!$R:$R,AL76))</f>
        <v>33</v>
      </c>
      <c r="J76" s="4">
        <f t="shared" si="8"/>
        <v>-42</v>
      </c>
      <c r="L76" s="5">
        <f>IF(Settings!$F$7="Yes",INDEX('Minutes &amp; Health'!$O:$O,AL76),Settings!$F$8)</f>
        <v>75</v>
      </c>
      <c r="M76" s="6">
        <f>INDEX('Minutes &amp; Health'!$P:$P,AL76)</f>
        <v>33.5</v>
      </c>
      <c r="N76" s="5">
        <f>INDEX('Player Data'!$F:$F,AL76)/INDEX('Player Data'!$E:$E,AL76)*M76*L76*AM76</f>
        <v>1870.6058190514148</v>
      </c>
      <c r="O76" s="5">
        <f>INDEX('Player Data'!$G:$G,AL76)/INDEX('Player Data'!$E:$E,AL76)*M76*L76*AM76</f>
        <v>451.62913511359108</v>
      </c>
      <c r="P76" s="5">
        <f>INDEX('Player Data'!$H:$H,AL76)/INDEX('Player Data'!$E:$E,AL76)*M76*L76*AM76</f>
        <v>323.45057791948983</v>
      </c>
      <c r="Q76" s="5">
        <f>INDEX('Player Data'!$I:$I,AL76)/INDEX('Player Data'!$E:$E,AL76)*M76*L76*AM76</f>
        <v>87.121363092865693</v>
      </c>
      <c r="R76" s="5">
        <f>INDEX('Player Data'!$J:$J,AL76)/INDEX('Player Data'!$E:$E,AL76)*M76*L76*AM76</f>
        <v>30.041849342367474</v>
      </c>
      <c r="S76" s="5">
        <f>INDEX('Player Data'!$K:$K,AL76)/INDEX('Player Data'!$E:$E,AL76)*M76*L76*AM76</f>
        <v>120.1673973694699</v>
      </c>
      <c r="T76" s="5">
        <f>INDEX('Player Data'!$L:$L,AL76)/INDEX('Player Data'!$E:$E,AL76)*M76*L76*AM76</f>
        <v>232.32363491430851</v>
      </c>
      <c r="U76" s="7">
        <f>INDEX('Player Data'!$M:$M,AL76)</f>
        <v>0.48</v>
      </c>
      <c r="V76" s="7">
        <f>INDEX('Player Data'!$N:$N,AL76)</f>
        <v>0.77400000000000002</v>
      </c>
      <c r="W76" s="5">
        <f t="shared" si="9"/>
        <v>689.03985651654034</v>
      </c>
      <c r="X76" s="5">
        <f>INDEX('Player Data'!$O:$O,AL76)/INDEX('Player Data'!$E:$E,AL76)*M76*L76*AM76</f>
        <v>1435.4997010761258</v>
      </c>
      <c r="Y76" s="5">
        <f t="shared" si="10"/>
        <v>372.34829414109208</v>
      </c>
      <c r="Z76" s="5">
        <f>INDEX('Player Data'!$P:$P,AL76)/INDEX('Player Data'!$E:$E,AL76)*M76*L76*AM76</f>
        <v>481.07014746911119</v>
      </c>
      <c r="AB76" s="3">
        <f>(N76-Pool!$D$2)/Pool!$E$2</f>
        <v>1.555947343722335</v>
      </c>
      <c r="AC76" s="3">
        <f>(O76-Pool!$D$3)/Pool!$E$3</f>
        <v>0.12924062673947798</v>
      </c>
      <c r="AD76" s="3">
        <f>(P76-Pool!$D$4)/Pool!$E$4</f>
        <v>0.29344710967487636</v>
      </c>
      <c r="AE76" s="3">
        <f>(Q76-Pool!$D$5)/Pool!$E$5</f>
        <v>0.56946913194454329</v>
      </c>
      <c r="AF76" s="3">
        <f>(R76-Pool!$D$6)/Pool!$E$6</f>
        <v>-0.58727261185554303</v>
      </c>
      <c r="AG76" s="3">
        <f>(S76-Pool!$D$7)/Pool!$E$7</f>
        <v>-4.5705442099091075E-2</v>
      </c>
      <c r="AH76" s="3">
        <f>(AS76-Pool!$D$8)/Pool!$E$8</f>
        <v>-0.12788548656085955</v>
      </c>
      <c r="AI76" s="3">
        <f>(AT76-Pool!$D$9)/Pool!$E$9</f>
        <v>-0.56360768079578327</v>
      </c>
      <c r="AJ76" s="3">
        <f>-(T76-Pool!$D$10)/Pool!$E$10</f>
        <v>-1.5332462617022513</v>
      </c>
      <c r="AL76">
        <f>MATCH(B76,'Player Data'!$A:$A,0)</f>
        <v>16</v>
      </c>
      <c r="AM76" s="3">
        <f>1+IF(Settings!$F$10="ON",IFERROR(VLOOKUP(TRIM(F76),Settings!$D$12:$F$17,3,FALSE),0),0)</f>
        <v>1</v>
      </c>
      <c r="AN76" t="str">
        <f t="shared" si="11"/>
        <v>PF</v>
      </c>
      <c r="AO76" s="6">
        <f>X76*(U76-Pool!$B$12)</f>
        <v>-0.87101770004840429</v>
      </c>
      <c r="AP76" s="6">
        <f>Z76*(V76-Pool!$B$13)</f>
        <v>-7.7450644807282618</v>
      </c>
      <c r="AQ76" s="3">
        <f>Settings!$B$2*(N76-Pool!$B$2)/Pool!$C$2+Settings!$B$3*(O76-Pool!$B$3)/Pool!$C$3+Settings!$B$4*(P76-Pool!$B$4)/Pool!$C$4+Settings!$B$5*(Q76-Pool!$B$5)/Pool!$C$5+Settings!$B$6*(R76-Pool!$B$6)/Pool!$C$6+Settings!$B$7*(S76-Pool!$B$7)/Pool!$C$7+Settings!$B$8*(AO76-Pool!$B$8)/Pool!$C$8+Settings!$B$9*(AP76-Pool!$B$9)/Pool!$C$9+Settings!$B$10*-(T76-Pool!$B$10)/Pool!$C$10</f>
        <v>1.5822561531581154</v>
      </c>
      <c r="AR76">
        <f>IF(RANK(AQ76,$AQ$2:$AQ$266)&lt;=Settings!$F$5,1,0)</f>
        <v>1</v>
      </c>
      <c r="AS76" s="6">
        <f>X76*(U76-Pool!$D$12)</f>
        <v>-5.8476417338393611</v>
      </c>
      <c r="AT76" s="6">
        <f>Z76*(V76-Pool!$D$13)</f>
        <v>-12.574418747123596</v>
      </c>
    </row>
    <row r="77" spans="1:46" x14ac:dyDescent="0.2">
      <c r="A77">
        <f t="shared" si="6"/>
        <v>76</v>
      </c>
      <c r="B77" t="s">
        <v>118</v>
      </c>
      <c r="C77" t="str">
        <f>INDEX('Player Data'!$C:$C,AL77)</f>
        <v>PG,SG</v>
      </c>
      <c r="D77">
        <f t="shared" si="7"/>
        <v>28</v>
      </c>
      <c r="E77" t="str">
        <f>INDEX('Player Data'!$B:$B,AL77)</f>
        <v>HOU</v>
      </c>
      <c r="F77" s="2"/>
      <c r="G77" s="3">
        <f>Settings!$B$2*AB77+Settings!$B$3*AC77+Settings!$B$4*AD77+Settings!$B$5*AE77+Settings!$B$6*AF77+Settings!$B$7*AG77+Settings!$B$8*AH77+Settings!$B$9*AI77+Settings!$B$10*AJ77</f>
        <v>-0.33042197932872086</v>
      </c>
      <c r="H77" s="3">
        <f>G77-LARGE($G$2:$G$266,Settings!$F$4)</f>
        <v>2.8858427871184444</v>
      </c>
      <c r="I77">
        <f>IF(INDEX('Player Data'!$R:$R,AL77)="","",INDEX('Player Data'!$R:$R,AL77))</f>
        <v>183</v>
      </c>
      <c r="J77" s="4">
        <f t="shared" si="8"/>
        <v>107</v>
      </c>
      <c r="L77" s="5">
        <f>IF(Settings!$F$7="Yes",INDEX('Minutes &amp; Health'!$O:$O,AL77),Settings!$F$8)</f>
        <v>73</v>
      </c>
      <c r="M77" s="6">
        <f>INDEX('Minutes &amp; Health'!$P:$P,AL77)</f>
        <v>32.5</v>
      </c>
      <c r="N77" s="5">
        <f>INDEX('Player Data'!$F:$F,AL77)/INDEX('Player Data'!$E:$E,AL77)*M77*L77*AM77</f>
        <v>958.00949367088606</v>
      </c>
      <c r="O77" s="5">
        <f>INDEX('Player Data'!$G:$G,AL77)/INDEX('Player Data'!$E:$E,AL77)*M77*L77*AM77</f>
        <v>245.25843881856539</v>
      </c>
      <c r="P77" s="5">
        <f>INDEX('Player Data'!$H:$H,AL77)/INDEX('Player Data'!$E:$E,AL77)*M77*L77*AM77</f>
        <v>397.41877637130807</v>
      </c>
      <c r="Q77" s="5">
        <f>INDEX('Player Data'!$I:$I,AL77)/INDEX('Player Data'!$E:$E,AL77)*M77*L77*AM77</f>
        <v>92.097046413502113</v>
      </c>
      <c r="R77" s="5">
        <f>INDEX('Player Data'!$J:$J,AL77)/INDEX('Player Data'!$E:$E,AL77)*M77*L77*AM77</f>
        <v>33.034810126582279</v>
      </c>
      <c r="S77" s="5">
        <f>INDEX('Player Data'!$K:$K,AL77)/INDEX('Player Data'!$E:$E,AL77)*M77*L77*AM77</f>
        <v>178.18776371308016</v>
      </c>
      <c r="T77" s="5">
        <f>INDEX('Player Data'!$L:$L,AL77)/INDEX('Player Data'!$E:$E,AL77)*M77*L77*AM77</f>
        <v>103.10864978902953</v>
      </c>
      <c r="U77" s="7">
        <f>INDEX('Player Data'!$M:$M,AL77)</f>
        <v>0.39800000000000002</v>
      </c>
      <c r="V77" s="7">
        <f>INDEX('Player Data'!$N:$N,AL77)</f>
        <v>0.83899999999999997</v>
      </c>
      <c r="W77" s="5">
        <f t="shared" si="9"/>
        <v>306.82311202531639</v>
      </c>
      <c r="X77" s="5">
        <f>INDEX('Player Data'!$O:$O,AL77)/INDEX('Player Data'!$E:$E,AL77)*M77*L77*AM77</f>
        <v>770.91234177215176</v>
      </c>
      <c r="Y77" s="5">
        <f t="shared" si="10"/>
        <v>166.12925717299578</v>
      </c>
      <c r="Z77" s="5">
        <f>INDEX('Player Data'!$P:$P,AL77)/INDEX('Player Data'!$E:$E,AL77)*M77*L77*AM77</f>
        <v>198.00864978902953</v>
      </c>
      <c r="AB77" s="3">
        <f>(N77-Pool!$D$2)/Pool!$E$2</f>
        <v>-0.69356714564928112</v>
      </c>
      <c r="AC77" s="3">
        <f>(O77-Pool!$D$3)/Pool!$E$3</f>
        <v>-1.0719420072624215</v>
      </c>
      <c r="AD77" s="3">
        <f>(P77-Pool!$D$4)/Pool!$E$4</f>
        <v>0.79371827001699469</v>
      </c>
      <c r="AE77" s="3">
        <f>(Q77-Pool!$D$5)/Pool!$E$5</f>
        <v>0.7891364405541631</v>
      </c>
      <c r="AF77" s="3">
        <f>(R77-Pool!$D$6)/Pool!$E$6</f>
        <v>-0.50065415453236739</v>
      </c>
      <c r="AG77" s="3">
        <f>(S77-Pool!$D$7)/Pool!$E$7</f>
        <v>0.77147149102210044</v>
      </c>
      <c r="AH77" s="3">
        <f>(AS77-Pool!$D$8)/Pool!$E$8</f>
        <v>-1.451160453539837</v>
      </c>
      <c r="AI77" s="3">
        <f>(AT77-Pool!$D$9)/Pool!$E$9</f>
        <v>0.34490022669490905</v>
      </c>
      <c r="AJ77" s="3">
        <f>-(T77-Pool!$D$10)/Pool!$E$10</f>
        <v>0.68767535336701902</v>
      </c>
      <c r="AL77">
        <f>MATCH(B77,'Player Data'!$A:$A,0)</f>
        <v>125</v>
      </c>
      <c r="AM77" s="3">
        <f>1+IF(Settings!$F$10="ON",IFERROR(VLOOKUP(TRIM(F77),Settings!$D$12:$F$17,3,FALSE),0),0)</f>
        <v>1</v>
      </c>
      <c r="AN77" t="str">
        <f t="shared" si="11"/>
        <v>PG</v>
      </c>
      <c r="AO77" s="6">
        <f>X77*(U77-Pool!$B$12)</f>
        <v>-63.682578263349022</v>
      </c>
      <c r="AP77" s="6">
        <f>Z77*(V77-Pool!$B$13)</f>
        <v>9.6826908449188895</v>
      </c>
      <c r="AQ77" s="3">
        <f>Settings!$B$2*(N77-Pool!$B$2)/Pool!$C$2+Settings!$B$3*(O77-Pool!$B$3)/Pool!$C$3+Settings!$B$4*(P77-Pool!$B$4)/Pool!$C$4+Settings!$B$5*(Q77-Pool!$B$5)/Pool!$C$5+Settings!$B$6*(R77-Pool!$B$6)/Pool!$C$6+Settings!$B$7*(S77-Pool!$B$7)/Pool!$C$7+Settings!$B$8*(AO77-Pool!$B$8)/Pool!$C$8+Settings!$B$9*(AP77-Pool!$B$9)/Pool!$C$9+Settings!$B$10*-(T77-Pool!$B$10)/Pool!$C$10</f>
        <v>1.5297665528809756</v>
      </c>
      <c r="AR77">
        <f>IF(RANK(AQ77,$AQ$2:$AQ$266)&lt;=Settings!$F$5,1,0)</f>
        <v>1</v>
      </c>
      <c r="AS77" s="6">
        <f>X77*(U77-Pool!$D$12)</f>
        <v>-66.355195251797909</v>
      </c>
      <c r="AT77" s="6">
        <f>Z77*(V77-Pool!$D$13)</f>
        <v>7.6949268510967004</v>
      </c>
    </row>
    <row r="78" spans="1:46" x14ac:dyDescent="0.2">
      <c r="A78">
        <f t="shared" si="6"/>
        <v>77</v>
      </c>
      <c r="B78" t="s">
        <v>119</v>
      </c>
      <c r="C78" t="str">
        <f>INDEX('Player Data'!$C:$C,AL78)</f>
        <v>PF,SF,SG</v>
      </c>
      <c r="D78">
        <f t="shared" si="7"/>
        <v>24</v>
      </c>
      <c r="E78" t="str">
        <f>INDEX('Player Data'!$B:$B,AL78)</f>
        <v>MIA</v>
      </c>
      <c r="F78" s="2"/>
      <c r="G78" s="3">
        <f>Settings!$B$2*AB78+Settings!$B$3*AC78+Settings!$B$4*AD78+Settings!$B$5*AE78+Settings!$B$6*AF78+Settings!$B$7*AG78+Settings!$B$8*AH78+Settings!$B$9*AI78+Settings!$B$10*AJ78</f>
        <v>-0.33644889760688623</v>
      </c>
      <c r="H78" s="3">
        <f>G78-LARGE($G$2:$G$266,Settings!$F$4)</f>
        <v>2.8798158688402786</v>
      </c>
      <c r="I78">
        <f>IF(INDEX('Player Data'!$R:$R,AL78)="","",INDEX('Player Data'!$R:$R,AL78))</f>
        <v>136</v>
      </c>
      <c r="J78" s="4">
        <f t="shared" si="8"/>
        <v>59</v>
      </c>
      <c r="L78" s="5">
        <f>IF(Settings!$F$7="Yes",INDEX('Minutes &amp; Health'!$O:$O,AL78),Settings!$F$8)</f>
        <v>73</v>
      </c>
      <c r="M78" s="6">
        <f>INDEX('Minutes &amp; Health'!$P:$P,AL78)</f>
        <v>30.3</v>
      </c>
      <c r="N78" s="5">
        <f>INDEX('Player Data'!$F:$F,AL78)/INDEX('Player Data'!$E:$E,AL78)*M78*L78*AM78</f>
        <v>1148.3905191873591</v>
      </c>
      <c r="O78" s="5">
        <f>INDEX('Player Data'!$G:$G,AL78)/INDEX('Player Data'!$E:$E,AL78)*M78*L78*AM78</f>
        <v>331.53534988713318</v>
      </c>
      <c r="P78" s="5">
        <f>INDEX('Player Data'!$H:$H,AL78)/INDEX('Player Data'!$E:$E,AL78)*M78*L78*AM78</f>
        <v>194.72708803611738</v>
      </c>
      <c r="Q78" s="5">
        <f>INDEX('Player Data'!$I:$I,AL78)/INDEX('Player Data'!$E:$E,AL78)*M78*L78*AM78</f>
        <v>78.889435665914206</v>
      </c>
      <c r="R78" s="5">
        <f>INDEX('Player Data'!$J:$J,AL78)/INDEX('Player Data'!$E:$E,AL78)*M78*L78*AM78</f>
        <v>67.904830699774266</v>
      </c>
      <c r="S78" s="5">
        <f>INDEX('Player Data'!$K:$K,AL78)/INDEX('Player Data'!$E:$E,AL78)*M78*L78*AM78</f>
        <v>139.80406320541761</v>
      </c>
      <c r="T78" s="5">
        <f>INDEX('Player Data'!$L:$L,AL78)/INDEX('Player Data'!$E:$E,AL78)*M78*L78*AM78</f>
        <v>107.84884875846501</v>
      </c>
      <c r="U78" s="7">
        <f>INDEX('Player Data'!$M:$M,AL78)</f>
        <v>0.47099999999999997</v>
      </c>
      <c r="V78" s="7">
        <f>INDEX('Player Data'!$N:$N,AL78)</f>
        <v>0.77</v>
      </c>
      <c r="W78" s="5">
        <f t="shared" si="9"/>
        <v>431.67879784198635</v>
      </c>
      <c r="X78" s="5">
        <f>INDEX('Player Data'!$O:$O,AL78)/INDEX('Player Data'!$E:$E,AL78)*M78*L78*AM78</f>
        <v>916.51549435665902</v>
      </c>
      <c r="Y78" s="5">
        <f t="shared" si="10"/>
        <v>145.24943146726864</v>
      </c>
      <c r="Z78" s="5">
        <f>INDEX('Player Data'!$P:$P,AL78)/INDEX('Player Data'!$E:$E,AL78)*M78*L78*AM78</f>
        <v>188.63562528216707</v>
      </c>
      <c r="AB78" s="3">
        <f>(N78-Pool!$D$2)/Pool!$E$2</f>
        <v>-0.22428531370440849</v>
      </c>
      <c r="AC78" s="3">
        <f>(O78-Pool!$D$3)/Pool!$E$3</f>
        <v>-0.56976641183420629</v>
      </c>
      <c r="AD78" s="3">
        <f>(P78-Pool!$D$4)/Pool!$E$4</f>
        <v>-0.57715202610357141</v>
      </c>
      <c r="AE78" s="3">
        <f>(Q78-Pool!$D$5)/Pool!$E$5</f>
        <v>0.20604460791015314</v>
      </c>
      <c r="AF78" s="3">
        <f>(R78-Pool!$D$6)/Pool!$E$6</f>
        <v>0.50850954878346932</v>
      </c>
      <c r="AG78" s="3">
        <f>(S78-Pool!$D$7)/Pool!$E$7</f>
        <v>0.23086348319023761</v>
      </c>
      <c r="AH78" s="3">
        <f>(AS78-Pool!$D$8)/Pool!$E$8</f>
        <v>-0.26204463942759282</v>
      </c>
      <c r="AI78" s="3">
        <f>(AT78-Pool!$D$9)/Pool!$E$9</f>
        <v>-0.25481989716564807</v>
      </c>
      <c r="AJ78" s="3">
        <f>-(T78-Pool!$D$10)/Pool!$E$10</f>
        <v>0.60620175074468063</v>
      </c>
      <c r="AL78">
        <f>MATCH(B78,'Player Data'!$A:$A,0)</f>
        <v>87</v>
      </c>
      <c r="AM78" s="3">
        <f>1+IF(Settings!$F$10="ON",IFERROR(VLOOKUP(TRIM(F78),Settings!$D$12:$F$17,3,FALSE),0),0)</f>
        <v>1</v>
      </c>
      <c r="AN78" t="str">
        <f t="shared" si="11"/>
        <v>PF</v>
      </c>
      <c r="AO78" s="6">
        <f>X78*(U78-Pool!$B$12)</f>
        <v>-8.8047532661301471</v>
      </c>
      <c r="AP78" s="6">
        <f>Z78*(V78-Pool!$B$13)</f>
        <v>-3.7915114106715055</v>
      </c>
      <c r="AQ78" s="3">
        <f>Settings!$B$2*(N78-Pool!$B$2)/Pool!$C$2+Settings!$B$3*(O78-Pool!$B$3)/Pool!$C$3+Settings!$B$4*(P78-Pool!$B$4)/Pool!$C$4+Settings!$B$5*(Q78-Pool!$B$5)/Pool!$C$5+Settings!$B$6*(R78-Pool!$B$6)/Pool!$C$6+Settings!$B$7*(S78-Pool!$B$7)/Pool!$C$7+Settings!$B$8*(AO78-Pool!$B$8)/Pool!$C$8+Settings!$B$9*(AP78-Pool!$B$9)/Pool!$C$9+Settings!$B$10*-(T78-Pool!$B$10)/Pool!$C$10</f>
        <v>1.685495774539471</v>
      </c>
      <c r="AR78">
        <f>IF(RANK(AQ78,$AQ$2:$AQ$266)&lt;=Settings!$F$5,1,0)</f>
        <v>1</v>
      </c>
      <c r="AS78" s="6">
        <f>X78*(U78-Pool!$D$12)</f>
        <v>-11.982150679127077</v>
      </c>
      <c r="AT78" s="6">
        <f>Z78*(V78-Pool!$D$13)</f>
        <v>-5.6851817341019952</v>
      </c>
    </row>
    <row r="79" spans="1:46" x14ac:dyDescent="0.2">
      <c r="A79">
        <f t="shared" si="6"/>
        <v>78</v>
      </c>
      <c r="B79" t="s">
        <v>120</v>
      </c>
      <c r="C79" t="str">
        <f>INDEX('Player Data'!$C:$C,AL79)</f>
        <v>PF,SF</v>
      </c>
      <c r="D79">
        <f t="shared" si="7"/>
        <v>25</v>
      </c>
      <c r="E79" t="str">
        <f>INDEX('Player Data'!$B:$B,AL79)</f>
        <v>SAS</v>
      </c>
      <c r="F79" s="2"/>
      <c r="G79" s="3">
        <f>Settings!$B$2*AB79+Settings!$B$3*AC79+Settings!$B$4*AD79+Settings!$B$5*AE79+Settings!$B$6*AF79+Settings!$B$7*AG79+Settings!$B$8*AH79+Settings!$B$9*AI79+Settings!$B$10*AJ79</f>
        <v>-0.35786438874990623</v>
      </c>
      <c r="H79" s="3">
        <f>G79-LARGE($G$2:$G$266,Settings!$F$4)</f>
        <v>2.8584003776972589</v>
      </c>
      <c r="I79">
        <f>IF(INDEX('Player Data'!$R:$R,AL79)="","",INDEX('Player Data'!$R:$R,AL79))</f>
        <v>191</v>
      </c>
      <c r="J79" s="4">
        <f t="shared" si="8"/>
        <v>113</v>
      </c>
      <c r="L79" s="5">
        <f>IF(Settings!$F$7="Yes",INDEX('Minutes &amp; Health'!$O:$O,AL79),Settings!$F$8)</f>
        <v>75</v>
      </c>
      <c r="M79" s="6">
        <f>INDEX('Minutes &amp; Health'!$P:$P,AL79)</f>
        <v>30.4</v>
      </c>
      <c r="N79" s="5">
        <f>INDEX('Player Data'!$F:$F,AL79)/INDEX('Player Data'!$E:$E,AL79)*M79*L79*AM79</f>
        <v>1046.0823838737949</v>
      </c>
      <c r="O79" s="5">
        <f>INDEX('Player Data'!$G:$G,AL79)/INDEX('Player Data'!$E:$E,AL79)*M79*L79*AM79</f>
        <v>425.626643295355</v>
      </c>
      <c r="P79" s="5">
        <f>INDEX('Player Data'!$H:$H,AL79)/INDEX('Player Data'!$E:$E,AL79)*M79*L79*AM79</f>
        <v>180.84136722173534</v>
      </c>
      <c r="Q79" s="5">
        <f>INDEX('Player Data'!$I:$I,AL79)/INDEX('Player Data'!$E:$E,AL79)*M79*L79*AM79</f>
        <v>68.939526730937772</v>
      </c>
      <c r="R79" s="5">
        <f>INDEX('Player Data'!$J:$J,AL79)/INDEX('Player Data'!$E:$E,AL79)*M79*L79*AM79</f>
        <v>43.961437335670453</v>
      </c>
      <c r="S79" s="5">
        <f>INDEX('Player Data'!$K:$K,AL79)/INDEX('Player Data'!$E:$E,AL79)*M79*L79*AM79</f>
        <v>99.912357581069244</v>
      </c>
      <c r="T79" s="5">
        <f>INDEX('Player Data'!$L:$L,AL79)/INDEX('Player Data'!$E:$E,AL79)*M79*L79*AM79</f>
        <v>74.934268185801926</v>
      </c>
      <c r="U79" s="7">
        <f>INDEX('Player Data'!$M:$M,AL79)</f>
        <v>0.47399999999999998</v>
      </c>
      <c r="V79" s="7">
        <f>INDEX('Player Data'!$N:$N,AL79)</f>
        <v>0.86499999999999999</v>
      </c>
      <c r="W79" s="5">
        <f t="shared" si="9"/>
        <v>388.43406836108676</v>
      </c>
      <c r="X79" s="5">
        <f>INDEX('Player Data'!$O:$O,AL79)/INDEX('Player Data'!$E:$E,AL79)*M79*L79*AM79</f>
        <v>819.48115687992993</v>
      </c>
      <c r="Y79" s="5">
        <f t="shared" si="10"/>
        <v>169.30498685363713</v>
      </c>
      <c r="Z79" s="5">
        <f>INDEX('Player Data'!$P:$P,AL79)/INDEX('Player Data'!$E:$E,AL79)*M79*L79*AM79</f>
        <v>195.72830850131461</v>
      </c>
      <c r="AB79" s="3">
        <f>(N79-Pool!$D$2)/Pool!$E$2</f>
        <v>-0.47647089276916171</v>
      </c>
      <c r="AC79" s="3">
        <f>(O79-Pool!$D$3)/Pool!$E$3</f>
        <v>-2.2107128409781122E-2</v>
      </c>
      <c r="AD79" s="3">
        <f>(P79-Pool!$D$4)/Pool!$E$4</f>
        <v>-0.67106570535212762</v>
      </c>
      <c r="AE79" s="3">
        <f>(Q79-Pool!$D$5)/Pool!$E$5</f>
        <v>-0.2332256542450197</v>
      </c>
      <c r="AF79" s="3">
        <f>(R79-Pool!$D$6)/Pool!$E$6</f>
        <v>-0.18442963278510013</v>
      </c>
      <c r="AG79" s="3">
        <f>(S79-Pool!$D$7)/Pool!$E$7</f>
        <v>-0.33098373897347483</v>
      </c>
      <c r="AH79" s="3">
        <f>(AS79-Pool!$D$8)/Pool!$E$8</f>
        <v>-0.18053602719659928</v>
      </c>
      <c r="AI79" s="3">
        <f>(AT79-Pool!$D$9)/Pool!$E$9</f>
        <v>0.56902333744805367</v>
      </c>
      <c r="AJ79" s="3">
        <f>-(T79-Pool!$D$10)/Pool!$E$10</f>
        <v>1.1719310535333047</v>
      </c>
      <c r="AL79">
        <f>MATCH(B79,'Player Data'!$A:$A,0)</f>
        <v>105</v>
      </c>
      <c r="AM79" s="3">
        <f>1+IF(Settings!$F$10="ON",IFERROR(VLOOKUP(TRIM(F79),Settings!$D$12:$F$17,3,FALSE),0),0)</f>
        <v>1</v>
      </c>
      <c r="AN79" t="str">
        <f t="shared" si="11"/>
        <v>PF</v>
      </c>
      <c r="AO79" s="6">
        <f>X79*(U79-Pool!$B$12)</f>
        <v>-5.4141232639088912</v>
      </c>
      <c r="AP79" s="6">
        <f>Z79*(V79-Pool!$B$13)</f>
        <v>14.66011739536493</v>
      </c>
      <c r="AQ79" s="3">
        <f>Settings!$B$2*(N79-Pool!$B$2)/Pool!$C$2+Settings!$B$3*(O79-Pool!$B$3)/Pool!$C$3+Settings!$B$4*(P79-Pool!$B$4)/Pool!$C$4+Settings!$B$5*(Q79-Pool!$B$5)/Pool!$C$5+Settings!$B$6*(R79-Pool!$B$6)/Pool!$C$6+Settings!$B$7*(S79-Pool!$B$7)/Pool!$C$7+Settings!$B$8*(AO79-Pool!$B$8)/Pool!$C$8+Settings!$B$9*(AP79-Pool!$B$9)/Pool!$C$9+Settings!$B$10*-(T79-Pool!$B$10)/Pool!$C$10</f>
        <v>1.812029202921482</v>
      </c>
      <c r="AR79">
        <f>IF(RANK(AQ79,$AQ$2:$AQ$266)&lt;=Settings!$F$5,1,0)</f>
        <v>1</v>
      </c>
      <c r="AS79" s="6">
        <f>X79*(U79-Pool!$D$12)</f>
        <v>-8.2551197597703716</v>
      </c>
      <c r="AT79" s="6">
        <f>Z79*(V79-Pool!$D$13)</f>
        <v>12.695245231319751</v>
      </c>
    </row>
    <row r="80" spans="1:46" x14ac:dyDescent="0.2">
      <c r="A80">
        <f t="shared" si="6"/>
        <v>79</v>
      </c>
      <c r="B80" t="s">
        <v>121</v>
      </c>
      <c r="C80" t="str">
        <f>INDEX('Player Data'!$C:$C,AL80)</f>
        <v>PG,SG</v>
      </c>
      <c r="D80">
        <f t="shared" si="7"/>
        <v>29</v>
      </c>
      <c r="E80" t="str">
        <f>INDEX('Player Data'!$B:$B,AL80)</f>
        <v>GSW</v>
      </c>
      <c r="F80" s="2"/>
      <c r="G80" s="3">
        <f>Settings!$B$2*AB80+Settings!$B$3*AC80+Settings!$B$4*AD80+Settings!$B$5*AE80+Settings!$B$6*AF80+Settings!$B$7*AG80+Settings!$B$8*AH80+Settings!$B$9*AI80+Settings!$B$10*AJ80</f>
        <v>-0.37891963545532859</v>
      </c>
      <c r="H80" s="3">
        <f>G80-LARGE($G$2:$G$266,Settings!$F$4)</f>
        <v>2.8373451309918365</v>
      </c>
      <c r="I80">
        <f>IF(INDEX('Player Data'!$R:$R,AL80)="","",INDEX('Player Data'!$R:$R,AL80))</f>
        <v>147</v>
      </c>
      <c r="J80" s="4">
        <f t="shared" si="8"/>
        <v>68</v>
      </c>
      <c r="L80" s="5">
        <f>IF(Settings!$F$7="Yes",INDEX('Minutes &amp; Health'!$O:$O,AL80),Settings!$F$8)</f>
        <v>79</v>
      </c>
      <c r="M80" s="6">
        <f>INDEX('Minutes &amp; Health'!$P:$P,AL80)</f>
        <v>29.7</v>
      </c>
      <c r="N80" s="5">
        <f>INDEX('Player Data'!$F:$F,AL80)/INDEX('Player Data'!$E:$E,AL80)*M80*L80*AM80</f>
        <v>1105.141304347826</v>
      </c>
      <c r="O80" s="5">
        <f>INDEX('Player Data'!$G:$G,AL80)/INDEX('Player Data'!$E:$E,AL80)*M80*L80*AM80</f>
        <v>423.05409207161119</v>
      </c>
      <c r="P80" s="5">
        <f>INDEX('Player Data'!$H:$H,AL80)/INDEX('Player Data'!$E:$E,AL80)*M80*L80*AM80</f>
        <v>299.03823529411761</v>
      </c>
      <c r="Q80" s="5">
        <f>INDEX('Player Data'!$I:$I,AL80)/INDEX('Player Data'!$E:$E,AL80)*M80*L80*AM80</f>
        <v>95.012148337595903</v>
      </c>
      <c r="R80" s="5">
        <f>INDEX('Player Data'!$J:$J,AL80)/INDEX('Player Data'!$E:$E,AL80)*M80*L80*AM80</f>
        <v>16.002046035805627</v>
      </c>
      <c r="S80" s="5">
        <f>INDEX('Player Data'!$K:$K,AL80)/INDEX('Player Data'!$E:$E,AL80)*M80*L80*AM80</f>
        <v>160.02046035805628</v>
      </c>
      <c r="T80" s="5">
        <f>INDEX('Player Data'!$L:$L,AL80)/INDEX('Player Data'!$E:$E,AL80)*M80*L80*AM80</f>
        <v>128.01636828644502</v>
      </c>
      <c r="U80" s="7">
        <f>INDEX('Player Data'!$M:$M,AL80)</f>
        <v>0.44700000000000001</v>
      </c>
      <c r="V80" s="7">
        <f>INDEX('Player Data'!$N:$N,AL80)</f>
        <v>0.78600000000000003</v>
      </c>
      <c r="W80" s="5">
        <f t="shared" si="9"/>
        <v>380.75858413043477</v>
      </c>
      <c r="X80" s="5">
        <f>INDEX('Player Data'!$O:$O,AL80)/INDEX('Player Data'!$E:$E,AL80)*M80*L80*AM80</f>
        <v>851.80891304347824</v>
      </c>
      <c r="Y80" s="5">
        <f t="shared" si="10"/>
        <v>183.63307948849106</v>
      </c>
      <c r="Z80" s="5">
        <f>INDEX('Player Data'!$P:$P,AL80)/INDEX('Player Data'!$E:$E,AL80)*M80*L80*AM80</f>
        <v>233.62987212276215</v>
      </c>
      <c r="AB80" s="3">
        <f>(N80-Pool!$D$2)/Pool!$E$2</f>
        <v>-0.33089294813128217</v>
      </c>
      <c r="AC80" s="3">
        <f>(O80-Pool!$D$3)/Pool!$E$3</f>
        <v>-3.7080687691782112E-2</v>
      </c>
      <c r="AD80" s="3">
        <f>(P80-Pool!$D$4)/Pool!$E$4</f>
        <v>0.12833843827983699</v>
      </c>
      <c r="AE80" s="3">
        <f>(Q80-Pool!$D$5)/Pool!$E$5</f>
        <v>0.91783285323231201</v>
      </c>
      <c r="AF80" s="3">
        <f>(R80-Pool!$D$6)/Pool!$E$6</f>
        <v>-0.99359470934144389</v>
      </c>
      <c r="AG80" s="3">
        <f>(S80-Pool!$D$7)/Pool!$E$7</f>
        <v>0.51559752513191937</v>
      </c>
      <c r="AH80" s="3">
        <f>(AS80-Pool!$D$8)/Pool!$E$8</f>
        <v>-0.6906330583875876</v>
      </c>
      <c r="AI80" s="3">
        <f>(AT80-Pool!$D$9)/Pool!$E$9</f>
        <v>-0.14805346130392827</v>
      </c>
      <c r="AJ80" s="3">
        <f>-(T80-Pool!$D$10)/Pool!$E$10</f>
        <v>0.25956641275662706</v>
      </c>
      <c r="AL80">
        <f>MATCH(B80,'Player Data'!$A:$A,0)</f>
        <v>107</v>
      </c>
      <c r="AM80" s="3">
        <f>1+IF(Settings!$F$10="ON",IFERROR(VLOOKUP(TRIM(F80),Settings!$D$12:$F$17,3,FALSE),0),0)</f>
        <v>1</v>
      </c>
      <c r="AN80" t="str">
        <f t="shared" si="11"/>
        <v>PG</v>
      </c>
      <c r="AO80" s="6">
        <f>X80*(U80-Pool!$B$12)</f>
        <v>-28.626545955456852</v>
      </c>
      <c r="AP80" s="6">
        <f>Z80*(V80-Pool!$B$13)</f>
        <v>-0.9578023957955818</v>
      </c>
      <c r="AQ80" s="3">
        <f>Settings!$B$2*(N80-Pool!$B$2)/Pool!$C$2+Settings!$B$3*(O80-Pool!$B$3)/Pool!$C$3+Settings!$B$4*(P80-Pool!$B$4)/Pool!$C$4+Settings!$B$5*(Q80-Pool!$B$5)/Pool!$C$5+Settings!$B$6*(R80-Pool!$B$6)/Pool!$C$6+Settings!$B$7*(S80-Pool!$B$7)/Pool!$C$7+Settings!$B$8*(AO80-Pool!$B$8)/Pool!$C$8+Settings!$B$9*(AP80-Pool!$B$9)/Pool!$C$9+Settings!$B$10*-(T80-Pool!$B$10)/Pool!$C$10</f>
        <v>1.43085685179522</v>
      </c>
      <c r="AR80">
        <f>IF(RANK(AQ80,$AQ$2:$AQ$266)&lt;=Settings!$F$5,1,0)</f>
        <v>1</v>
      </c>
      <c r="AS80" s="6">
        <f>X80*(U80-Pool!$D$12)</f>
        <v>-31.579617074643881</v>
      </c>
      <c r="AT80" s="6">
        <f>Z80*(V80-Pool!$D$13)</f>
        <v>-3.303159773777351</v>
      </c>
    </row>
    <row r="81" spans="1:46" x14ac:dyDescent="0.2">
      <c r="A81">
        <f t="shared" si="6"/>
        <v>80</v>
      </c>
      <c r="B81" t="s">
        <v>122</v>
      </c>
      <c r="C81" t="str">
        <f>INDEX('Player Data'!$C:$C,AL81)</f>
        <v>PF,SF,SG</v>
      </c>
      <c r="D81">
        <f t="shared" si="7"/>
        <v>26</v>
      </c>
      <c r="E81" t="str">
        <f>INDEX('Player Data'!$B:$B,AL81)</f>
        <v>DET</v>
      </c>
      <c r="F81" s="2"/>
      <c r="G81" s="3">
        <f>Settings!$B$2*AB81+Settings!$B$3*AC81+Settings!$B$4*AD81+Settings!$B$5*AE81+Settings!$B$6*AF81+Settings!$B$7*AG81+Settings!$B$8*AH81+Settings!$B$9*AI81+Settings!$B$10*AJ81</f>
        <v>-0.39174814880614606</v>
      </c>
      <c r="H81" s="3">
        <f>G81-LARGE($G$2:$G$266,Settings!$F$4)</f>
        <v>2.8245166176410192</v>
      </c>
      <c r="I81">
        <f>IF(INDEX('Player Data'!$R:$R,AL81)="","",INDEX('Player Data'!$R:$R,AL81))</f>
        <v>100</v>
      </c>
      <c r="J81" s="4">
        <f t="shared" si="8"/>
        <v>20</v>
      </c>
      <c r="L81" s="5">
        <f>IF(Settings!$F$7="Yes",INDEX('Minutes &amp; Health'!$O:$O,AL81),Settings!$F$8)</f>
        <v>74</v>
      </c>
      <c r="M81" s="6">
        <f>INDEX('Minutes &amp; Health'!$P:$P,AL81)</f>
        <v>26.1</v>
      </c>
      <c r="N81" s="5">
        <f>INDEX('Player Data'!$F:$F,AL81)/INDEX('Player Data'!$E:$E,AL81)*M81*L81*AM81</f>
        <v>730.52953367875648</v>
      </c>
      <c r="O81" s="5">
        <f>INDEX('Player Data'!$G:$G,AL81)/INDEX('Player Data'!$E:$E,AL81)*M81*L81*AM81</f>
        <v>431.31264248704667</v>
      </c>
      <c r="P81" s="5">
        <f>INDEX('Player Data'!$H:$H,AL81)/INDEX('Player Data'!$E:$E,AL81)*M81*L81*AM81</f>
        <v>214.15523316062178</v>
      </c>
      <c r="Q81" s="5">
        <f>INDEX('Player Data'!$I:$I,AL81)/INDEX('Player Data'!$E:$E,AL81)*M81*L81*AM81</f>
        <v>142.10300518134716</v>
      </c>
      <c r="R81" s="5">
        <f>INDEX('Player Data'!$J:$J,AL81)/INDEX('Player Data'!$E:$E,AL81)*M81*L81*AM81</f>
        <v>73.052953367875659</v>
      </c>
      <c r="S81" s="5">
        <f>INDEX('Player Data'!$K:$K,AL81)/INDEX('Player Data'!$E:$E,AL81)*M81*L81*AM81</f>
        <v>8.0058031088082906</v>
      </c>
      <c r="T81" s="5">
        <f>INDEX('Player Data'!$L:$L,AL81)/INDEX('Player Data'!$E:$E,AL81)*M81*L81*AM81</f>
        <v>113.0819689119171</v>
      </c>
      <c r="U81" s="7">
        <f>INDEX('Player Data'!$M:$M,AL81)</f>
        <v>0.52300000000000002</v>
      </c>
      <c r="V81" s="7">
        <f>INDEX('Player Data'!$N:$N,AL81)</f>
        <v>0.58499999999999996</v>
      </c>
      <c r="W81" s="5">
        <f t="shared" si="9"/>
        <v>308.21811584455958</v>
      </c>
      <c r="X81" s="5">
        <f>INDEX('Player Data'!$O:$O,AL81)/INDEX('Player Data'!$E:$E,AL81)*M81*L81*AM81</f>
        <v>589.32718134715026</v>
      </c>
      <c r="Y81" s="5">
        <f t="shared" si="10"/>
        <v>106.13743507772021</v>
      </c>
      <c r="Z81" s="5">
        <f>INDEX('Player Data'!$P:$P,AL81)/INDEX('Player Data'!$E:$E,AL81)*M81*L81*AM81</f>
        <v>181.4315129533679</v>
      </c>
      <c r="AB81" s="3">
        <f>(N81-Pool!$D$2)/Pool!$E$2</f>
        <v>-1.2542964098511695</v>
      </c>
      <c r="AC81" s="3">
        <f>(O81-Pool!$D$3)/Pool!$E$3</f>
        <v>1.0988284885936428E-2</v>
      </c>
      <c r="AD81" s="3">
        <f>(P81-Pool!$D$4)/Pool!$E$4</f>
        <v>-0.44575311538031087</v>
      </c>
      <c r="AE81" s="3">
        <f>(Q81-Pool!$D$5)/Pool!$E$5</f>
        <v>2.9968079640648537</v>
      </c>
      <c r="AF81" s="3">
        <f>(R81-Pool!$D$6)/Pool!$E$6</f>
        <v>0.65749995519749782</v>
      </c>
      <c r="AG81" s="3">
        <f>(S81-Pool!$D$7)/Pool!$E$7</f>
        <v>-1.6254243130400856</v>
      </c>
      <c r="AH81" s="3">
        <f>(AS81-Pool!$D$8)/Pool!$E$8</f>
        <v>0.50169675638830935</v>
      </c>
      <c r="AI81" s="3">
        <f>(AT81-Pool!$D$9)/Pool!$E$9</f>
        <v>-1.7495231873463648</v>
      </c>
      <c r="AJ81" s="3">
        <f>-(T81-Pool!$D$10)/Pool!$E$10</f>
        <v>0.51625591627518752</v>
      </c>
      <c r="AL81">
        <f>MATCH(B81,'Player Data'!$A:$A,0)</f>
        <v>179</v>
      </c>
      <c r="AM81" s="3">
        <f>1+IF(Settings!$F$10="ON",IFERROR(VLOOKUP(TRIM(F81),Settings!$D$12:$F$17,3,FALSE),0),0)</f>
        <v>1</v>
      </c>
      <c r="AN81" t="str">
        <f t="shared" si="11"/>
        <v>PF</v>
      </c>
      <c r="AO81" s="6">
        <f>X81*(U81-Pool!$B$12)</f>
        <v>24.983482930310657</v>
      </c>
      <c r="AP81" s="6">
        <f>Z81*(V81-Pool!$B$13)</f>
        <v>-37.211541118546016</v>
      </c>
      <c r="AQ81" s="3">
        <f>Settings!$B$2*(N81-Pool!$B$2)/Pool!$C$2+Settings!$B$3*(O81-Pool!$B$3)/Pool!$C$3+Settings!$B$4*(P81-Pool!$B$4)/Pool!$C$4+Settings!$B$5*(Q81-Pool!$B$5)/Pool!$C$5+Settings!$B$6*(R81-Pool!$B$6)/Pool!$C$6+Settings!$B$7*(S81-Pool!$B$7)/Pool!$C$7+Settings!$B$8*(AO81-Pool!$B$8)/Pool!$C$8+Settings!$B$9*(AP81-Pool!$B$9)/Pool!$C$9+Settings!$B$10*-(T81-Pool!$B$10)/Pool!$C$10</f>
        <v>1.2247703803013663</v>
      </c>
      <c r="AR81">
        <f>IF(RANK(AQ81,$AQ$2:$AQ$266)&lt;=Settings!$F$5,1,0)</f>
        <v>1</v>
      </c>
      <c r="AS81" s="6">
        <f>X81*(U81-Pool!$D$12)</f>
        <v>22.940389635160621</v>
      </c>
      <c r="AT81" s="6">
        <f>Z81*(V81-Pool!$D$13)</f>
        <v>-39.032890989764468</v>
      </c>
    </row>
    <row r="82" spans="1:46" x14ac:dyDescent="0.2">
      <c r="A82">
        <f t="shared" si="6"/>
        <v>81</v>
      </c>
      <c r="B82" t="s">
        <v>123</v>
      </c>
      <c r="C82" t="str">
        <f>INDEX('Player Data'!$C:$C,AL82)</f>
        <v>SF,PF</v>
      </c>
      <c r="D82">
        <f t="shared" si="7"/>
        <v>10</v>
      </c>
      <c r="E82" t="str">
        <f>INDEX('Player Data'!$B:$B,AL82)</f>
        <v>PHO</v>
      </c>
      <c r="F82" s="2"/>
      <c r="G82" s="3">
        <f>Settings!$B$2*AB82+Settings!$B$3*AC82+Settings!$B$4*AD82+Settings!$B$5*AE82+Settings!$B$6*AF82+Settings!$B$7*AG82+Settings!$B$8*AH82+Settings!$B$9*AI82+Settings!$B$10*AJ82</f>
        <v>-0.42319188968677185</v>
      </c>
      <c r="H82" s="3">
        <f>G82-LARGE($G$2:$G$266,Settings!$F$4)</f>
        <v>2.7930728767603932</v>
      </c>
      <c r="I82">
        <f>IF(INDEX('Player Data'!$R:$R,AL82)="","",INDEX('Player Data'!$R:$R,AL82))</f>
        <v>116</v>
      </c>
      <c r="J82" s="4">
        <f t="shared" si="8"/>
        <v>35</v>
      </c>
      <c r="L82" s="5">
        <f>IF(Settings!$F$7="Yes",INDEX('Minutes &amp; Health'!$O:$O,AL82),Settings!$F$8)</f>
        <v>75</v>
      </c>
      <c r="M82" s="6">
        <f>INDEX('Minutes &amp; Health'!$P:$P,AL82)</f>
        <v>30.6</v>
      </c>
      <c r="N82" s="5">
        <f>INDEX('Player Data'!$F:$F,AL82)/INDEX('Player Data'!$E:$E,AL82)*M82*L82*AM82</f>
        <v>1305</v>
      </c>
      <c r="O82" s="5">
        <f>INDEX('Player Data'!$G:$G,AL82)/INDEX('Player Data'!$E:$E,AL82)*M82*L82*AM82</f>
        <v>468</v>
      </c>
      <c r="P82" s="5">
        <f>INDEX('Player Data'!$H:$H,AL82)/INDEX('Player Data'!$E:$E,AL82)*M82*L82*AM82</f>
        <v>237</v>
      </c>
      <c r="Q82" s="5">
        <f>INDEX('Player Data'!$I:$I,AL82)/INDEX('Player Data'!$E:$E,AL82)*M82*L82*AM82</f>
        <v>57</v>
      </c>
      <c r="R82" s="5">
        <f>INDEX('Player Data'!$J:$J,AL82)/INDEX('Player Data'!$E:$E,AL82)*M82*L82*AM82</f>
        <v>40.000000000000007</v>
      </c>
      <c r="S82" s="5">
        <f>INDEX('Player Data'!$K:$K,AL82)/INDEX('Player Data'!$E:$E,AL82)*M82*L82*AM82</f>
        <v>140</v>
      </c>
      <c r="T82" s="5">
        <f>INDEX('Player Data'!$L:$L,AL82)/INDEX('Player Data'!$E:$E,AL82)*M82*L82*AM82</f>
        <v>117</v>
      </c>
      <c r="U82" s="7">
        <f>INDEX('Player Data'!$M:$M,AL82)</f>
        <v>0.45600000000000002</v>
      </c>
      <c r="V82" s="7">
        <f>INDEX('Player Data'!$N:$N,AL82)</f>
        <v>0.84399999999999997</v>
      </c>
      <c r="W82" s="5">
        <f t="shared" si="9"/>
        <v>475.42559999999997</v>
      </c>
      <c r="X82" s="5">
        <f>INDEX('Player Data'!$O:$O,AL82)/INDEX('Player Data'!$E:$E,AL82)*M82*L82*AM82</f>
        <v>1042.5999999999999</v>
      </c>
      <c r="Y82" s="5">
        <f t="shared" si="10"/>
        <v>214.12280000000001</v>
      </c>
      <c r="Z82" s="5">
        <f>INDEX('Player Data'!$P:$P,AL82)/INDEX('Player Data'!$E:$E,AL82)*M82*L82*AM82</f>
        <v>253.70000000000002</v>
      </c>
      <c r="AB82" s="3">
        <f>(N82-Pool!$D$2)/Pool!$E$2</f>
        <v>0.16175097250801279</v>
      </c>
      <c r="AC82" s="3">
        <f>(O82-Pool!$D$3)/Pool!$E$3</f>
        <v>0.22452740416563849</v>
      </c>
      <c r="AD82" s="3">
        <f>(P82-Pool!$D$4)/Pool!$E$4</f>
        <v>-0.29124647261104974</v>
      </c>
      <c r="AE82" s="3">
        <f>(Q82-Pool!$D$5)/Pool!$E$5</f>
        <v>-0.7603338992935107</v>
      </c>
      <c r="AF82" s="3">
        <f>(R82-Pool!$D$6)/Pool!$E$6</f>
        <v>-0.29907650440731715</v>
      </c>
      <c r="AG82" s="3">
        <f>(S82-Pool!$D$7)/Pool!$E$7</f>
        <v>0.23362311810764227</v>
      </c>
      <c r="AH82" s="3">
        <f>(AS82-Pool!$D$8)/Pool!$E$8</f>
        <v>-0.64011237803927845</v>
      </c>
      <c r="AI82" s="3">
        <f>(AT82-Pool!$D$9)/Pool!$E$9</f>
        <v>0.49876229725016813</v>
      </c>
      <c r="AJ82" s="3">
        <f>-(T82-Pool!$D$10)/Pool!$E$10</f>
        <v>0.44891357263292259</v>
      </c>
      <c r="AL82">
        <f>MATCH(B82,'Player Data'!$A:$A,0)</f>
        <v>71</v>
      </c>
      <c r="AM82" s="3">
        <f>1+IF(Settings!$F$10="ON",IFERROR(VLOOKUP(TRIM(F82),Settings!$D$12:$F$17,3,FALSE),0),0)</f>
        <v>1</v>
      </c>
      <c r="AN82" t="str">
        <f t="shared" si="11"/>
        <v>SF</v>
      </c>
      <c r="AO82" s="6">
        <f>X82*(U82-Pool!$B$12)</f>
        <v>-25.655018072570574</v>
      </c>
      <c r="AP82" s="6">
        <f>Z82*(V82-Pool!$B$13)</f>
        <v>13.67451695922489</v>
      </c>
      <c r="AQ82" s="3">
        <f>Settings!$B$2*(N82-Pool!$B$2)/Pool!$C$2+Settings!$B$3*(O82-Pool!$B$3)/Pool!$C$3+Settings!$B$4*(P82-Pool!$B$4)/Pool!$C$4+Settings!$B$5*(Q82-Pool!$B$5)/Pool!$C$5+Settings!$B$6*(R82-Pool!$B$6)/Pool!$C$6+Settings!$B$7*(S82-Pool!$B$7)/Pool!$C$7+Settings!$B$8*(AO82-Pool!$B$8)/Pool!$C$8+Settings!$B$9*(AP82-Pool!$B$9)/Pool!$C$9+Settings!$B$10*-(T82-Pool!$B$10)/Pool!$C$10</f>
        <v>1.7259483194560548</v>
      </c>
      <c r="AR82">
        <f>IF(RANK(AQ82,$AQ$2:$AQ$266)&lt;=Settings!$F$5,1,0)</f>
        <v>1</v>
      </c>
      <c r="AS82" s="6">
        <f>X82*(U82-Pool!$D$12)</f>
        <v>-29.269528207083859</v>
      </c>
      <c r="AT82" s="6">
        <f>Z82*(V82-Pool!$D$13)</f>
        <v>11.127680112602299</v>
      </c>
    </row>
    <row r="83" spans="1:46" x14ac:dyDescent="0.2">
      <c r="A83">
        <f t="shared" si="6"/>
        <v>82</v>
      </c>
      <c r="B83" t="s">
        <v>124</v>
      </c>
      <c r="C83" t="str">
        <f>INDEX('Player Data'!$C:$C,AL83)</f>
        <v>PG,SF,SG</v>
      </c>
      <c r="D83">
        <f t="shared" si="7"/>
        <v>30</v>
      </c>
      <c r="E83" t="str">
        <f>INDEX('Player Data'!$B:$B,AL83)</f>
        <v>OKC</v>
      </c>
      <c r="F83" s="2"/>
      <c r="G83" s="3">
        <f>Settings!$B$2*AB83+Settings!$B$3*AC83+Settings!$B$4*AD83+Settings!$B$5*AE83+Settings!$B$6*AF83+Settings!$B$7*AG83+Settings!$B$8*AH83+Settings!$B$9*AI83+Settings!$B$10*AJ83</f>
        <v>-0.45212824680958885</v>
      </c>
      <c r="H83" s="3">
        <f>G83-LARGE($G$2:$G$266,Settings!$F$4)</f>
        <v>2.7641365196375762</v>
      </c>
      <c r="I83">
        <f>IF(INDEX('Player Data'!$R:$R,AL83)="","",INDEX('Player Data'!$R:$R,AL83))</f>
        <v>150</v>
      </c>
      <c r="J83" s="4">
        <f t="shared" si="8"/>
        <v>68</v>
      </c>
      <c r="L83" s="5">
        <f>IF(Settings!$F$7="Yes",INDEX('Minutes &amp; Health'!$O:$O,AL83),Settings!$F$8)</f>
        <v>77</v>
      </c>
      <c r="M83" s="6">
        <f>INDEX('Minutes &amp; Health'!$P:$P,AL83)</f>
        <v>26.3</v>
      </c>
      <c r="N83" s="5">
        <f>INDEX('Player Data'!$F:$F,AL83)/INDEX('Player Data'!$E:$E,AL83)*M83*L83*AM83</f>
        <v>631.09625246548319</v>
      </c>
      <c r="O83" s="5">
        <f>INDEX('Player Data'!$G:$G,AL83)/INDEX('Player Data'!$E:$E,AL83)*M83*L83*AM83</f>
        <v>229.67110453648914</v>
      </c>
      <c r="P83" s="5">
        <f>INDEX('Player Data'!$H:$H,AL83)/INDEX('Player Data'!$E:$E,AL83)*M83*L83*AM83</f>
        <v>185.73402366863905</v>
      </c>
      <c r="Q83" s="5">
        <f>INDEX('Player Data'!$I:$I,AL83)/INDEX('Player Data'!$E:$E,AL83)*M83*L83*AM83</f>
        <v>141.79694280078897</v>
      </c>
      <c r="R83" s="5">
        <f>INDEX('Player Data'!$J:$J,AL83)/INDEX('Player Data'!$E:$E,AL83)*M83*L83*AM83</f>
        <v>29.957100591715975</v>
      </c>
      <c r="S83" s="5">
        <f>INDEX('Player Data'!$K:$K,AL83)/INDEX('Player Data'!$E:$E,AL83)*M83*L83*AM83</f>
        <v>93.865581854043398</v>
      </c>
      <c r="T83" s="5">
        <f>INDEX('Player Data'!$L:$L,AL83)/INDEX('Player Data'!$E:$E,AL83)*M83*L83*AM83</f>
        <v>66.904191321499027</v>
      </c>
      <c r="U83" s="7">
        <f>INDEX('Player Data'!$M:$M,AL83)</f>
        <v>0.44500000000000001</v>
      </c>
      <c r="V83" s="7">
        <f>INDEX('Player Data'!$N:$N,AL83)</f>
        <v>0.80400000000000005</v>
      </c>
      <c r="W83" s="5">
        <f t="shared" si="9"/>
        <v>236.1348482741617</v>
      </c>
      <c r="X83" s="5">
        <f>INDEX('Player Data'!$O:$O,AL83)/INDEX('Player Data'!$E:$E,AL83)*M83*L83*AM83</f>
        <v>530.64010848126225</v>
      </c>
      <c r="Y83" s="5">
        <f t="shared" si="10"/>
        <v>64.950588934911238</v>
      </c>
      <c r="Z83" s="5">
        <f>INDEX('Player Data'!$P:$P,AL83)/INDEX('Player Data'!$E:$E,AL83)*M83*L83*AM83</f>
        <v>80.784314595660746</v>
      </c>
      <c r="AB83" s="3">
        <f>(N83-Pool!$D$2)/Pool!$E$2</f>
        <v>-1.4993955852415082</v>
      </c>
      <c r="AC83" s="3">
        <f>(O83-Pool!$D$3)/Pool!$E$3</f>
        <v>-1.162668237226999</v>
      </c>
      <c r="AD83" s="3">
        <f>(P83-Pool!$D$4)/Pool!$E$4</f>
        <v>-0.63797506681991789</v>
      </c>
      <c r="AE83" s="3">
        <f>(Q83-Pool!$D$5)/Pool!$E$5</f>
        <v>2.9832958703339223</v>
      </c>
      <c r="AF83" s="3">
        <f>(R83-Pool!$D$6)/Pool!$E$6</f>
        <v>-0.58972530220825847</v>
      </c>
      <c r="AG83" s="3">
        <f>(S83-Pool!$D$7)/Pool!$E$7</f>
        <v>-0.41614841398809277</v>
      </c>
      <c r="AH83" s="3">
        <f>(AS83-Pool!$D$8)/Pool!$E$8</f>
        <v>-0.45344427841639112</v>
      </c>
      <c r="AI83" s="3">
        <f>(AT83-Pool!$D$9)/Pool!$E$9</f>
        <v>1.398233984202275E-2</v>
      </c>
      <c r="AJ83" s="3">
        <f>-(T83-Pool!$D$10)/Pool!$E$10</f>
        <v>1.3099504269156339</v>
      </c>
      <c r="AL83">
        <f>MATCH(B83,'Player Data'!$A:$A,0)</f>
        <v>210</v>
      </c>
      <c r="AM83" s="3">
        <f>1+IF(Settings!$F$10="ON",IFERROR(VLOOKUP(TRIM(F83),Settings!$D$12:$F$17,3,FALSE),0),0)</f>
        <v>1</v>
      </c>
      <c r="AN83" t="str">
        <f t="shared" si="11"/>
        <v>PG</v>
      </c>
      <c r="AO83" s="6">
        <f>X83*(U83-Pool!$B$12)</f>
        <v>-18.894380127801462</v>
      </c>
      <c r="AP83" s="6">
        <f>Z83*(V83-Pool!$B$13)</f>
        <v>1.1229296628338903</v>
      </c>
      <c r="AQ83" s="3">
        <f>Settings!$B$2*(N83-Pool!$B$2)/Pool!$C$2+Settings!$B$3*(O83-Pool!$B$3)/Pool!$C$3+Settings!$B$4*(P83-Pool!$B$4)/Pool!$C$4+Settings!$B$5*(Q83-Pool!$B$5)/Pool!$C$5+Settings!$B$6*(R83-Pool!$B$6)/Pool!$C$6+Settings!$B$7*(S83-Pool!$B$7)/Pool!$C$7+Settings!$B$8*(AO83-Pool!$B$8)/Pool!$C$8+Settings!$B$9*(AP83-Pool!$B$9)/Pool!$C$9+Settings!$B$10*-(T83-Pool!$B$10)/Pool!$C$10</f>
        <v>1.1745858895009778</v>
      </c>
      <c r="AR83">
        <f>IF(RANK(AQ83,$AQ$2:$AQ$266)&lt;=Settings!$F$5,1,0)</f>
        <v>1</v>
      </c>
      <c r="AS83" s="6">
        <f>X83*(U83-Pool!$D$12)</f>
        <v>-20.734015702216148</v>
      </c>
      <c r="AT83" s="6">
        <f>Z83*(V83-Pool!$D$13)</f>
        <v>0.31195422317531707</v>
      </c>
    </row>
    <row r="84" spans="1:46" x14ac:dyDescent="0.2">
      <c r="A84">
        <f t="shared" si="6"/>
        <v>83</v>
      </c>
      <c r="B84" t="s">
        <v>125</v>
      </c>
      <c r="C84" t="str">
        <f>INDEX('Player Data'!$C:$C,AL84)</f>
        <v>SG,SF</v>
      </c>
      <c r="D84">
        <f t="shared" si="7"/>
        <v>2</v>
      </c>
      <c r="E84" t="str">
        <f>INDEX('Player Data'!$B:$B,AL84)</f>
        <v>CHI</v>
      </c>
      <c r="F84" s="2"/>
      <c r="G84" s="3">
        <f>Settings!$B$2*AB84+Settings!$B$3*AC84+Settings!$B$4*AD84+Settings!$B$5*AE84+Settings!$B$6*AF84+Settings!$B$7*AG84+Settings!$B$8*AH84+Settings!$B$9*AI84+Settings!$B$10*AJ84</f>
        <v>-0.47483609668034626</v>
      </c>
      <c r="H84" s="3">
        <f>G84-LARGE($G$2:$G$266,Settings!$F$4)</f>
        <v>2.7414286697668189</v>
      </c>
      <c r="I84">
        <f>IF(INDEX('Player Data'!$R:$R,AL84)="","",INDEX('Player Data'!$R:$R,AL84))</f>
        <v>107</v>
      </c>
      <c r="J84" s="4">
        <f t="shared" si="8"/>
        <v>24</v>
      </c>
      <c r="L84" s="5">
        <f>IF(Settings!$F$7="Yes",INDEX('Minutes &amp; Health'!$O:$O,AL84),Settings!$F$8)</f>
        <v>74</v>
      </c>
      <c r="M84" s="6">
        <f>INDEX('Minutes &amp; Health'!$P:$P,AL84)</f>
        <v>32.5</v>
      </c>
      <c r="N84" s="5">
        <f>INDEX('Player Data'!$F:$F,AL84)/INDEX('Player Data'!$E:$E,AL84)*M84*L84*AM84</f>
        <v>1594.6630615640599</v>
      </c>
      <c r="O84" s="5">
        <f>INDEX('Player Data'!$G:$G,AL84)/INDEX('Player Data'!$E:$E,AL84)*M84*L84*AM84</f>
        <v>243.10108153078201</v>
      </c>
      <c r="P84" s="5">
        <f>INDEX('Player Data'!$H:$H,AL84)/INDEX('Player Data'!$E:$E,AL84)*M84*L84*AM84</f>
        <v>174.07237936772049</v>
      </c>
      <c r="Q84" s="5">
        <f>INDEX('Player Data'!$I:$I,AL84)/INDEX('Player Data'!$E:$E,AL84)*M84*L84*AM84</f>
        <v>77.032029950083199</v>
      </c>
      <c r="R84" s="5">
        <f>INDEX('Player Data'!$J:$J,AL84)/INDEX('Player Data'!$E:$E,AL84)*M84*L84*AM84</f>
        <v>18.007487520798669</v>
      </c>
      <c r="S84" s="5">
        <f>INDEX('Player Data'!$K:$K,AL84)/INDEX('Player Data'!$E:$E,AL84)*M84*L84*AM84</f>
        <v>208.08652246256241</v>
      </c>
      <c r="T84" s="5">
        <f>INDEX('Player Data'!$L:$L,AL84)/INDEX('Player Data'!$E:$E,AL84)*M84*L84*AM84</f>
        <v>143.05948419301166</v>
      </c>
      <c r="U84" s="7">
        <f>INDEX('Player Data'!$M:$M,AL84)</f>
        <v>0.47199999999999998</v>
      </c>
      <c r="V84" s="7">
        <f>INDEX('Player Data'!$N:$N,AL84)</f>
        <v>0.82199999999999995</v>
      </c>
      <c r="W84" s="5">
        <f t="shared" si="9"/>
        <v>538.20938768718793</v>
      </c>
      <c r="X84" s="5">
        <f>INDEX('Player Data'!$O:$O,AL84)/INDEX('Player Data'!$E:$E,AL84)*M84*L84*AM84</f>
        <v>1140.2741264559068</v>
      </c>
      <c r="Y84" s="5">
        <f t="shared" si="10"/>
        <v>310.1873760399335</v>
      </c>
      <c r="Z84" s="5">
        <f>INDEX('Player Data'!$P:$P,AL84)/INDEX('Player Data'!$E:$E,AL84)*M84*L84*AM84</f>
        <v>377.35690515806994</v>
      </c>
      <c r="AB84" s="3">
        <f>(N84-Pool!$D$2)/Pool!$E$2</f>
        <v>0.87575916638540396</v>
      </c>
      <c r="AC84" s="3">
        <f>(O84-Pool!$D$3)/Pool!$E$3</f>
        <v>-1.0844989262240081</v>
      </c>
      <c r="AD84" s="3">
        <f>(P84-Pool!$D$4)/Pool!$E$4</f>
        <v>-0.71684658793338341</v>
      </c>
      <c r="AE84" s="3">
        <f>(Q84-Pool!$D$5)/Pool!$E$5</f>
        <v>0.12404354628701626</v>
      </c>
      <c r="AF84" s="3">
        <f>(R84-Pool!$D$6)/Pool!$E$6</f>
        <v>-0.93555577725848726</v>
      </c>
      <c r="AG84" s="3">
        <f>(S84-Pool!$D$7)/Pool!$E$7</f>
        <v>1.192574933119257</v>
      </c>
      <c r="AH84" s="3">
        <f>(AS84-Pool!$D$8)/Pool!$E$8</f>
        <v>-0.30108305218147091</v>
      </c>
      <c r="AI84" s="3">
        <f>(AT84-Pool!$D$9)/Pool!$E$9</f>
        <v>0.36976229014377043</v>
      </c>
      <c r="AJ84" s="3">
        <f>-(T84-Pool!$D$10)/Pool!$E$10</f>
        <v>1.008310981555717E-3</v>
      </c>
      <c r="AL84">
        <f>MATCH(B84,'Player Data'!$A:$A,0)</f>
        <v>33</v>
      </c>
      <c r="AM84" s="3">
        <f>1+IF(Settings!$F$10="ON",IFERROR(VLOOKUP(TRIM(F84),Settings!$D$12:$F$17,3,FALSE),0),0)</f>
        <v>1</v>
      </c>
      <c r="AN84" t="str">
        <f t="shared" si="11"/>
        <v>SG</v>
      </c>
      <c r="AO84" s="6">
        <f>X84*(U84-Pool!$B$12)</f>
        <v>-9.8140767830655165</v>
      </c>
      <c r="AP84" s="6">
        <f>Z84*(V84-Pool!$B$13)</f>
        <v>12.037814618901821</v>
      </c>
      <c r="AQ84" s="3">
        <f>Settings!$B$2*(N84-Pool!$B$2)/Pool!$C$2+Settings!$B$3*(O84-Pool!$B$3)/Pool!$C$3+Settings!$B$4*(P84-Pool!$B$4)/Pool!$C$4+Settings!$B$5*(Q84-Pool!$B$5)/Pool!$C$5+Settings!$B$6*(R84-Pool!$B$6)/Pool!$C$6+Settings!$B$7*(S84-Pool!$B$7)/Pool!$C$7+Settings!$B$8*(AO84-Pool!$B$8)/Pool!$C$8+Settings!$B$9*(AP84-Pool!$B$9)/Pool!$C$9+Settings!$B$10*-(T84-Pool!$B$10)/Pool!$C$10</f>
        <v>1.5340226540457751</v>
      </c>
      <c r="AR84">
        <f>IF(RANK(AQ84,$AQ$2:$AQ$266)&lt;=Settings!$F$5,1,0)</f>
        <v>1</v>
      </c>
      <c r="AS84" s="6">
        <f>X84*(U84-Pool!$D$12)</f>
        <v>-13.76720587015372</v>
      </c>
      <c r="AT84" s="6">
        <f>Z84*(V84-Pool!$D$13)</f>
        <v>8.2496141049718297</v>
      </c>
    </row>
    <row r="85" spans="1:46" x14ac:dyDescent="0.2">
      <c r="A85">
        <f t="shared" si="6"/>
        <v>84</v>
      </c>
      <c r="B85" t="s">
        <v>126</v>
      </c>
      <c r="C85" t="str">
        <f>INDEX('Player Data'!$C:$C,AL85)</f>
        <v>PG,SF,SG</v>
      </c>
      <c r="D85">
        <f t="shared" si="7"/>
        <v>31</v>
      </c>
      <c r="E85" t="str">
        <f>INDEX('Player Data'!$B:$B,AL85)</f>
        <v>MIN</v>
      </c>
      <c r="F85" s="2"/>
      <c r="G85" s="3">
        <f>Settings!$B$2*AB85+Settings!$B$3*AC85+Settings!$B$4*AD85+Settings!$B$5*AE85+Settings!$B$6*AF85+Settings!$B$7*AG85+Settings!$B$8*AH85+Settings!$B$9*AI85+Settings!$B$10*AJ85</f>
        <v>-0.51414917465282761</v>
      </c>
      <c r="H85" s="3">
        <f>G85-LARGE($G$2:$G$266,Settings!$F$4)</f>
        <v>2.7021155917943376</v>
      </c>
      <c r="I85">
        <f>IF(INDEX('Player Data'!$R:$R,AL85)="","",INDEX('Player Data'!$R:$R,AL85))</f>
        <v>127</v>
      </c>
      <c r="J85" s="4">
        <f t="shared" si="8"/>
        <v>43</v>
      </c>
      <c r="L85" s="5">
        <f>IF(Settings!$F$7="Yes",INDEX('Minutes &amp; Health'!$O:$O,AL85),Settings!$F$8)</f>
        <v>75</v>
      </c>
      <c r="M85" s="6">
        <f>INDEX('Minutes &amp; Health'!$P:$P,AL85)</f>
        <v>29</v>
      </c>
      <c r="N85" s="5">
        <f>INDEX('Player Data'!$F:$F,AL85)/INDEX('Player Data'!$E:$E,AL85)*M85*L85*AM85</f>
        <v>1071.0151584749656</v>
      </c>
      <c r="O85" s="5">
        <f>INDEX('Player Data'!$G:$G,AL85)/INDEX('Player Data'!$E:$E,AL85)*M85*L85*AM85</f>
        <v>263.75746440055121</v>
      </c>
      <c r="P85" s="5">
        <f>INDEX('Player Data'!$H:$H,AL85)/INDEX('Player Data'!$E:$E,AL85)*M85*L85*AM85</f>
        <v>286.7363344051447</v>
      </c>
      <c r="Q85" s="5">
        <f>INDEX('Player Data'!$I:$I,AL85)/INDEX('Player Data'!$E:$E,AL85)*M85*L85*AM85</f>
        <v>74.931097841065679</v>
      </c>
      <c r="R85" s="5">
        <f>INDEX('Player Data'!$J:$J,AL85)/INDEX('Player Data'!$E:$E,AL85)*M85*L85*AM85</f>
        <v>23.977951309141019</v>
      </c>
      <c r="S85" s="5">
        <f>INDEX('Player Data'!$K:$K,AL85)/INDEX('Player Data'!$E:$E,AL85)*M85*L85*AM85</f>
        <v>123.88608176389528</v>
      </c>
      <c r="T85" s="5">
        <f>INDEX('Player Data'!$L:$L,AL85)/INDEX('Player Data'!$E:$E,AL85)*M85*L85*AM85</f>
        <v>105.90261828203951</v>
      </c>
      <c r="U85" s="7">
        <f>INDEX('Player Data'!$M:$M,AL85)</f>
        <v>0.51200000000000001</v>
      </c>
      <c r="V85" s="7">
        <f>INDEX('Player Data'!$N:$N,AL85)</f>
        <v>0.85799999999999998</v>
      </c>
      <c r="W85" s="5">
        <f t="shared" si="9"/>
        <v>403.44341754708319</v>
      </c>
      <c r="X85" s="5">
        <f>INDEX('Player Data'!$O:$O,AL85)/INDEX('Player Data'!$E:$E,AL85)*M85*L85*AM85</f>
        <v>787.97542489664681</v>
      </c>
      <c r="Y85" s="5">
        <f t="shared" si="10"/>
        <v>140.23984382177309</v>
      </c>
      <c r="Z85" s="5">
        <f>INDEX('Player Data'!$P:$P,AL85)/INDEX('Player Data'!$E:$E,AL85)*M85*L85*AM85</f>
        <v>163.44970142397796</v>
      </c>
      <c r="AB85" s="3">
        <f>(N85-Pool!$D$2)/Pool!$E$2</f>
        <v>-0.41501257196978381</v>
      </c>
      <c r="AC85" s="3">
        <f>(O85-Pool!$D$3)/Pool!$E$3</f>
        <v>-0.96426824992202997</v>
      </c>
      <c r="AD85" s="3">
        <f>(P85-Pool!$D$4)/Pool!$E$4</f>
        <v>4.5136652093993555E-2</v>
      </c>
      <c r="AE85" s="3">
        <f>(Q85-Pool!$D$5)/Pool!$E$5</f>
        <v>3.129124027804351E-2</v>
      </c>
      <c r="AF85" s="3">
        <f>(R85-Pool!$D$6)/Pool!$E$6</f>
        <v>-0.76276622198679311</v>
      </c>
      <c r="AG85" s="3">
        <f>(S85-Pool!$D$7)/Pool!$E$7</f>
        <v>6.6696685764524449E-3</v>
      </c>
      <c r="AH85" s="3">
        <f>(AS85-Pool!$D$8)/Pool!$E$8</f>
        <v>0.48124722390146679</v>
      </c>
      <c r="AI85" s="3">
        <f>(AT85-Pool!$D$9)/Pool!$E$9</f>
        <v>0.42389990902424235</v>
      </c>
      <c r="AJ85" s="3">
        <f>-(T85-Pool!$D$10)/Pool!$E$10</f>
        <v>0.63965317535158051</v>
      </c>
      <c r="AL85">
        <f>MATCH(B85,'Player Data'!$A:$A,0)</f>
        <v>103</v>
      </c>
      <c r="AM85" s="3">
        <f>1+IF(Settings!$F$10="ON",IFERROR(VLOOKUP(TRIM(F85),Settings!$D$12:$F$17,3,FALSE),0),0)</f>
        <v>1</v>
      </c>
      <c r="AN85" t="str">
        <f t="shared" si="11"/>
        <v>PG</v>
      </c>
      <c r="AO85" s="6">
        <f>X85*(U85-Pool!$B$12)</f>
        <v>24.737093997104072</v>
      </c>
      <c r="AP85" s="6">
        <f>Z85*(V85-Pool!$B$13)</f>
        <v>11.098290751360333</v>
      </c>
      <c r="AQ85" s="3">
        <f>Settings!$B$2*(N85-Pool!$B$2)/Pool!$C$2+Settings!$B$3*(O85-Pool!$B$3)/Pool!$C$3+Settings!$B$4*(P85-Pool!$B$4)/Pool!$C$4+Settings!$B$5*(Q85-Pool!$B$5)/Pool!$C$5+Settings!$B$6*(R85-Pool!$B$6)/Pool!$C$6+Settings!$B$7*(S85-Pool!$B$7)/Pool!$C$7+Settings!$B$8*(AO85-Pool!$B$8)/Pool!$C$8+Settings!$B$9*(AP85-Pool!$B$9)/Pool!$C$9+Settings!$B$10*-(T85-Pool!$B$10)/Pool!$C$10</f>
        <v>1.6569626831393913</v>
      </c>
      <c r="AR85">
        <f>IF(RANK(AQ85,$AQ$2:$AQ$266)&lt;=Settings!$F$5,1,0)</f>
        <v>1</v>
      </c>
      <c r="AS85" s="6">
        <f>X85*(U85-Pool!$D$12)</f>
        <v>22.00532231185916</v>
      </c>
      <c r="AT85" s="6">
        <f>Z85*(V85-Pool!$D$13)</f>
        <v>9.4574562138906924</v>
      </c>
    </row>
    <row r="86" spans="1:46" x14ac:dyDescent="0.2">
      <c r="A86">
        <f t="shared" si="6"/>
        <v>85</v>
      </c>
      <c r="B86" t="s">
        <v>127</v>
      </c>
      <c r="C86" t="str">
        <f>INDEX('Player Data'!$C:$C,AL86)</f>
        <v>PG,SG</v>
      </c>
      <c r="D86">
        <f t="shared" si="7"/>
        <v>32</v>
      </c>
      <c r="E86" t="str">
        <f>INDEX('Player Data'!$B:$B,AL86)</f>
        <v>BOS</v>
      </c>
      <c r="F86" s="2"/>
      <c r="G86" s="3">
        <f>Settings!$B$2*AB86+Settings!$B$3*AC86+Settings!$B$4*AD86+Settings!$B$5*AE86+Settings!$B$6*AF86+Settings!$B$7*AG86+Settings!$B$8*AH86+Settings!$B$9*AI86+Settings!$B$10*AJ86</f>
        <v>-0.59163991363334512</v>
      </c>
      <c r="H86" s="3">
        <f>G86-LARGE($G$2:$G$266,Settings!$F$4)</f>
        <v>2.6246248528138199</v>
      </c>
      <c r="I86">
        <f>IF(INDEX('Player Data'!$R:$R,AL86)="","",INDEX('Player Data'!$R:$R,AL86))</f>
        <v>81</v>
      </c>
      <c r="J86" s="4">
        <f t="shared" si="8"/>
        <v>-4</v>
      </c>
      <c r="L86" s="5">
        <f>IF(Settings!$F$7="Yes",INDEX('Minutes &amp; Health'!$O:$O,AL86),Settings!$F$8)</f>
        <v>75</v>
      </c>
      <c r="M86" s="6">
        <f>INDEX('Minutes &amp; Health'!$P:$P,AL86)</f>
        <v>30.7</v>
      </c>
      <c r="N86" s="5">
        <f>INDEX('Player Data'!$F:$F,AL86)/INDEX('Player Data'!$E:$E,AL86)*M86*L86*AM86</f>
        <v>1234.2680278019113</v>
      </c>
      <c r="O86" s="5">
        <f>INDEX('Player Data'!$G:$G,AL86)/INDEX('Player Data'!$E:$E,AL86)*M86*L86*AM86</f>
        <v>287.06233709817553</v>
      </c>
      <c r="P86" s="5">
        <f>INDEX('Player Data'!$H:$H,AL86)/INDEX('Player Data'!$E:$E,AL86)*M86*L86*AM86</f>
        <v>332.07211120764549</v>
      </c>
      <c r="Q86" s="5">
        <f>INDEX('Player Data'!$I:$I,AL86)/INDEX('Player Data'!$E:$E,AL86)*M86*L86*AM86</f>
        <v>52.011294526498695</v>
      </c>
      <c r="R86" s="5">
        <f>INDEX('Player Data'!$J:$J,AL86)/INDEX('Player Data'!$E:$E,AL86)*M86*L86*AM86</f>
        <v>8.0017376194613377</v>
      </c>
      <c r="S86" s="5">
        <f>INDEX('Player Data'!$K:$K,AL86)/INDEX('Player Data'!$E:$E,AL86)*M86*L86*AM86</f>
        <v>217.04713292788878</v>
      </c>
      <c r="T86" s="5">
        <f>INDEX('Player Data'!$L:$L,AL86)/INDEX('Player Data'!$E:$E,AL86)*M86*L86*AM86</f>
        <v>100.02172024326673</v>
      </c>
      <c r="U86" s="7">
        <f>INDEX('Player Data'!$M:$M,AL86)</f>
        <v>0.46300000000000002</v>
      </c>
      <c r="V86" s="7">
        <f>INDEX('Player Data'!$N:$N,AL86)</f>
        <v>0.878</v>
      </c>
      <c r="W86" s="5">
        <f t="shared" si="9"/>
        <v>447.07728518679409</v>
      </c>
      <c r="X86" s="5">
        <f>INDEX('Player Data'!$O:$O,AL86)/INDEX('Player Data'!$E:$E,AL86)*M86*L86*AM86</f>
        <v>965.60968722849691</v>
      </c>
      <c r="Y86" s="5">
        <f t="shared" si="10"/>
        <v>123.03451759339701</v>
      </c>
      <c r="Z86" s="5">
        <f>INDEX('Player Data'!$P:$P,AL86)/INDEX('Player Data'!$E:$E,AL86)*M86*L86*AM86</f>
        <v>140.13043006081665</v>
      </c>
      <c r="AB86" s="3">
        <f>(N86-Pool!$D$2)/Pool!$E$2</f>
        <v>-1.260059115304512E-2</v>
      </c>
      <c r="AC86" s="3">
        <f>(O86-Pool!$D$3)/Pool!$E$3</f>
        <v>-0.82862201295826932</v>
      </c>
      <c r="AD86" s="3">
        <f>(P86-Pool!$D$4)/Pool!$E$4</f>
        <v>0.35175736397697782</v>
      </c>
      <c r="AE86" s="3">
        <f>(Q86-Pool!$D$5)/Pool!$E$5</f>
        <v>-0.98057611210980866</v>
      </c>
      <c r="AF86" s="3">
        <f>(R86-Pool!$D$6)/Pool!$E$6</f>
        <v>-1.2251294413660601</v>
      </c>
      <c r="AG86" s="3">
        <f>(S86-Pool!$D$7)/Pool!$E$7</f>
        <v>1.3187789652617645</v>
      </c>
      <c r="AH86" s="3">
        <f>(AS86-Pool!$D$8)/Pool!$E$8</f>
        <v>-0.44502120801921635</v>
      </c>
      <c r="AI86" s="3">
        <f>(AT86-Pool!$D$9)/Pool!$E$9</f>
        <v>0.48904023470338698</v>
      </c>
      <c r="AJ86" s="3">
        <f>-(T86-Pool!$D$10)/Pool!$E$10</f>
        <v>0.74073288803092485</v>
      </c>
      <c r="AL86">
        <f>MATCH(B86,'Player Data'!$A:$A,0)</f>
        <v>82</v>
      </c>
      <c r="AM86" s="3">
        <f>1+IF(Settings!$F$10="ON",IFERROR(VLOOKUP(TRIM(F86),Settings!$D$12:$F$17,3,FALSE),0),0)</f>
        <v>1</v>
      </c>
      <c r="AN86" t="str">
        <f t="shared" si="11"/>
        <v>PG</v>
      </c>
      <c r="AO86" s="6">
        <f>X86*(U86-Pool!$B$12)</f>
        <v>-17.001267367701214</v>
      </c>
      <c r="AP86" s="6">
        <f>Z86*(V86-Pool!$B$13)</f>
        <v>12.317512834011461</v>
      </c>
      <c r="AQ86" s="3">
        <f>Settings!$B$2*(N86-Pool!$B$2)/Pool!$C$2+Settings!$B$3*(O86-Pool!$B$3)/Pool!$C$3+Settings!$B$4*(P86-Pool!$B$4)/Pool!$C$4+Settings!$B$5*(Q86-Pool!$B$5)/Pool!$C$5+Settings!$B$6*(R86-Pool!$B$6)/Pool!$C$6+Settings!$B$7*(S86-Pool!$B$7)/Pool!$C$7+Settings!$B$8*(AO86-Pool!$B$8)/Pool!$C$8+Settings!$B$9*(AP86-Pool!$B$9)/Pool!$C$9+Settings!$B$10*-(T86-Pool!$B$10)/Pool!$C$10</f>
        <v>1.501439237580082</v>
      </c>
      <c r="AR86">
        <f>IF(RANK(AQ86,$AQ$2:$AQ$266)&lt;=Settings!$F$5,1,0)</f>
        <v>1</v>
      </c>
      <c r="AS86" s="6">
        <f>X86*(U86-Pool!$D$12)</f>
        <v>-20.34886568006608</v>
      </c>
      <c r="AT86" s="6">
        <f>Z86*(V86-Pool!$D$13)</f>
        <v>10.910775180830706</v>
      </c>
    </row>
    <row r="87" spans="1:46" x14ac:dyDescent="0.2">
      <c r="A87">
        <f t="shared" si="6"/>
        <v>86</v>
      </c>
      <c r="B87" t="s">
        <v>128</v>
      </c>
      <c r="C87" t="str">
        <f>INDEX('Player Data'!$C:$C,AL87)</f>
        <v>C</v>
      </c>
      <c r="D87">
        <f t="shared" si="7"/>
        <v>16</v>
      </c>
      <c r="E87" t="str">
        <f>INDEX('Player Data'!$B:$B,AL87)</f>
        <v>MIL</v>
      </c>
      <c r="F87" s="2"/>
      <c r="G87" s="3">
        <f>Settings!$B$2*AB87+Settings!$B$3*AC87+Settings!$B$4*AD87+Settings!$B$5*AE87+Settings!$B$6*AF87+Settings!$B$7*AG87+Settings!$B$8*AH87+Settings!$B$9*AI87+Settings!$B$10*AJ87</f>
        <v>-0.61583625652622631</v>
      </c>
      <c r="H87" s="3">
        <f>G87-LARGE($G$2:$G$266,Settings!$F$4)</f>
        <v>2.6004285099209388</v>
      </c>
      <c r="I87">
        <f>IF(INDEX('Player Data'!$R:$R,AL87)="","",INDEX('Player Data'!$R:$R,AL87))</f>
        <v>78</v>
      </c>
      <c r="J87" s="4">
        <f t="shared" si="8"/>
        <v>-8</v>
      </c>
      <c r="L87" s="5">
        <f>IF(Settings!$F$7="Yes",INDEX('Minutes &amp; Health'!$O:$O,AL87),Settings!$F$8)</f>
        <v>75</v>
      </c>
      <c r="M87" s="6">
        <f>INDEX('Minutes &amp; Health'!$P:$P,AL87)</f>
        <v>23.4</v>
      </c>
      <c r="N87" s="5">
        <f>INDEX('Player Data'!$F:$F,AL87)/INDEX('Player Data'!$E:$E,AL87)*M87*L87*AM87</f>
        <v>782.33732876712327</v>
      </c>
      <c r="O87" s="5">
        <f>INDEX('Player Data'!$G:$G,AL87)/INDEX('Player Data'!$E:$E,AL87)*M87*L87*AM87</f>
        <v>621.06164383561634</v>
      </c>
      <c r="P87" s="5">
        <f>INDEX('Player Data'!$H:$H,AL87)/INDEX('Player Data'!$E:$E,AL87)*M87*L87*AM87</f>
        <v>58.099315068493141</v>
      </c>
      <c r="Q87" s="5">
        <f>INDEX('Player Data'!$I:$I,AL87)/INDEX('Player Data'!$E:$E,AL87)*M87*L87*AM87</f>
        <v>53.090753424657528</v>
      </c>
      <c r="R87" s="5">
        <f>INDEX('Player Data'!$J:$J,AL87)/INDEX('Player Data'!$E:$E,AL87)*M87*L87*AM87</f>
        <v>81.138698630136986</v>
      </c>
      <c r="S87" s="5">
        <f>INDEX('Player Data'!$K:$K,AL87)/INDEX('Player Data'!$E:$E,AL87)*M87*L87*AM87</f>
        <v>77.131849315068479</v>
      </c>
      <c r="T87" s="5">
        <f>INDEX('Player Data'!$L:$L,AL87)/INDEX('Player Data'!$E:$E,AL87)*M87*L87*AM87</f>
        <v>65.111301369863</v>
      </c>
      <c r="U87" s="7">
        <f>INDEX('Player Data'!$M:$M,AL87)</f>
        <v>0.53200000000000003</v>
      </c>
      <c r="V87" s="7">
        <f>INDEX('Player Data'!$N:$N,AL87)</f>
        <v>0.72699999999999998</v>
      </c>
      <c r="W87" s="5">
        <f t="shared" si="9"/>
        <v>312.07265753424656</v>
      </c>
      <c r="X87" s="5">
        <f>INDEX('Player Data'!$O:$O,AL87)/INDEX('Player Data'!$E:$E,AL87)*M87*L87*AM87</f>
        <v>586.60273972602738</v>
      </c>
      <c r="Y87" s="5">
        <f t="shared" si="10"/>
        <v>81.126477739726027</v>
      </c>
      <c r="Z87" s="5">
        <f>INDEX('Player Data'!$P:$P,AL87)/INDEX('Player Data'!$E:$E,AL87)*M87*L87*AM87</f>
        <v>111.59075342465754</v>
      </c>
      <c r="AB87" s="3">
        <f>(N87-Pool!$D$2)/Pool!$E$2</f>
        <v>-1.1265922075960468</v>
      </c>
      <c r="AC87" s="3">
        <f>(O87-Pool!$D$3)/Pool!$E$3</f>
        <v>1.1154241826709008</v>
      </c>
      <c r="AD87" s="3">
        <f>(P87-Pool!$D$4)/Pool!$E$4</f>
        <v>-1.501210418062322</v>
      </c>
      <c r="AE87" s="3">
        <f>(Q87-Pool!$D$5)/Pool!$E$5</f>
        <v>-0.93291997814127325</v>
      </c>
      <c r="AF87" s="3">
        <f>(R87-Pool!$D$6)/Pool!$E$6</f>
        <v>0.89150729155121922</v>
      </c>
      <c r="AG87" s="3">
        <f>(S87-Pool!$D$7)/Pool!$E$7</f>
        <v>-0.65183152144878476</v>
      </c>
      <c r="AH87" s="3">
        <f>(AS87-Pool!$D$8)/Pool!$E$8</f>
        <v>0.61483624357304878</v>
      </c>
      <c r="AI87" s="3">
        <f>(AT87-Pool!$D$9)/Pool!$E$9</f>
        <v>-0.36581611397494979</v>
      </c>
      <c r="AJ87" s="3">
        <f>-(T87-Pool!$D$10)/Pool!$E$10</f>
        <v>1.3407662649019818</v>
      </c>
      <c r="AL87">
        <f>MATCH(B87,'Player Data'!$A:$A,0)</f>
        <v>168</v>
      </c>
      <c r="AM87" s="3">
        <f>1+IF(Settings!$F$10="ON",IFERROR(VLOOKUP(TRIM(F87),Settings!$D$12:$F$17,3,FALSE),0),0)</f>
        <v>1</v>
      </c>
      <c r="AN87" t="str">
        <f t="shared" si="11"/>
        <v>C</v>
      </c>
      <c r="AO87" s="6">
        <f>X87*(U87-Pool!$B$12)</f>
        <v>30.147409706718232</v>
      </c>
      <c r="AP87" s="6">
        <f>Z87*(V87-Pool!$B$13)</f>
        <v>-7.0413382918037231</v>
      </c>
      <c r="AQ87" s="3">
        <f>Settings!$B$2*(N87-Pool!$B$2)/Pool!$C$2+Settings!$B$3*(O87-Pool!$B$3)/Pool!$C$3+Settings!$B$4*(P87-Pool!$B$4)/Pool!$C$4+Settings!$B$5*(Q87-Pool!$B$5)/Pool!$C$5+Settings!$B$6*(R87-Pool!$B$6)/Pool!$C$6+Settings!$B$7*(S87-Pool!$B$7)/Pool!$C$7+Settings!$B$8*(AO87-Pool!$B$8)/Pool!$C$8+Settings!$B$9*(AP87-Pool!$B$9)/Pool!$C$9+Settings!$B$10*-(T87-Pool!$B$10)/Pool!$C$10</f>
        <v>1.7019753901662837</v>
      </c>
      <c r="AR87">
        <f>IF(RANK(AQ87,$AQ$2:$AQ$266)&lt;=Settings!$F$5,1,0)</f>
        <v>1</v>
      </c>
      <c r="AS87" s="6">
        <f>X87*(U87-Pool!$D$12)</f>
        <v>28.11376156968295</v>
      </c>
      <c r="AT87" s="6">
        <f>Z87*(V87-Pool!$D$13)</f>
        <v>-8.1615725943827293</v>
      </c>
    </row>
    <row r="88" spans="1:46" x14ac:dyDescent="0.2">
      <c r="A88">
        <f t="shared" si="6"/>
        <v>87</v>
      </c>
      <c r="B88" t="s">
        <v>129</v>
      </c>
      <c r="C88" t="str">
        <f>INDEX('Player Data'!$C:$C,AL88)</f>
        <v>SF,PF</v>
      </c>
      <c r="D88">
        <f t="shared" si="7"/>
        <v>11</v>
      </c>
      <c r="E88" t="str">
        <f>INDEX('Player Data'!$B:$B,AL88)</f>
        <v>CHI</v>
      </c>
      <c r="F88" s="2"/>
      <c r="G88" s="3">
        <f>Settings!$B$2*AB88+Settings!$B$3*AC88+Settings!$B$4*AD88+Settings!$B$5*AE88+Settings!$B$6*AF88+Settings!$B$7*AG88+Settings!$B$8*AH88+Settings!$B$9*AI88+Settings!$B$10*AJ88</f>
        <v>-0.64326375418940818</v>
      </c>
      <c r="H88" s="3">
        <f>G88-LARGE($G$2:$G$266,Settings!$F$4)</f>
        <v>2.5730010122577571</v>
      </c>
      <c r="I88">
        <f>IF(INDEX('Player Data'!$R:$R,AL88)="","",INDEX('Player Data'!$R:$R,AL88))</f>
        <v>59</v>
      </c>
      <c r="J88" s="4">
        <f t="shared" si="8"/>
        <v>-28</v>
      </c>
      <c r="L88" s="5">
        <f>IF(Settings!$F$7="Yes",INDEX('Minutes &amp; Health'!$O:$O,AL88),Settings!$F$8)</f>
        <v>76</v>
      </c>
      <c r="M88" s="6">
        <f>INDEX('Minutes &amp; Health'!$P:$P,AL88)</f>
        <v>30.6</v>
      </c>
      <c r="N88" s="5">
        <f>INDEX('Player Data'!$F:$F,AL88)/INDEX('Player Data'!$E:$E,AL88)*M88*L88*AM88</f>
        <v>1162.8</v>
      </c>
      <c r="O88" s="5">
        <f>INDEX('Player Data'!$G:$G,AL88)/INDEX('Player Data'!$E:$E,AL88)*M88*L88*AM88</f>
        <v>412.28364888123923</v>
      </c>
      <c r="P88" s="5">
        <f>INDEX('Player Data'!$H:$H,AL88)/INDEX('Player Data'!$E:$E,AL88)*M88*L88*AM88</f>
        <v>144.09913941480207</v>
      </c>
      <c r="Q88" s="5">
        <f>INDEX('Player Data'!$I:$I,AL88)/INDEX('Player Data'!$E:$E,AL88)*M88*L88*AM88</f>
        <v>50.034423407917387</v>
      </c>
      <c r="R88" s="5">
        <f>INDEX('Player Data'!$J:$J,AL88)/INDEX('Player Data'!$E:$E,AL88)*M88*L88*AM88</f>
        <v>112.07710843373496</v>
      </c>
      <c r="S88" s="5">
        <f>INDEX('Player Data'!$K:$K,AL88)/INDEX('Player Data'!$E:$E,AL88)*M88*L88*AM88</f>
        <v>155.1067125645439</v>
      </c>
      <c r="T88" s="5">
        <f>INDEX('Player Data'!$L:$L,AL88)/INDEX('Player Data'!$E:$E,AL88)*M88*L88*AM88</f>
        <v>145.09982788296043</v>
      </c>
      <c r="U88" s="7">
        <f>INDEX('Player Data'!$M:$M,AL88)</f>
        <v>0.46100000000000002</v>
      </c>
      <c r="V88" s="7">
        <f>INDEX('Player Data'!$N:$N,AL88)</f>
        <v>0.78900000000000003</v>
      </c>
      <c r="W88" s="5">
        <f t="shared" si="9"/>
        <v>415.92375325301208</v>
      </c>
      <c r="X88" s="5">
        <f>INDEX('Player Data'!$O:$O,AL88)/INDEX('Player Data'!$E:$E,AL88)*M88*L88*AM88</f>
        <v>902.22072289156631</v>
      </c>
      <c r="Y88" s="5">
        <f t="shared" si="10"/>
        <v>175.83127094664374</v>
      </c>
      <c r="Z88" s="5">
        <f>INDEX('Player Data'!$P:$P,AL88)/INDEX('Player Data'!$E:$E,AL88)*M88*L88*AM88</f>
        <v>222.85332185886404</v>
      </c>
      <c r="AB88" s="3">
        <f>(N88-Pool!$D$2)/Pool!$E$2</f>
        <v>-0.18876650328311748</v>
      </c>
      <c r="AC88" s="3">
        <f>(O88-Pool!$D$3)/Pool!$E$3</f>
        <v>-9.9770156463471552E-2</v>
      </c>
      <c r="AD88" s="3">
        <f>(P88-Pool!$D$4)/Pool!$E$4</f>
        <v>-0.91956542987228218</v>
      </c>
      <c r="AE88" s="3">
        <f>(Q88-Pool!$D$5)/Pool!$E$5</f>
        <v>-1.067851352534736</v>
      </c>
      <c r="AF88" s="3">
        <f>(R88-Pool!$D$6)/Pool!$E$6</f>
        <v>1.7868873257145854</v>
      </c>
      <c r="AG88" s="3">
        <f>(S88-Pool!$D$7)/Pool!$E$7</f>
        <v>0.44639076886545037</v>
      </c>
      <c r="AH88" s="3">
        <f>(AS88-Pool!$D$8)/Pool!$E$8</f>
        <v>-0.45526947400815765</v>
      </c>
      <c r="AI88" s="3">
        <f>(AT88-Pool!$D$9)/Pool!$E$9</f>
        <v>-0.1112582196770002</v>
      </c>
      <c r="AJ88" s="3">
        <f>-(T88-Pool!$D$10)/Pool!$E$10</f>
        <v>-3.4060712930678652E-2</v>
      </c>
      <c r="AL88">
        <f>MATCH(B88,'Player Data'!$A:$A,0)</f>
        <v>92</v>
      </c>
      <c r="AM88" s="3">
        <f>1+IF(Settings!$F$10="ON",IFERROR(VLOOKUP(TRIM(F88),Settings!$D$12:$F$17,3,FALSE),0),0)</f>
        <v>1</v>
      </c>
      <c r="AN88" t="str">
        <f t="shared" si="11"/>
        <v>SF</v>
      </c>
      <c r="AO88" s="6">
        <f>X88*(U88-Pool!$B$12)</f>
        <v>-17.689633917894767</v>
      </c>
      <c r="AP88" s="6">
        <f>Z88*(V88-Pool!$B$13)</f>
        <v>-0.24506226795040095</v>
      </c>
      <c r="AQ88" s="3">
        <f>Settings!$B$2*(N88-Pool!$B$2)/Pool!$C$2+Settings!$B$3*(O88-Pool!$B$3)/Pool!$C$3+Settings!$B$4*(P88-Pool!$B$4)/Pool!$C$4+Settings!$B$5*(Q88-Pool!$B$5)/Pool!$C$5+Settings!$B$6*(R88-Pool!$B$6)/Pool!$C$6+Settings!$B$7*(S88-Pool!$B$7)/Pool!$C$7+Settings!$B$8*(AO88-Pool!$B$8)/Pool!$C$8+Settings!$B$9*(AP88-Pool!$B$9)/Pool!$C$9+Settings!$B$10*-(T88-Pool!$B$10)/Pool!$C$10</f>
        <v>1.6920352512882233</v>
      </c>
      <c r="AR88">
        <f>IF(RANK(AQ88,$AQ$2:$AQ$266)&lt;=Settings!$F$5,1,0)</f>
        <v>1</v>
      </c>
      <c r="AS88" s="6">
        <f>X88*(U88-Pool!$D$12)</f>
        <v>-20.81747388188812</v>
      </c>
      <c r="AT88" s="6">
        <f>Z88*(V88-Pool!$D$13)</f>
        <v>-2.4822362983106641</v>
      </c>
    </row>
    <row r="89" spans="1:46" x14ac:dyDescent="0.2">
      <c r="A89">
        <f t="shared" si="6"/>
        <v>88</v>
      </c>
      <c r="B89" t="s">
        <v>130</v>
      </c>
      <c r="C89" t="str">
        <f>INDEX('Player Data'!$C:$C,AL89)</f>
        <v>PG,SG</v>
      </c>
      <c r="D89">
        <f t="shared" si="7"/>
        <v>33</v>
      </c>
      <c r="E89" t="str">
        <f>INDEX('Player Data'!$B:$B,AL89)</f>
        <v>UTH</v>
      </c>
      <c r="F89" s="2"/>
      <c r="G89" s="3">
        <f>Settings!$B$2*AB89+Settings!$B$3*AC89+Settings!$B$4*AD89+Settings!$B$5*AE89+Settings!$B$6*AF89+Settings!$B$7*AG89+Settings!$B$8*AH89+Settings!$B$9*AI89+Settings!$B$10*AJ89</f>
        <v>-0.74158538010754516</v>
      </c>
      <c r="H89" s="3">
        <f>G89-LARGE($G$2:$G$266,Settings!$F$4)</f>
        <v>2.4746793863396199</v>
      </c>
      <c r="I89">
        <f>IF(INDEX('Player Data'!$R:$R,AL89)="","",INDEX('Player Data'!$R:$R,AL89))</f>
        <v>105</v>
      </c>
      <c r="J89" s="4">
        <f t="shared" si="8"/>
        <v>17</v>
      </c>
      <c r="L89" s="5">
        <f>IF(Settings!$F$7="Yes",INDEX('Minutes &amp; Health'!$O:$O,AL89),Settings!$F$8)</f>
        <v>76</v>
      </c>
      <c r="M89" s="6">
        <f>INDEX('Minutes &amp; Health'!$P:$P,AL89)</f>
        <v>31.1</v>
      </c>
      <c r="N89" s="5">
        <f>INDEX('Player Data'!$F:$F,AL89)/INDEX('Player Data'!$E:$E,AL89)*M89*L89*AM89</f>
        <v>1436.1874576271186</v>
      </c>
      <c r="O89" s="5">
        <f>INDEX('Player Data'!$G:$G,AL89)/INDEX('Player Data'!$E:$E,AL89)*M89*L89*AM89</f>
        <v>300.45762711864404</v>
      </c>
      <c r="P89" s="5">
        <f>INDEX('Player Data'!$H:$H,AL89)/INDEX('Player Data'!$E:$E,AL89)*M89*L89*AM89</f>
        <v>242.36915254237289</v>
      </c>
      <c r="Q89" s="5">
        <f>INDEX('Player Data'!$I:$I,AL89)/INDEX('Player Data'!$E:$E,AL89)*M89*L89*AM89</f>
        <v>108.16474576271187</v>
      </c>
      <c r="R89" s="5">
        <f>INDEX('Player Data'!$J:$J,AL89)/INDEX('Player Data'!$E:$E,AL89)*M89*L89*AM89</f>
        <v>20.030508474576273</v>
      </c>
      <c r="S89" s="5">
        <f>INDEX('Player Data'!$K:$K,AL89)/INDEX('Player Data'!$E:$E,AL89)*M89*L89*AM89</f>
        <v>147.22423728813561</v>
      </c>
      <c r="T89" s="5">
        <f>INDEX('Player Data'!$L:$L,AL89)/INDEX('Player Data'!$E:$E,AL89)*M89*L89*AM89</f>
        <v>160.24406779661018</v>
      </c>
      <c r="U89" s="7">
        <f>INDEX('Player Data'!$M:$M,AL89)</f>
        <v>0.44600000000000001</v>
      </c>
      <c r="V89" s="7">
        <f>INDEX('Player Data'!$N:$N,AL89)</f>
        <v>0.80700000000000005</v>
      </c>
      <c r="W89" s="5">
        <f t="shared" si="9"/>
        <v>522.92867284745773</v>
      </c>
      <c r="X89" s="5">
        <f>INDEX('Player Data'!$O:$O,AL89)/INDEX('Player Data'!$E:$E,AL89)*M89*L89*AM89</f>
        <v>1172.4858135593222</v>
      </c>
      <c r="Y89" s="5">
        <f t="shared" si="10"/>
        <v>243.11588989830517</v>
      </c>
      <c r="Z89" s="5">
        <f>INDEX('Player Data'!$P:$P,AL89)/INDEX('Player Data'!$E:$E,AL89)*M89*L89*AM89</f>
        <v>301.25884745762721</v>
      </c>
      <c r="AB89" s="3">
        <f>(N89-Pool!$D$2)/Pool!$E$2</f>
        <v>0.48512295916703863</v>
      </c>
      <c r="AC89" s="3">
        <f>(O89-Pool!$D$3)/Pool!$E$3</f>
        <v>-0.7506545978219491</v>
      </c>
      <c r="AD89" s="3">
        <f>(P89-Pool!$D$4)/Pool!$E$4</f>
        <v>-0.25493313487069152</v>
      </c>
      <c r="AE89" s="3">
        <f>(Q89-Pool!$D$5)/Pool!$E$5</f>
        <v>1.4984959484132758</v>
      </c>
      <c r="AF89" s="3">
        <f>(R89-Pool!$D$6)/Pool!$E$6</f>
        <v>-0.87700808259009666</v>
      </c>
      <c r="AG89" s="3">
        <f>(S89-Pool!$D$7)/Pool!$E$7</f>
        <v>0.33537152893801542</v>
      </c>
      <c r="AH89" s="3">
        <f>(AS89-Pool!$D$8)/Pool!$E$8</f>
        <v>-0.97627454214141651</v>
      </c>
      <c r="AI89" s="3">
        <f>(AT89-Pool!$D$9)/Pool!$E$9</f>
        <v>9.2651454942848391E-2</v>
      </c>
      <c r="AJ89" s="3">
        <f>-(T89-Pool!$D$10)/Pool!$E$10</f>
        <v>-0.29435691414456944</v>
      </c>
      <c r="AL89">
        <f>MATCH(B89,'Player Data'!$A:$A,0)</f>
        <v>60</v>
      </c>
      <c r="AM89" s="3">
        <f>1+IF(Settings!$F$10="ON",IFERROR(VLOOKUP(TRIM(F89),Settings!$D$12:$F$17,3,FALSE),0),0)</f>
        <v>1</v>
      </c>
      <c r="AN89" t="str">
        <f t="shared" si="11"/>
        <v>PG</v>
      </c>
      <c r="AO89" s="6">
        <f>X89*(U89-Pool!$B$12)</f>
        <v>-40.575946507641021</v>
      </c>
      <c r="AP89" s="6">
        <f>Z89*(V89-Pool!$B$13)</f>
        <v>5.0913777827192455</v>
      </c>
      <c r="AQ89" s="3">
        <f>Settings!$B$2*(N89-Pool!$B$2)/Pool!$C$2+Settings!$B$3*(O89-Pool!$B$3)/Pool!$C$3+Settings!$B$4*(P89-Pool!$B$4)/Pool!$C$4+Settings!$B$5*(Q89-Pool!$B$5)/Pool!$C$5+Settings!$B$6*(R89-Pool!$B$6)/Pool!$C$6+Settings!$B$7*(S89-Pool!$B$7)/Pool!$C$7+Settings!$B$8*(AO89-Pool!$B$8)/Pool!$C$8+Settings!$B$9*(AP89-Pool!$B$9)/Pool!$C$9+Settings!$B$10*-(T89-Pool!$B$10)/Pool!$C$10</f>
        <v>0.95874007562052654</v>
      </c>
      <c r="AR89">
        <f>IF(RANK(AQ89,$AQ$2:$AQ$266)&lt;=Settings!$F$5,1,0)</f>
        <v>1</v>
      </c>
      <c r="AS89" s="6">
        <f>X89*(U89-Pool!$D$12)</f>
        <v>-44.640747827114673</v>
      </c>
      <c r="AT89" s="6">
        <f>Z89*(V89-Pool!$D$13)</f>
        <v>2.0671084367352495</v>
      </c>
    </row>
    <row r="90" spans="1:46" x14ac:dyDescent="0.2">
      <c r="A90">
        <f t="shared" si="6"/>
        <v>89</v>
      </c>
      <c r="B90" t="s">
        <v>131</v>
      </c>
      <c r="C90" t="str">
        <f>INDEX('Player Data'!$C:$C,AL90)</f>
        <v>C</v>
      </c>
      <c r="D90">
        <f t="shared" si="7"/>
        <v>17</v>
      </c>
      <c r="E90" t="str">
        <f>INDEX('Player Data'!$B:$B,AL90)</f>
        <v>TOR</v>
      </c>
      <c r="F90" s="2"/>
      <c r="G90" s="3">
        <f>Settings!$B$2*AB90+Settings!$B$3*AC90+Settings!$B$4*AD90+Settings!$B$5*AE90+Settings!$B$6*AF90+Settings!$B$7*AG90+Settings!$B$8*AH90+Settings!$B$9*AI90+Settings!$B$10*AJ90</f>
        <v>-0.74832186136061918</v>
      </c>
      <c r="H90" s="3">
        <f>G90-LARGE($G$2:$G$266,Settings!$F$4)</f>
        <v>2.467942905086546</v>
      </c>
      <c r="I90">
        <f>IF(INDEX('Player Data'!$R:$R,AL90)="","",INDEX('Player Data'!$R:$R,AL90))</f>
        <v>177</v>
      </c>
      <c r="J90" s="4">
        <f t="shared" si="8"/>
        <v>88</v>
      </c>
      <c r="L90" s="5">
        <f>IF(Settings!$F$7="Yes",INDEX('Minutes &amp; Health'!$O:$O,AL90),Settings!$F$8)</f>
        <v>72</v>
      </c>
      <c r="M90" s="6">
        <f>INDEX('Minutes &amp; Health'!$P:$P,AL90)</f>
        <v>27.2</v>
      </c>
      <c r="N90" s="5">
        <f>INDEX('Player Data'!$F:$F,AL90)/INDEX('Player Data'!$E:$E,AL90)*M90*L90*AM90</f>
        <v>857.73721286370596</v>
      </c>
      <c r="O90" s="5">
        <f>INDEX('Player Data'!$G:$G,AL90)/INDEX('Player Data'!$E:$E,AL90)*M90*L90*AM90</f>
        <v>581.82174578866761</v>
      </c>
      <c r="P90" s="5">
        <f>INDEX('Player Data'!$H:$H,AL90)/INDEX('Player Data'!$E:$E,AL90)*M90*L90*AM90</f>
        <v>167.94854517611026</v>
      </c>
      <c r="Q90" s="5">
        <f>INDEX('Player Data'!$I:$I,AL90)/INDEX('Player Data'!$E:$E,AL90)*M90*L90*AM90</f>
        <v>66.979479326186834</v>
      </c>
      <c r="R90" s="5">
        <f>INDEX('Player Data'!$J:$J,AL90)/INDEX('Player Data'!$E:$E,AL90)*M90*L90*AM90</f>
        <v>76.976416539050533</v>
      </c>
      <c r="S90" s="5">
        <f>INDEX('Player Data'!$K:$K,AL90)/INDEX('Player Data'!$E:$E,AL90)*M90*L90*AM90</f>
        <v>0</v>
      </c>
      <c r="T90" s="5">
        <f>INDEX('Player Data'!$L:$L,AL90)/INDEX('Player Data'!$E:$E,AL90)*M90*L90*AM90</f>
        <v>108.96661562021438</v>
      </c>
      <c r="U90" s="7">
        <f>INDEX('Player Data'!$M:$M,AL90)</f>
        <v>0.65900000000000003</v>
      </c>
      <c r="V90" s="7">
        <f>INDEX('Player Data'!$N:$N,AL90)</f>
        <v>0.628</v>
      </c>
      <c r="W90" s="5">
        <f t="shared" si="9"/>
        <v>372.02332226646251</v>
      </c>
      <c r="X90" s="5">
        <f>INDEX('Player Data'!$O:$O,AL90)/INDEX('Player Data'!$E:$E,AL90)*M90*L90*AM90</f>
        <v>564.52704441041351</v>
      </c>
      <c r="Y90" s="5">
        <f t="shared" si="10"/>
        <v>113.63318591117915</v>
      </c>
      <c r="Z90" s="5">
        <f>INDEX('Player Data'!$P:$P,AL90)/INDEX('Player Data'!$E:$E,AL90)*M90*L90*AM90</f>
        <v>180.94456355283305</v>
      </c>
      <c r="AB90" s="3">
        <f>(N90-Pool!$D$2)/Pool!$E$2</f>
        <v>-0.94073442244500649</v>
      </c>
      <c r="AC90" s="3">
        <f>(O90-Pool!$D$3)/Pool!$E$3</f>
        <v>0.88702797652244103</v>
      </c>
      <c r="AD90" s="3">
        <f>(P90-Pool!$D$4)/Pool!$E$4</f>
        <v>-0.75826408492400099</v>
      </c>
      <c r="AE90" s="3">
        <f>(Q90-Pool!$D$5)/Pool!$E$5</f>
        <v>-0.31975815850693434</v>
      </c>
      <c r="AF90" s="3">
        <f>(R90-Pool!$D$6)/Pool!$E$6</f>
        <v>0.77104782693836293</v>
      </c>
      <c r="AG90" s="3">
        <f>(S90-Pool!$D$7)/Pool!$E$7</f>
        <v>-1.7381805406185855</v>
      </c>
      <c r="AH90" s="3">
        <f>(AS90-Pool!$D$8)/Pool!$E$8</f>
        <v>2.1596363607984688</v>
      </c>
      <c r="AI90" s="3">
        <f>(AT90-Pool!$D$9)/Pool!$E$9</f>
        <v>-1.396086614062749</v>
      </c>
      <c r="AJ90" s="3">
        <f>-(T90-Pool!$D$10)/Pool!$E$10</f>
        <v>0.58698979493738423</v>
      </c>
      <c r="AL90">
        <f>MATCH(B90,'Player Data'!$A:$A,0)</f>
        <v>139</v>
      </c>
      <c r="AM90" s="3">
        <f>1+IF(Settings!$F$10="ON",IFERROR(VLOOKUP(TRIM(F90),Settings!$D$12:$F$17,3,FALSE),0),0)</f>
        <v>1</v>
      </c>
      <c r="AN90" t="str">
        <f t="shared" si="11"/>
        <v>C</v>
      </c>
      <c r="AO90" s="6">
        <f>X90*(U90-Pool!$B$12)</f>
        <v>100.70780305310025</v>
      </c>
      <c r="AP90" s="6">
        <f>Z90*(V90-Pool!$B$13)</f>
        <v>-29.331051730633213</v>
      </c>
      <c r="AQ90" s="3">
        <f>Settings!$B$2*(N90-Pool!$B$2)/Pool!$C$2+Settings!$B$3*(O90-Pool!$B$3)/Pool!$C$3+Settings!$B$4*(P90-Pool!$B$4)/Pool!$C$4+Settings!$B$5*(Q90-Pool!$B$5)/Pool!$C$5+Settings!$B$6*(R90-Pool!$B$6)/Pool!$C$6+Settings!$B$7*(S90-Pool!$B$7)/Pool!$C$7+Settings!$B$8*(AO90-Pool!$B$8)/Pool!$C$8+Settings!$B$9*(AP90-Pool!$B$9)/Pool!$C$9+Settings!$B$10*-(T90-Pool!$B$10)/Pool!$C$10</f>
        <v>1.5708579566356096</v>
      </c>
      <c r="AR90">
        <f>IF(RANK(AQ90,$AQ$2:$AQ$266)&lt;=Settings!$F$5,1,0)</f>
        <v>1</v>
      </c>
      <c r="AS90" s="6">
        <f>X90*(U90-Pool!$D$12)</f>
        <v>98.750687454377555</v>
      </c>
      <c r="AT90" s="6">
        <f>Z90*(V90-Pool!$D$13)</f>
        <v>-31.147513227095168</v>
      </c>
    </row>
    <row r="91" spans="1:46" x14ac:dyDescent="0.2">
      <c r="A91">
        <f t="shared" si="6"/>
        <v>90</v>
      </c>
      <c r="B91" t="s">
        <v>132</v>
      </c>
      <c r="C91" t="str">
        <f>INDEX('Player Data'!$C:$C,AL91)</f>
        <v>PG</v>
      </c>
      <c r="D91">
        <f t="shared" si="7"/>
        <v>34</v>
      </c>
      <c r="E91" t="str">
        <f>INDEX('Player Data'!$B:$B,AL91)</f>
        <v>SAC</v>
      </c>
      <c r="F91" s="2"/>
      <c r="G91" s="3">
        <f>Settings!$B$2*AB91+Settings!$B$3*AC91+Settings!$B$4*AD91+Settings!$B$5*AE91+Settings!$B$6*AF91+Settings!$B$7*AG91+Settings!$B$8*AH91+Settings!$B$9*AI91+Settings!$B$10*AJ91</f>
        <v>-0.76405640445660339</v>
      </c>
      <c r="H91" s="3">
        <f>G91-LARGE($G$2:$G$266,Settings!$F$4)</f>
        <v>2.4522083619905617</v>
      </c>
      <c r="I91">
        <f>IF(INDEX('Player Data'!$R:$R,AL91)="","",INDEX('Player Data'!$R:$R,AL91))</f>
        <v>134</v>
      </c>
      <c r="J91" s="4">
        <f t="shared" si="8"/>
        <v>44</v>
      </c>
      <c r="L91" s="5">
        <f>IF(Settings!$F$7="Yes",INDEX('Minutes &amp; Health'!$O:$O,AL91),Settings!$F$8)</f>
        <v>76</v>
      </c>
      <c r="M91" s="6">
        <f>INDEX('Minutes &amp; Health'!$P:$P,AL91)</f>
        <v>31.5</v>
      </c>
      <c r="N91" s="5">
        <f>INDEX('Player Data'!$F:$F,AL91)/INDEX('Player Data'!$E:$E,AL91)*M91*L91*AM91</f>
        <v>1410</v>
      </c>
      <c r="O91" s="5">
        <f>INDEX('Player Data'!$G:$G,AL91)/INDEX('Player Data'!$E:$E,AL91)*M91*L91*AM91</f>
        <v>251.99999999999997</v>
      </c>
      <c r="P91" s="5">
        <f>INDEX('Player Data'!$H:$H,AL91)/INDEX('Player Data'!$E:$E,AL91)*M91*L91*AM91</f>
        <v>499.99999999999994</v>
      </c>
      <c r="Q91" s="5">
        <f>INDEX('Player Data'!$I:$I,AL91)/INDEX('Player Data'!$E:$E,AL91)*M91*L91*AM91</f>
        <v>105.99999999999999</v>
      </c>
      <c r="R91" s="5">
        <f>INDEX('Player Data'!$J:$J,AL91)/INDEX('Player Data'!$E:$E,AL91)*M91*L91*AM91</f>
        <v>20</v>
      </c>
      <c r="S91" s="5">
        <f>INDEX('Player Data'!$K:$K,AL91)/INDEX('Player Data'!$E:$E,AL91)*M91*L91*AM91</f>
        <v>143</v>
      </c>
      <c r="T91" s="5">
        <f>INDEX('Player Data'!$L:$L,AL91)/INDEX('Player Data'!$E:$E,AL91)*M91*L91*AM91</f>
        <v>258.99999999999994</v>
      </c>
      <c r="U91" s="7">
        <f>INDEX('Player Data'!$M:$M,AL91)</f>
        <v>0.45700000000000002</v>
      </c>
      <c r="V91" s="7">
        <f>INDEX('Player Data'!$N:$N,AL91)</f>
        <v>0.81699999999999995</v>
      </c>
      <c r="W91" s="5">
        <f t="shared" si="9"/>
        <v>515.17610000000002</v>
      </c>
      <c r="X91" s="5">
        <f>INDEX('Player Data'!$O:$O,AL91)/INDEX('Player Data'!$E:$E,AL91)*M91*L91*AM91</f>
        <v>1127.3</v>
      </c>
      <c r="Y91" s="5">
        <f t="shared" si="10"/>
        <v>236.60320000000002</v>
      </c>
      <c r="Z91" s="5">
        <f>INDEX('Player Data'!$P:$P,AL91)/INDEX('Player Data'!$E:$E,AL91)*M91*L91*AM91</f>
        <v>289.60000000000002</v>
      </c>
      <c r="AB91" s="3">
        <f>(N91-Pool!$D$2)/Pool!$E$2</f>
        <v>0.4205718934508304</v>
      </c>
      <c r="AC91" s="3">
        <f>(O91-Pool!$D$3)/Pool!$E$3</f>
        <v>-1.0327026851949903</v>
      </c>
      <c r="AD91" s="3">
        <f>(P91-Pool!$D$4)/Pool!$E$4</f>
        <v>1.4875086941202404</v>
      </c>
      <c r="AE91" s="3">
        <f>(Q91-Pool!$D$5)/Pool!$E$5</f>
        <v>1.4029263864303447</v>
      </c>
      <c r="AF91" s="3">
        <f>(R91-Pool!$D$6)/Pool!$E$6</f>
        <v>-0.87789101998674324</v>
      </c>
      <c r="AG91" s="3">
        <f>(S91-Pool!$D$7)/Pool!$E$7</f>
        <v>0.27587605365177575</v>
      </c>
      <c r="AH91" s="3">
        <f>(AS91-Pool!$D$8)/Pool!$E$8</f>
        <v>-0.66746102075462965</v>
      </c>
      <c r="AI91" s="3">
        <f>(AT91-Pool!$D$9)/Pool!$E$9</f>
        <v>0.21886964398968897</v>
      </c>
      <c r="AJ91" s="3">
        <f>-(T91-Pool!$D$10)/Pool!$E$10</f>
        <v>-1.9917543501631203</v>
      </c>
      <c r="AL91">
        <f>MATCH(B91,'Player Data'!$A:$A,0)</f>
        <v>63</v>
      </c>
      <c r="AM91" s="3">
        <f>1+IF(Settings!$F$10="ON",IFERROR(VLOOKUP(TRIM(F91),Settings!$D$12:$F$17,3,FALSE),0),0)</f>
        <v>1</v>
      </c>
      <c r="AN91" t="str">
        <f t="shared" si="11"/>
        <v>PG</v>
      </c>
      <c r="AO91" s="6">
        <f>X91*(U91-Pool!$B$12)</f>
        <v>-26.611911464807985</v>
      </c>
      <c r="AP91" s="6">
        <f>Z91*(V91-Pool!$B$13)</f>
        <v>7.7903392644522134</v>
      </c>
      <c r="AQ91" s="3">
        <f>Settings!$B$2*(N91-Pool!$B$2)/Pool!$C$2+Settings!$B$3*(O91-Pool!$B$3)/Pool!$C$3+Settings!$B$4*(P91-Pool!$B$4)/Pool!$C$4+Settings!$B$5*(Q91-Pool!$B$5)/Pool!$C$5+Settings!$B$6*(R91-Pool!$B$6)/Pool!$C$6+Settings!$B$7*(S91-Pool!$B$7)/Pool!$C$7+Settings!$B$8*(AO91-Pool!$B$8)/Pool!$C$8+Settings!$B$9*(AP91-Pool!$B$9)/Pool!$C$9+Settings!$B$10*-(T91-Pool!$B$10)/Pool!$C$10</f>
        <v>1.1212586178308279</v>
      </c>
      <c r="AR91">
        <f>IF(RANK(AQ91,$AQ$2:$AQ$266)&lt;=Settings!$F$5,1,0)</f>
        <v>1</v>
      </c>
      <c r="AS91" s="6">
        <f>X91*(U91-Pool!$D$12)</f>
        <v>-30.520061545986607</v>
      </c>
      <c r="AT91" s="6">
        <f>Z91*(V91-Pool!$D$13)</f>
        <v>4.8831104478108944</v>
      </c>
    </row>
    <row r="92" spans="1:46" x14ac:dyDescent="0.2">
      <c r="A92">
        <f t="shared" si="6"/>
        <v>91</v>
      </c>
      <c r="B92" t="s">
        <v>133</v>
      </c>
      <c r="C92" t="str">
        <f>INDEX('Player Data'!$C:$C,AL92)</f>
        <v>PG,SG</v>
      </c>
      <c r="D92">
        <f t="shared" si="7"/>
        <v>35</v>
      </c>
      <c r="E92" t="str">
        <f>INDEX('Player Data'!$B:$B,AL92)</f>
        <v>NOR</v>
      </c>
      <c r="F92" s="2"/>
      <c r="G92" s="3">
        <f>Settings!$B$2*AB92+Settings!$B$3*AC92+Settings!$B$4*AD92+Settings!$B$5*AE92+Settings!$B$6*AF92+Settings!$B$7*AG92+Settings!$B$8*AH92+Settings!$B$9*AI92+Settings!$B$10*AJ92</f>
        <v>-0.76744006190294145</v>
      </c>
      <c r="H92" s="3">
        <f>G92-LARGE($G$2:$G$266,Settings!$F$4)</f>
        <v>2.4488247045442235</v>
      </c>
      <c r="I92">
        <f>IF(INDEX('Player Data'!$R:$R,AL92)="","",INDEX('Player Data'!$R:$R,AL92))</f>
        <v>69</v>
      </c>
      <c r="J92" s="4">
        <f t="shared" si="8"/>
        <v>-22</v>
      </c>
      <c r="L92" s="5">
        <f>IF(Settings!$F$7="Yes",INDEX('Minutes &amp; Health'!$O:$O,AL92),Settings!$F$8)</f>
        <v>73</v>
      </c>
      <c r="M92" s="6">
        <f>INDEX('Minutes &amp; Health'!$P:$P,AL92)</f>
        <v>30.5</v>
      </c>
      <c r="N92" s="5">
        <f>INDEX('Player Data'!$F:$F,AL92)/INDEX('Player Data'!$E:$E,AL92)*M92*L92*AM92</f>
        <v>1251.843370786517</v>
      </c>
      <c r="O92" s="5">
        <f>INDEX('Player Data'!$G:$G,AL92)/INDEX('Player Data'!$E:$E,AL92)*M92*L92*AM92</f>
        <v>392.26426966292132</v>
      </c>
      <c r="P92" s="5">
        <f>INDEX('Player Data'!$H:$H,AL92)/INDEX('Player Data'!$E:$E,AL92)*M92*L92*AM92</f>
        <v>433.29191011235952</v>
      </c>
      <c r="Q92" s="5">
        <f>INDEX('Player Data'!$I:$I,AL92)/INDEX('Player Data'!$E:$E,AL92)*M92*L92*AM92</f>
        <v>102.06876404494382</v>
      </c>
      <c r="R92" s="5">
        <f>INDEX('Player Data'!$J:$J,AL92)/INDEX('Player Data'!$E:$E,AL92)*M92*L92*AM92</f>
        <v>18.012134831460674</v>
      </c>
      <c r="S92" s="5">
        <f>INDEX('Player Data'!$K:$K,AL92)/INDEX('Player Data'!$E:$E,AL92)*M92*L92*AM92</f>
        <v>120.08089887640449</v>
      </c>
      <c r="T92" s="5">
        <f>INDEX('Player Data'!$L:$L,AL92)/INDEX('Player Data'!$E:$E,AL92)*M92*L92*AM92</f>
        <v>206.13887640449437</v>
      </c>
      <c r="U92" s="7">
        <f>INDEX('Player Data'!$M:$M,AL92)</f>
        <v>0.439</v>
      </c>
      <c r="V92" s="7">
        <f>INDEX('Player Data'!$N:$N,AL92)</f>
        <v>0.82099999999999995</v>
      </c>
      <c r="W92" s="5">
        <f t="shared" si="9"/>
        <v>457.87817395505618</v>
      </c>
      <c r="X92" s="5">
        <f>INDEX('Player Data'!$O:$O,AL92)/INDEX('Player Data'!$E:$E,AL92)*M92*L92*AM92</f>
        <v>1043.0026741573033</v>
      </c>
      <c r="Y92" s="5">
        <f t="shared" si="10"/>
        <v>216.0685660674157</v>
      </c>
      <c r="Z92" s="5">
        <f>INDEX('Player Data'!$P:$P,AL92)/INDEX('Player Data'!$E:$E,AL92)*M92*L92*AM92</f>
        <v>263.17730337078649</v>
      </c>
      <c r="AB92" s="3">
        <f>(N92-Pool!$D$2)/Pool!$E$2</f>
        <v>3.0721946534207459E-2</v>
      </c>
      <c r="AC92" s="3">
        <f>(O92-Pool!$D$3)/Pool!$E$3</f>
        <v>-0.21629314685046291</v>
      </c>
      <c r="AD92" s="3">
        <f>(P92-Pool!$D$4)/Pool!$E$4</f>
        <v>1.0363400266281653</v>
      </c>
      <c r="AE92" s="3">
        <f>(Q92-Pool!$D$5)/Pool!$E$5</f>
        <v>1.2293695167286569</v>
      </c>
      <c r="AF92" s="3">
        <f>(R92-Pool!$D$6)/Pool!$E$6</f>
        <v>-0.9354212807150083</v>
      </c>
      <c r="AG92" s="3">
        <f>(S92-Pool!$D$7)/Pool!$E$7</f>
        <v>-4.6923713849810166E-2</v>
      </c>
      <c r="AH92" s="3">
        <f>(AS92-Pool!$D$8)/Pool!$E$8</f>
        <v>-1.0281301742837361</v>
      </c>
      <c r="AI92" s="3">
        <f>(AT92-Pool!$D$9)/Pool!$E$9</f>
        <v>0.24608457376881829</v>
      </c>
      <c r="AJ92" s="3">
        <f>-(T92-Pool!$D$10)/Pool!$E$10</f>
        <v>-1.0831878098637715</v>
      </c>
      <c r="AL92">
        <f>MATCH(B92,'Player Data'!$A:$A,0)</f>
        <v>77</v>
      </c>
      <c r="AM92" s="3">
        <f>1+IF(Settings!$F$10="ON",IFERROR(VLOOKUP(TRIM(F92),Settings!$D$12:$F$17,3,FALSE),0),0)</f>
        <v>1</v>
      </c>
      <c r="AN92" t="str">
        <f t="shared" si="11"/>
        <v>PG</v>
      </c>
      <c r="AO92" s="6">
        <f>X92*(U92-Pool!$B$12)</f>
        <v>-43.39597204349122</v>
      </c>
      <c r="AP92" s="6">
        <f>Z92*(V92-Pool!$B$13)</f>
        <v>8.1322688818605275</v>
      </c>
      <c r="AQ92" s="3">
        <f>Settings!$B$2*(N92-Pool!$B$2)/Pool!$C$2+Settings!$B$3*(O92-Pool!$B$3)/Pool!$C$3+Settings!$B$4*(P92-Pool!$B$4)/Pool!$C$4+Settings!$B$5*(Q92-Pool!$B$5)/Pool!$C$5+Settings!$B$6*(R92-Pool!$B$6)/Pool!$C$6+Settings!$B$7*(S92-Pool!$B$7)/Pool!$C$7+Settings!$B$8*(AO92-Pool!$B$8)/Pool!$C$8+Settings!$B$9*(AP92-Pool!$B$9)/Pool!$C$9+Settings!$B$10*-(T92-Pool!$B$10)/Pool!$C$10</f>
        <v>1.0641488582898957</v>
      </c>
      <c r="AR92">
        <f>IF(RANK(AQ92,$AQ$2:$AQ$266)&lt;=Settings!$F$5,1,0)</f>
        <v>1</v>
      </c>
      <c r="AS92" s="6">
        <f>X92*(U92-Pool!$D$12)</f>
        <v>-47.011878178217898</v>
      </c>
      <c r="AT92" s="6">
        <f>Z92*(V92-Pool!$D$13)</f>
        <v>5.4902915329464914</v>
      </c>
    </row>
    <row r="93" spans="1:46" x14ac:dyDescent="0.2">
      <c r="A93">
        <f t="shared" si="6"/>
        <v>92</v>
      </c>
      <c r="B93" t="s">
        <v>134</v>
      </c>
      <c r="C93" t="str">
        <f>INDEX('Player Data'!$C:$C,AL93)</f>
        <v>PG,SG</v>
      </c>
      <c r="D93">
        <f t="shared" si="7"/>
        <v>36</v>
      </c>
      <c r="E93" t="str">
        <f>INDEX('Player Data'!$B:$B,AL93)</f>
        <v>UTH</v>
      </c>
      <c r="F93" s="2"/>
      <c r="G93" s="3">
        <f>Settings!$B$2*AB93+Settings!$B$3*AC93+Settings!$B$4*AD93+Settings!$B$5*AE93+Settings!$B$6*AF93+Settings!$B$7*AG93+Settings!$B$8*AH93+Settings!$B$9*AI93+Settings!$B$10*AJ93</f>
        <v>-0.83515848140321003</v>
      </c>
      <c r="H93" s="3">
        <f>G93-LARGE($G$2:$G$266,Settings!$F$4)</f>
        <v>2.3811062850439551</v>
      </c>
      <c r="I93">
        <f>IF(INDEX('Player Data'!$R:$R,AL93)="","",INDEX('Player Data'!$R:$R,AL93))</f>
        <v>52</v>
      </c>
      <c r="J93" s="4">
        <f t="shared" si="8"/>
        <v>-40</v>
      </c>
      <c r="L93" s="5">
        <f>IF(Settings!$F$7="Yes",INDEX('Minutes &amp; Health'!$O:$O,AL93),Settings!$F$8)</f>
        <v>73</v>
      </c>
      <c r="M93" s="6">
        <f>INDEX('Minutes &amp; Health'!$P:$P,AL93)</f>
        <v>32.9</v>
      </c>
      <c r="N93" s="5">
        <f>INDEX('Player Data'!$F:$F,AL93)/INDEX('Player Data'!$E:$E,AL93)*M93*L93*AM93</f>
        <v>1472.9760914760914</v>
      </c>
      <c r="O93" s="5">
        <f>INDEX('Player Data'!$G:$G,AL93)/INDEX('Player Data'!$E:$E,AL93)*M93*L93*AM93</f>
        <v>253.6514760914761</v>
      </c>
      <c r="P93" s="5">
        <f>INDEX('Player Data'!$H:$H,AL93)/INDEX('Player Data'!$E:$E,AL93)*M93*L93*AM93</f>
        <v>424.41683991683988</v>
      </c>
      <c r="Q93" s="5">
        <f>INDEX('Player Data'!$I:$I,AL93)/INDEX('Player Data'!$E:$E,AL93)*M93*L93*AM93</f>
        <v>70.902577962577965</v>
      </c>
      <c r="R93" s="5">
        <f>INDEX('Player Data'!$J:$J,AL93)/INDEX('Player Data'!$E:$E,AL93)*M93*L93*AM93</f>
        <v>14.97941787941788</v>
      </c>
      <c r="S93" s="5">
        <f>INDEX('Player Data'!$K:$K,AL93)/INDEX('Player Data'!$E:$E,AL93)*M93*L93*AM93</f>
        <v>171.76399168399169</v>
      </c>
      <c r="T93" s="5">
        <f>INDEX('Player Data'!$L:$L,AL93)/INDEX('Player Data'!$E:$E,AL93)*M93*L93*AM93</f>
        <v>201.72282744282745</v>
      </c>
      <c r="U93" s="7">
        <f>INDEX('Player Data'!$M:$M,AL93)</f>
        <v>0.432</v>
      </c>
      <c r="V93" s="7">
        <f>INDEX('Player Data'!$N:$N,AL93)</f>
        <v>0.871</v>
      </c>
      <c r="W93" s="5">
        <f t="shared" si="9"/>
        <v>464.58245129313934</v>
      </c>
      <c r="X93" s="5">
        <f>INDEX('Player Data'!$O:$O,AL93)/INDEX('Player Data'!$E:$E,AL93)*M93*L93*AM93</f>
        <v>1075.422340956341</v>
      </c>
      <c r="Y93" s="5">
        <f t="shared" si="10"/>
        <v>372.01554070270265</v>
      </c>
      <c r="Z93" s="5">
        <f>INDEX('Player Data'!$P:$P,AL93)/INDEX('Player Data'!$E:$E,AL93)*M93*L93*AM93</f>
        <v>427.11313513513505</v>
      </c>
      <c r="AB93" s="3">
        <f>(N93-Pool!$D$2)/Pool!$E$2</f>
        <v>0.57580551243388844</v>
      </c>
      <c r="AC93" s="3">
        <f>(O93-Pool!$D$3)/Pool!$E$3</f>
        <v>-1.0230902526298817</v>
      </c>
      <c r="AD93" s="3">
        <f>(P93-Pool!$D$4)/Pool!$E$4</f>
        <v>0.97631501915522445</v>
      </c>
      <c r="AE93" s="3">
        <f>(Q93-Pool!$D$5)/Pool!$E$5</f>
        <v>-0.14656053652566192</v>
      </c>
      <c r="AF93" s="3">
        <f>(R93-Pool!$D$6)/Pool!$E$6</f>
        <v>-1.0231903103893165</v>
      </c>
      <c r="AG93" s="3">
        <f>(S93-Pool!$D$7)/Pool!$E$7</f>
        <v>0.68099708252367297</v>
      </c>
      <c r="AH93" s="3">
        <f>(AS93-Pool!$D$8)/Pool!$E$8</f>
        <v>-1.2247208263761042</v>
      </c>
      <c r="AI93" s="3">
        <f>(AT93-Pool!$D$9)/Pool!$E$9</f>
        <v>1.3565714638867876</v>
      </c>
      <c r="AJ93" s="3">
        <f>-(T93-Pool!$D$10)/Pool!$E$10</f>
        <v>-1.0072856334818192</v>
      </c>
      <c r="AL93">
        <f>MATCH(B93,'Player Data'!$A:$A,0)</f>
        <v>47</v>
      </c>
      <c r="AM93" s="3">
        <f>1+IF(Settings!$F$10="ON",IFERROR(VLOOKUP(TRIM(F93),Settings!$D$12:$F$17,3,FALSE),0),0)</f>
        <v>1</v>
      </c>
      <c r="AN93" t="str">
        <f t="shared" si="11"/>
        <v>PG</v>
      </c>
      <c r="AO93" s="6">
        <f>X93*(U93-Pool!$B$12)</f>
        <v>-52.272806039926202</v>
      </c>
      <c r="AP93" s="6">
        <f>Z93*(V93-Pool!$B$13)</f>
        <v>34.553599031435873</v>
      </c>
      <c r="AQ93" s="3">
        <f>Settings!$B$2*(N93-Pool!$B$2)/Pool!$C$2+Settings!$B$3*(O93-Pool!$B$3)/Pool!$C$3+Settings!$B$4*(P93-Pool!$B$4)/Pool!$C$4+Settings!$B$5*(Q93-Pool!$B$5)/Pool!$C$5+Settings!$B$6*(R93-Pool!$B$6)/Pool!$C$6+Settings!$B$7*(S93-Pool!$B$7)/Pool!$C$7+Settings!$B$8*(AO93-Pool!$B$8)/Pool!$C$8+Settings!$B$9*(AP93-Pool!$B$9)/Pool!$C$9+Settings!$B$10*-(T93-Pool!$B$10)/Pool!$C$10</f>
        <v>1.3528001068062534</v>
      </c>
      <c r="AR93">
        <f>IF(RANK(AQ93,$AQ$2:$AQ$266)&lt;=Settings!$F$5,1,0)</f>
        <v>1</v>
      </c>
      <c r="AS93" s="6">
        <f>X93*(U93-Pool!$D$12)</f>
        <v>-56.001105435925332</v>
      </c>
      <c r="AT93" s="6">
        <f>Z93*(V93-Pool!$D$13)</f>
        <v>30.2659069926552</v>
      </c>
    </row>
    <row r="94" spans="1:46" x14ac:dyDescent="0.2">
      <c r="A94">
        <f t="shared" si="6"/>
        <v>93</v>
      </c>
      <c r="B94" t="s">
        <v>135</v>
      </c>
      <c r="C94" t="str">
        <f>INDEX('Player Data'!$C:$C,AL94)</f>
        <v>PG,SG</v>
      </c>
      <c r="D94">
        <f t="shared" si="7"/>
        <v>37</v>
      </c>
      <c r="E94" t="str">
        <f>INDEX('Player Data'!$B:$B,AL94)</f>
        <v>ORL</v>
      </c>
      <c r="F94" s="2"/>
      <c r="G94" s="3">
        <f>Settings!$B$2*AB94+Settings!$B$3*AC94+Settings!$B$4*AD94+Settings!$B$5*AE94+Settings!$B$6*AF94+Settings!$B$7*AG94+Settings!$B$8*AH94+Settings!$B$9*AI94+Settings!$B$10*AJ94</f>
        <v>-0.91217399175685809</v>
      </c>
      <c r="H94" s="3">
        <f>G94-LARGE($G$2:$G$266,Settings!$F$4)</f>
        <v>2.304090774690307</v>
      </c>
      <c r="I94">
        <f>IF(INDEX('Player Data'!$R:$R,AL94)="","",INDEX('Player Data'!$R:$R,AL94))</f>
        <v>131</v>
      </c>
      <c r="J94" s="4">
        <f t="shared" si="8"/>
        <v>38</v>
      </c>
      <c r="L94" s="5">
        <f>IF(Settings!$F$7="Yes",INDEX('Minutes &amp; Health'!$O:$O,AL94),Settings!$F$8)</f>
        <v>70</v>
      </c>
      <c r="M94" s="6">
        <f>INDEX('Minutes &amp; Health'!$P:$P,AL94)</f>
        <v>27.5</v>
      </c>
      <c r="N94" s="5">
        <f>INDEX('Player Data'!$F:$F,AL94)/INDEX('Player Data'!$E:$E,AL94)*M94*L94*AM94</f>
        <v>941.46722164412074</v>
      </c>
      <c r="O94" s="5">
        <f>INDEX('Player Data'!$G:$G,AL94)/INDEX('Player Data'!$E:$E,AL94)*M94*L94*AM94</f>
        <v>257.40114464099895</v>
      </c>
      <c r="P94" s="5">
        <f>INDEX('Player Data'!$H:$H,AL94)/INDEX('Player Data'!$E:$E,AL94)*M94*L94*AM94</f>
        <v>300.46826222684706</v>
      </c>
      <c r="Q94" s="5">
        <f>INDEX('Player Data'!$I:$I,AL94)/INDEX('Player Data'!$E:$E,AL94)*M94*L94*AM94</f>
        <v>108.16857440166493</v>
      </c>
      <c r="R94" s="5">
        <f>INDEX('Player Data'!$J:$J,AL94)/INDEX('Player Data'!$E:$E,AL94)*M94*L94*AM94</f>
        <v>49.076482830385018</v>
      </c>
      <c r="S94" s="5">
        <f>INDEX('Player Data'!$K:$K,AL94)/INDEX('Player Data'!$E:$E,AL94)*M94*L94*AM94</f>
        <v>138.21540062434963</v>
      </c>
      <c r="T94" s="5">
        <f>INDEX('Player Data'!$L:$L,AL94)/INDEX('Player Data'!$E:$E,AL94)*M94*L94*AM94</f>
        <v>167.26066597294482</v>
      </c>
      <c r="U94" s="7">
        <f>INDEX('Player Data'!$M:$M,AL94)</f>
        <v>0.43</v>
      </c>
      <c r="V94" s="7">
        <f>INDEX('Player Data'!$N:$N,AL94)</f>
        <v>0.85099999999999998</v>
      </c>
      <c r="W94" s="5">
        <f t="shared" si="9"/>
        <v>335.75124869927157</v>
      </c>
      <c r="X94" s="5">
        <f>INDEX('Player Data'!$O:$O,AL94)/INDEX('Player Data'!$E:$E,AL94)*M94*L94*AM94</f>
        <v>780.81685744016647</v>
      </c>
      <c r="Y94" s="5">
        <f t="shared" si="10"/>
        <v>131.76995577523411</v>
      </c>
      <c r="Z94" s="5">
        <f>INDEX('Player Data'!$P:$P,AL94)/INDEX('Player Data'!$E:$E,AL94)*M94*L94*AM94</f>
        <v>154.84131113423516</v>
      </c>
      <c r="AB94" s="3">
        <f>(N94-Pool!$D$2)/Pool!$E$2</f>
        <v>-0.73434320355836691</v>
      </c>
      <c r="AC94" s="3">
        <f>(O94-Pool!$D$3)/Pool!$E$3</f>
        <v>-1.001265270566968</v>
      </c>
      <c r="AD94" s="3">
        <f>(P94-Pool!$D$4)/Pool!$E$4</f>
        <v>0.1380101789458347</v>
      </c>
      <c r="AE94" s="3">
        <f>(Q94-Pool!$D$5)/Pool!$E$5</f>
        <v>1.4986649758131843</v>
      </c>
      <c r="AF94" s="3">
        <f>(R94-Pool!$D$6)/Pool!$E$6</f>
        <v>-3.6396503775603342E-2</v>
      </c>
      <c r="AG94" s="3">
        <f>(S94-Pool!$D$7)/Pool!$E$7</f>
        <v>0.20848826397715695</v>
      </c>
      <c r="AH94" s="3">
        <f>(AS94-Pool!$D$8)/Pool!$E$8</f>
        <v>-0.92336819877458787</v>
      </c>
      <c r="AI94" s="3">
        <f>(AT94-Pool!$D$9)/Pool!$E$9</f>
        <v>0.35299258241247827</v>
      </c>
      <c r="AJ94" s="3">
        <f>-(T94-Pool!$D$10)/Pool!$E$10</f>
        <v>-0.41495681622998615</v>
      </c>
      <c r="AL94">
        <f>MATCH(B94,'Player Data'!$A:$A,0)</f>
        <v>117</v>
      </c>
      <c r="AM94" s="3">
        <f>1+IF(Settings!$F$10="ON",IFERROR(VLOOKUP(TRIM(F94),Settings!$D$12:$F$17,3,FALSE),0),0)</f>
        <v>1</v>
      </c>
      <c r="AN94" t="str">
        <f t="shared" si="11"/>
        <v>PG</v>
      </c>
      <c r="AO94" s="6">
        <f>X94*(U94-Pool!$B$12)</f>
        <v>-39.514618869883279</v>
      </c>
      <c r="AP94" s="6">
        <f>Z94*(V94-Pool!$B$13)</f>
        <v>9.4298889221009254</v>
      </c>
      <c r="AQ94" s="3">
        <f>Settings!$B$2*(N94-Pool!$B$2)/Pool!$C$2+Settings!$B$3*(O94-Pool!$B$3)/Pool!$C$3+Settings!$B$4*(P94-Pool!$B$4)/Pool!$C$4+Settings!$B$5*(Q94-Pool!$B$5)/Pool!$C$5+Settings!$B$6*(R94-Pool!$B$6)/Pool!$C$6+Settings!$B$7*(S94-Pool!$B$7)/Pool!$C$7+Settings!$B$8*(AO94-Pool!$B$8)/Pool!$C$8+Settings!$B$9*(AP94-Pool!$B$9)/Pool!$C$9+Settings!$B$10*-(T94-Pool!$B$10)/Pool!$C$10</f>
        <v>0.99059233251578793</v>
      </c>
      <c r="AR94">
        <f>IF(RANK(AQ94,$AQ$2:$AQ$266)&lt;=Settings!$F$5,1,0)</f>
        <v>1</v>
      </c>
      <c r="AS94" s="6">
        <f>X94*(U94-Pool!$D$12)</f>
        <v>-42.221573065563597</v>
      </c>
      <c r="AT94" s="6">
        <f>Z94*(V94-Pool!$D$13)</f>
        <v>7.8754720652778154</v>
      </c>
    </row>
    <row r="95" spans="1:46" x14ac:dyDescent="0.2">
      <c r="A95">
        <f t="shared" si="6"/>
        <v>94</v>
      </c>
      <c r="B95" t="s">
        <v>136</v>
      </c>
      <c r="C95" t="str">
        <f>INDEX('Player Data'!$C:$C,AL95)</f>
        <v>PG</v>
      </c>
      <c r="D95">
        <f t="shared" si="7"/>
        <v>38</v>
      </c>
      <c r="E95" t="str">
        <f>INDEX('Player Data'!$B:$B,AL95)</f>
        <v>WAS</v>
      </c>
      <c r="F95" s="2"/>
      <c r="G95" s="3">
        <f>Settings!$B$2*AB95+Settings!$B$3*AC95+Settings!$B$4*AD95+Settings!$B$5*AE95+Settings!$B$6*AF95+Settings!$B$7*AG95+Settings!$B$8*AH95+Settings!$B$9*AI95+Settings!$B$10*AJ95</f>
        <v>-1.0070638942417247</v>
      </c>
      <c r="H95" s="3">
        <f>G95-LARGE($G$2:$G$266,Settings!$F$4)</f>
        <v>2.2092008722054404</v>
      </c>
      <c r="I95">
        <f>IF(INDEX('Player Data'!$R:$R,AL95)="","",INDEX('Player Data'!$R:$R,AL95))</f>
        <v>26</v>
      </c>
      <c r="J95" s="4">
        <f t="shared" si="8"/>
        <v>-68</v>
      </c>
      <c r="L95" s="5">
        <f>IF(Settings!$F$7="Yes",INDEX('Minutes &amp; Health'!$O:$O,AL95),Settings!$F$8)</f>
        <v>75</v>
      </c>
      <c r="M95" s="6">
        <f>INDEX('Minutes &amp; Health'!$P:$P,AL95)</f>
        <v>34.4</v>
      </c>
      <c r="N95" s="5">
        <f>INDEX('Player Data'!$F:$F,AL95)/INDEX('Player Data'!$E:$E,AL95)*M95*L95*AM95</f>
        <v>1582.3866718326231</v>
      </c>
      <c r="O95" s="5">
        <f>INDEX('Player Data'!$G:$G,AL95)/INDEX('Player Data'!$E:$E,AL95)*M95*L95*AM95</f>
        <v>204.92057342115459</v>
      </c>
      <c r="P95" s="5">
        <f>INDEX('Player Data'!$H:$H,AL95)/INDEX('Player Data'!$E:$E,AL95)*M95*L95*AM95</f>
        <v>688.73304920573423</v>
      </c>
      <c r="Q95" s="5">
        <f>INDEX('Player Data'!$I:$I,AL95)/INDEX('Player Data'!$E:$E,AL95)*M95*L95*AM95</f>
        <v>76.970166602092206</v>
      </c>
      <c r="R95" s="5">
        <f>INDEX('Player Data'!$J:$J,AL95)/INDEX('Player Data'!$E:$E,AL95)*M95*L95*AM95</f>
        <v>14.99418829910887</v>
      </c>
      <c r="S95" s="5">
        <f>INDEX('Player Data'!$K:$K,AL95)/INDEX('Player Data'!$E:$E,AL95)*M95*L95*AM95</f>
        <v>178.93064703603255</v>
      </c>
      <c r="T95" s="5">
        <f>INDEX('Player Data'!$L:$L,AL95)/INDEX('Player Data'!$E:$E,AL95)*M95*L95*AM95</f>
        <v>306.88105385509488</v>
      </c>
      <c r="U95" s="7">
        <f>INDEX('Player Data'!$M:$M,AL95)</f>
        <v>0.41499999999999998</v>
      </c>
      <c r="V95" s="7">
        <f>INDEX('Player Data'!$N:$N,AL95)</f>
        <v>0.86799999999999999</v>
      </c>
      <c r="W95" s="5">
        <f t="shared" si="9"/>
        <v>497.1018248740798</v>
      </c>
      <c r="X95" s="5">
        <f>INDEX('Player Data'!$O:$O,AL95)/INDEX('Player Data'!$E:$E,AL95)*M95*L95*AM95</f>
        <v>1197.8357225881441</v>
      </c>
      <c r="Y95" s="5">
        <f t="shared" si="10"/>
        <v>409.19019914761719</v>
      </c>
      <c r="Z95" s="5">
        <f>INDEX('Player Data'!$P:$P,AL95)/INDEX('Player Data'!$E:$E,AL95)*M95*L95*AM95</f>
        <v>471.41728012398295</v>
      </c>
      <c r="AB95" s="3">
        <f>(N95-Pool!$D$2)/Pool!$E$2</f>
        <v>0.84549834261260925</v>
      </c>
      <c r="AC95" s="3">
        <f>(O95-Pool!$D$3)/Pool!$E$3</f>
        <v>-1.3067289429948465</v>
      </c>
      <c r="AD95" s="3">
        <f>(P95-Pool!$D$4)/Pool!$E$4</f>
        <v>2.7639721405371636</v>
      </c>
      <c r="AE95" s="3">
        <f>(Q95-Pool!$D$5)/Pool!$E$5</f>
        <v>0.12131239273904014</v>
      </c>
      <c r="AF95" s="3">
        <f>(R95-Pool!$D$6)/Pool!$E$6</f>
        <v>-1.0227628437233993</v>
      </c>
      <c r="AG95" s="3">
        <f>(S95-Pool!$D$7)/Pool!$E$7</f>
        <v>0.78193449140927351</v>
      </c>
      <c r="AH95" s="3">
        <f>(AS95-Pool!$D$8)/Pool!$E$8</f>
        <v>-1.8094634377174221</v>
      </c>
      <c r="AI95" s="3">
        <f>(AT95-Pool!$D$9)/Pool!$E$9</f>
        <v>1.4338983993533441</v>
      </c>
      <c r="AJ95" s="3">
        <f>-(T95-Pool!$D$10)/Pool!$E$10</f>
        <v>-2.814724436457487</v>
      </c>
      <c r="AL95">
        <f>MATCH(B95,'Player Data'!$A:$A,0)</f>
        <v>37</v>
      </c>
      <c r="AM95" s="3">
        <f>1+IF(Settings!$F$10="ON",IFERROR(VLOOKUP(TRIM(F95),Settings!$D$12:$F$17,3,FALSE),0),0)</f>
        <v>1</v>
      </c>
      <c r="AN95" t="str">
        <f t="shared" si="11"/>
        <v>PG</v>
      </c>
      <c r="AO95" s="6">
        <f>X95*(U95-Pool!$B$12)</f>
        <v>-78.586132371145098</v>
      </c>
      <c r="AP95" s="6">
        <f>Z95*(V95-Pool!$B$13)</f>
        <v>36.723567706527334</v>
      </c>
      <c r="AQ95" s="3">
        <f>Settings!$B$2*(N95-Pool!$B$2)/Pool!$C$2+Settings!$B$3*(O95-Pool!$B$3)/Pool!$C$3+Settings!$B$4*(P95-Pool!$B$4)/Pool!$C$4+Settings!$B$5*(Q95-Pool!$B$5)/Pool!$C$5+Settings!$B$6*(R95-Pool!$B$6)/Pool!$C$6+Settings!$B$7*(S95-Pool!$B$7)/Pool!$C$7+Settings!$B$8*(AO95-Pool!$B$8)/Pool!$C$8+Settings!$B$9*(AP95-Pool!$B$9)/Pool!$C$9+Settings!$B$10*-(T95-Pool!$B$10)/Pool!$C$10</f>
        <v>1.1719591673214311</v>
      </c>
      <c r="AR95">
        <f>IF(RANK(AQ95,$AQ$2:$AQ$266)&lt;=Settings!$F$5,1,0)</f>
        <v>1</v>
      </c>
      <c r="AS95" s="6">
        <f>X95*(U95-Pool!$D$12)</f>
        <v>-82.738817349830015</v>
      </c>
      <c r="AT95" s="6">
        <f>Z95*(V95-Pool!$D$13)</f>
        <v>31.991116389403317</v>
      </c>
    </row>
    <row r="96" spans="1:46" x14ac:dyDescent="0.2">
      <c r="A96">
        <f t="shared" si="6"/>
        <v>95</v>
      </c>
      <c r="B96" t="s">
        <v>137</v>
      </c>
      <c r="C96" t="str">
        <f>INDEX('Player Data'!$C:$C,AL96)</f>
        <v>PG,SG</v>
      </c>
      <c r="D96">
        <f t="shared" si="7"/>
        <v>39</v>
      </c>
      <c r="E96" t="str">
        <f>INDEX('Player Data'!$B:$B,AL96)</f>
        <v>SAS</v>
      </c>
      <c r="F96" s="2"/>
      <c r="G96" s="3">
        <f>Settings!$B$2*AB96+Settings!$B$3*AC96+Settings!$B$4*AD96+Settings!$B$5*AE96+Settings!$B$6*AF96+Settings!$B$7*AG96+Settings!$B$8*AH96+Settings!$B$9*AI96+Settings!$B$10*AJ96</f>
        <v>-1.1391715439897272</v>
      </c>
      <c r="H96" s="3">
        <f>G96-LARGE($G$2:$G$266,Settings!$F$4)</f>
        <v>2.0770932224574379</v>
      </c>
      <c r="I96">
        <f>IF(INDEX('Player Data'!$R:$R,AL96)="","",INDEX('Player Data'!$R:$R,AL96))</f>
        <v>86</v>
      </c>
      <c r="J96" s="4">
        <f t="shared" si="8"/>
        <v>-9</v>
      </c>
      <c r="L96" s="5">
        <f>IF(Settings!$F$7="Yes",INDEX('Minutes &amp; Health'!$O:$O,AL96),Settings!$F$8)</f>
        <v>75</v>
      </c>
      <c r="M96" s="6">
        <f>INDEX('Minutes &amp; Health'!$P:$P,AL96)</f>
        <v>28.9</v>
      </c>
      <c r="N96" s="5">
        <f>INDEX('Player Data'!$F:$F,AL96)/INDEX('Player Data'!$E:$E,AL96)*M96*L96*AM96</f>
        <v>1130.7391605166049</v>
      </c>
      <c r="O96" s="5">
        <f>INDEX('Player Data'!$G:$G,AL96)/INDEX('Player Data'!$E:$E,AL96)*M96*L96*AM96</f>
        <v>331.92343173431732</v>
      </c>
      <c r="P96" s="5">
        <f>INDEX('Player Data'!$H:$H,AL96)/INDEX('Player Data'!$E:$E,AL96)*M96*L96*AM96</f>
        <v>351.91881918819189</v>
      </c>
      <c r="Q96" s="5">
        <f>INDEX('Player Data'!$I:$I,AL96)/INDEX('Player Data'!$E:$E,AL96)*M96*L96*AM96</f>
        <v>72.983164206642073</v>
      </c>
      <c r="R96" s="5">
        <f>INDEX('Player Data'!$J:$J,AL96)/INDEX('Player Data'!$E:$E,AL96)*M96*L96*AM96</f>
        <v>29.993081180811807</v>
      </c>
      <c r="S96" s="5">
        <f>INDEX('Player Data'!$K:$K,AL96)/INDEX('Player Data'!$E:$E,AL96)*M96*L96*AM96</f>
        <v>87.979704797047972</v>
      </c>
      <c r="T96" s="5">
        <f>INDEX('Player Data'!$L:$L,AL96)/INDEX('Player Data'!$E:$E,AL96)*M96*L96*AM96</f>
        <v>136.96840405904061</v>
      </c>
      <c r="U96" s="7">
        <f>INDEX('Player Data'!$M:$M,AL96)</f>
        <v>0.502</v>
      </c>
      <c r="V96" s="7">
        <f>INDEX('Player Data'!$N:$N,AL96)</f>
        <v>0.78700000000000003</v>
      </c>
      <c r="W96" s="5">
        <f t="shared" si="9"/>
        <v>450.99316466789662</v>
      </c>
      <c r="X96" s="5">
        <f>INDEX('Player Data'!$O:$O,AL96)/INDEX('Player Data'!$E:$E,AL96)*M96*L96*AM96</f>
        <v>898.39275830258293</v>
      </c>
      <c r="Y96" s="5">
        <f t="shared" si="10"/>
        <v>140.7618289898524</v>
      </c>
      <c r="Z96" s="5">
        <f>INDEX('Player Data'!$P:$P,AL96)/INDEX('Player Data'!$E:$E,AL96)*M96*L96*AM96</f>
        <v>178.85874077490774</v>
      </c>
      <c r="AB96" s="3">
        <f>(N96-Pool!$D$2)/Pool!$E$2</f>
        <v>-0.26779522710494752</v>
      </c>
      <c r="AC96" s="3">
        <f>(O96-Pool!$D$3)/Pool!$E$3</f>
        <v>-0.56750757768876858</v>
      </c>
      <c r="AD96" s="3">
        <f>(P96-Pool!$D$4)/Pool!$E$4</f>
        <v>0.48598715242946466</v>
      </c>
      <c r="AE96" s="3">
        <f>(Q96-Pool!$D$5)/Pool!$E$5</f>
        <v>-5.4706463203065048E-2</v>
      </c>
      <c r="AF96" s="3">
        <f>(R96-Pool!$D$6)/Pool!$E$6</f>
        <v>-0.58868399784587011</v>
      </c>
      <c r="AG96" s="3">
        <f>(S96-Pool!$D$7)/Pool!$E$7</f>
        <v>-0.49904694195806665</v>
      </c>
      <c r="AH96" s="3">
        <f>(AS96-Pool!$D$8)/Pool!$E$8</f>
        <v>0.3522086313816038</v>
      </c>
      <c r="AI96" s="3">
        <f>(AT96-Pool!$D$9)/Pool!$E$9</f>
        <v>-0.10532771195461471</v>
      </c>
      <c r="AJ96" s="3">
        <f>-(T96-Pool!$D$10)/Pool!$E$10</f>
        <v>0.10570059195453717</v>
      </c>
      <c r="AL96">
        <f>MATCH(B96,'Player Data'!$A:$A,0)</f>
        <v>96</v>
      </c>
      <c r="AM96" s="3">
        <f>1+IF(Settings!$F$10="ON",IFERROR(VLOOKUP(TRIM(F96),Settings!$D$12:$F$17,3,FALSE),0),0)</f>
        <v>1</v>
      </c>
      <c r="AN96" t="str">
        <f t="shared" si="11"/>
        <v>PG</v>
      </c>
      <c r="AO96" s="6">
        <f>X96*(U96-Pool!$B$12)</f>
        <v>19.219523192565941</v>
      </c>
      <c r="AP96" s="6">
        <f>Z96*(V96-Pool!$B$13)</f>
        <v>-0.55440079006612697</v>
      </c>
      <c r="AQ96" s="3">
        <f>Settings!$B$2*(N96-Pool!$B$2)/Pool!$C$2+Settings!$B$3*(O96-Pool!$B$3)/Pool!$C$3+Settings!$B$4*(P96-Pool!$B$4)/Pool!$C$4+Settings!$B$5*(Q96-Pool!$B$5)/Pool!$C$5+Settings!$B$6*(R96-Pool!$B$6)/Pool!$C$6+Settings!$B$7*(S96-Pool!$B$7)/Pool!$C$7+Settings!$B$8*(AO96-Pool!$B$8)/Pool!$C$8+Settings!$B$9*(AP96-Pool!$B$9)/Pool!$C$9+Settings!$B$10*-(T96-Pool!$B$10)/Pool!$C$10</f>
        <v>0.95443090796836816</v>
      </c>
      <c r="AR96">
        <f>IF(RANK(AQ96,$AQ$2:$AQ$266)&lt;=Settings!$F$5,1,0)</f>
        <v>1</v>
      </c>
      <c r="AS96" s="6">
        <f>X96*(U96-Pool!$D$12)</f>
        <v>16.104954105995795</v>
      </c>
      <c r="AT96" s="6">
        <f>Z96*(V96-Pool!$D$13)</f>
        <v>-2.3499231840198265</v>
      </c>
    </row>
    <row r="97" spans="1:46" x14ac:dyDescent="0.2">
      <c r="A97">
        <f t="shared" si="6"/>
        <v>96</v>
      </c>
      <c r="B97" t="s">
        <v>138</v>
      </c>
      <c r="C97" t="str">
        <f>INDEX('Player Data'!$C:$C,AL97)</f>
        <v>PG,SG</v>
      </c>
      <c r="D97">
        <f t="shared" si="7"/>
        <v>40</v>
      </c>
      <c r="E97" t="str">
        <f>INDEX('Player Data'!$B:$B,AL97)</f>
        <v>CHA</v>
      </c>
      <c r="F97" s="2"/>
      <c r="G97" s="3">
        <f>Settings!$B$2*AB97+Settings!$B$3*AC97+Settings!$B$4*AD97+Settings!$B$5*AE97+Settings!$B$6*AF97+Settings!$B$7*AG97+Settings!$B$8*AH97+Settings!$B$9*AI97+Settings!$B$10*AJ97</f>
        <v>-1.1443342496080606</v>
      </c>
      <c r="H97" s="3">
        <f>G97-LARGE($G$2:$G$266,Settings!$F$4)</f>
        <v>2.0719305168391045</v>
      </c>
      <c r="I97">
        <f>IF(INDEX('Player Data'!$R:$R,AL97)="","",INDEX('Player Data'!$R:$R,AL97))</f>
        <v>97</v>
      </c>
      <c r="J97" s="4">
        <f t="shared" si="8"/>
        <v>1</v>
      </c>
      <c r="L97" s="5">
        <f>IF(Settings!$F$7="Yes",INDEX('Minutes &amp; Health'!$O:$O,AL97),Settings!$F$8)</f>
        <v>75</v>
      </c>
      <c r="M97" s="6">
        <f>INDEX('Minutes &amp; Health'!$P:$P,AL97)</f>
        <v>34.1</v>
      </c>
      <c r="N97" s="5">
        <f>INDEX('Player Data'!$F:$F,AL97)/INDEX('Player Data'!$E:$E,AL97)*M97*L97*AM97</f>
        <v>1515.9254197579071</v>
      </c>
      <c r="O97" s="5">
        <f>INDEX('Player Data'!$G:$G,AL97)/INDEX('Player Data'!$E:$E,AL97)*M97*L97*AM97</f>
        <v>291.60093713393206</v>
      </c>
      <c r="P97" s="5">
        <f>INDEX('Player Data'!$H:$H,AL97)/INDEX('Player Data'!$E:$E,AL97)*M97*L97*AM97</f>
        <v>334.54217102694264</v>
      </c>
      <c r="Q97" s="5">
        <f>INDEX('Player Data'!$I:$I,AL97)/INDEX('Player Data'!$E:$E,AL97)*M97*L97*AM97</f>
        <v>54.924834049199525</v>
      </c>
      <c r="R97" s="5">
        <f>INDEX('Player Data'!$J:$J,AL97)/INDEX('Player Data'!$E:$E,AL97)*M97*L97*AM97</f>
        <v>13.980866848887155</v>
      </c>
      <c r="S97" s="5">
        <f>INDEX('Player Data'!$K:$K,AL97)/INDEX('Player Data'!$E:$E,AL97)*M97*L97*AM97</f>
        <v>223.69386958219448</v>
      </c>
      <c r="T97" s="5">
        <f>INDEX('Player Data'!$L:$L,AL97)/INDEX('Player Data'!$E:$E,AL97)*M97*L97*AM97</f>
        <v>198.72803592346742</v>
      </c>
      <c r="U97" s="7">
        <f>INDEX('Player Data'!$M:$M,AL97)</f>
        <v>0.44500000000000001</v>
      </c>
      <c r="V97" s="7">
        <f>INDEX('Player Data'!$N:$N,AL97)</f>
        <v>0.85699999999999998</v>
      </c>
      <c r="W97" s="5">
        <f t="shared" si="9"/>
        <v>481.40967932448268</v>
      </c>
      <c r="X97" s="5">
        <f>INDEX('Player Data'!$O:$O,AL97)/INDEX('Player Data'!$E:$E,AL97)*M97*L97*AM97</f>
        <v>1081.819504099961</v>
      </c>
      <c r="Y97" s="5">
        <f t="shared" si="10"/>
        <v>329.40849658336589</v>
      </c>
      <c r="Z97" s="5">
        <f>INDEX('Player Data'!$P:$P,AL97)/INDEX('Player Data'!$E:$E,AL97)*M97*L97*AM97</f>
        <v>384.37397500976181</v>
      </c>
      <c r="AB97" s="3">
        <f>(N97-Pool!$D$2)/Pool!$E$2</f>
        <v>0.68167393814603083</v>
      </c>
      <c r="AC97" s="3">
        <f>(O97-Pool!$D$3)/Pool!$E$3</f>
        <v>-0.80220504754842514</v>
      </c>
      <c r="AD97" s="3">
        <f>(P97-Pool!$D$4)/Pool!$E$4</f>
        <v>0.36846318780097082</v>
      </c>
      <c r="AE97" s="3">
        <f>(Q97-Pool!$D$5)/Pool!$E$5</f>
        <v>-0.85194867659255269</v>
      </c>
      <c r="AF97" s="3">
        <f>(R97-Pool!$D$6)/Pool!$E$6</f>
        <v>-1.0520891019402157</v>
      </c>
      <c r="AG97" s="3">
        <f>(S97-Pool!$D$7)/Pool!$E$7</f>
        <v>1.4123936770728338</v>
      </c>
      <c r="AH97" s="3">
        <f>(AS97-Pool!$D$8)/Pool!$E$8</f>
        <v>-0.92443985400456208</v>
      </c>
      <c r="AI97" s="3">
        <f>(AT97-Pool!$D$9)/Pool!$E$9</f>
        <v>0.97962937645542769</v>
      </c>
      <c r="AJ97" s="3">
        <f>-(T97-Pool!$D$10)/Pool!$E$10</f>
        <v>-0.95581174899756804</v>
      </c>
      <c r="AL97">
        <f>MATCH(B97,'Player Data'!$A:$A,0)</f>
        <v>46</v>
      </c>
      <c r="AM97" s="3">
        <f>1+IF(Settings!$F$10="ON",IFERROR(VLOOKUP(TRIM(F97),Settings!$D$12:$F$17,3,FALSE),0),0)</f>
        <v>1</v>
      </c>
      <c r="AN97" t="str">
        <f t="shared" si="11"/>
        <v>PG</v>
      </c>
      <c r="AO97" s="6">
        <f>X97*(U97-Pool!$B$12)</f>
        <v>-38.520097922179801</v>
      </c>
      <c r="AP97" s="6">
        <f>Z97*(V97-Pool!$B$13)</f>
        <v>25.714750677711347</v>
      </c>
      <c r="AQ97" s="3">
        <f>Settings!$B$2*(N97-Pool!$B$2)/Pool!$C$2+Settings!$B$3*(O97-Pool!$B$3)/Pool!$C$3+Settings!$B$4*(P97-Pool!$B$4)/Pool!$C$4+Settings!$B$5*(Q97-Pool!$B$5)/Pool!$C$5+Settings!$B$6*(R97-Pool!$B$6)/Pool!$C$6+Settings!$B$7*(S97-Pool!$B$7)/Pool!$C$7+Settings!$B$8*(AO97-Pool!$B$8)/Pool!$C$8+Settings!$B$9*(AP97-Pool!$B$9)/Pool!$C$9+Settings!$B$10*-(T97-Pool!$B$10)/Pool!$C$10</f>
        <v>1.0731800906019473</v>
      </c>
      <c r="AR97">
        <f>IF(RANK(AQ97,$AQ$2:$AQ$266)&lt;=Settings!$F$5,1,0)</f>
        <v>1</v>
      </c>
      <c r="AS97" s="6">
        <f>X97*(U97-Pool!$D$12)</f>
        <v>-42.270575153412729</v>
      </c>
      <c r="AT97" s="6">
        <f>Z97*(V97-Pool!$D$13)</f>
        <v>21.856107388639007</v>
      </c>
    </row>
    <row r="98" spans="1:46" x14ac:dyDescent="0.2">
      <c r="A98">
        <f t="shared" si="6"/>
        <v>97</v>
      </c>
      <c r="B98" t="s">
        <v>139</v>
      </c>
      <c r="C98" t="str">
        <f>INDEX('Player Data'!$C:$C,AL98)</f>
        <v>PF,SF</v>
      </c>
      <c r="D98">
        <f t="shared" si="7"/>
        <v>27</v>
      </c>
      <c r="E98" t="str">
        <f>INDEX('Player Data'!$B:$B,AL98)</f>
        <v>DEN</v>
      </c>
      <c r="F98" s="2"/>
      <c r="G98" s="3">
        <f>Settings!$B$2*AB98+Settings!$B$3*AC98+Settings!$B$4*AD98+Settings!$B$5*AE98+Settings!$B$6*AF98+Settings!$B$7*AG98+Settings!$B$8*AH98+Settings!$B$9*AI98+Settings!$B$10*AJ98</f>
        <v>-1.3080239893213141</v>
      </c>
      <c r="H98" s="3">
        <f>G98-LARGE($G$2:$G$266,Settings!$F$4)</f>
        <v>1.9082407771258509</v>
      </c>
      <c r="I98">
        <f>IF(INDEX('Player Data'!$R:$R,AL98)="","",INDEX('Player Data'!$R:$R,AL98))</f>
        <v>162</v>
      </c>
      <c r="J98" s="4">
        <f t="shared" si="8"/>
        <v>65</v>
      </c>
      <c r="L98" s="5">
        <f>IF(Settings!$F$7="Yes",INDEX('Minutes &amp; Health'!$O:$O,AL98),Settings!$F$8)</f>
        <v>77</v>
      </c>
      <c r="M98" s="6">
        <f>INDEX('Minutes &amp; Health'!$P:$P,AL98)</f>
        <v>29.6</v>
      </c>
      <c r="N98" s="5">
        <f>INDEX('Player Data'!$F:$F,AL98)/INDEX('Player Data'!$E:$E,AL98)*M98*L98*AM98</f>
        <v>1283.2386473429951</v>
      </c>
      <c r="O98" s="5">
        <f>INDEX('Player Data'!$G:$G,AL98)/INDEX('Player Data'!$E:$E,AL98)*M98*L98*AM98</f>
        <v>236.22801932367153</v>
      </c>
      <c r="P98" s="5">
        <f>INDEX('Player Data'!$H:$H,AL98)/INDEX('Player Data'!$E:$E,AL98)*M98*L98*AM98</f>
        <v>278.26859903381643</v>
      </c>
      <c r="Q98" s="5">
        <f>INDEX('Player Data'!$I:$I,AL98)/INDEX('Player Data'!$E:$E,AL98)*M98*L98*AM98</f>
        <v>56.054106280193245</v>
      </c>
      <c r="R98" s="5">
        <f>INDEX('Player Data'!$J:$J,AL98)/INDEX('Player Data'!$E:$E,AL98)*M98*L98*AM98</f>
        <v>26.02512077294686</v>
      </c>
      <c r="S98" s="5">
        <f>INDEX('Player Data'!$K:$K,AL98)/INDEX('Player Data'!$E:$E,AL98)*M98*L98*AM98</f>
        <v>53.051207729468601</v>
      </c>
      <c r="T98" s="5">
        <f>INDEX('Player Data'!$L:$L,AL98)/INDEX('Player Data'!$E:$E,AL98)*M98*L98*AM98</f>
        <v>81.078260869565227</v>
      </c>
      <c r="U98" s="7">
        <f>INDEX('Player Data'!$M:$M,AL98)</f>
        <v>0.49199999999999999</v>
      </c>
      <c r="V98" s="7">
        <f>INDEX('Player Data'!$N:$N,AL98)</f>
        <v>0.86</v>
      </c>
      <c r="W98" s="5">
        <f t="shared" si="9"/>
        <v>456.47541333333339</v>
      </c>
      <c r="X98" s="5">
        <f>INDEX('Player Data'!$O:$O,AL98)/INDEX('Player Data'!$E:$E,AL98)*M98*L98*AM98</f>
        <v>927.79555555555567</v>
      </c>
      <c r="Y98" s="5">
        <f t="shared" si="10"/>
        <v>317.30227632850244</v>
      </c>
      <c r="Z98" s="5">
        <f>INDEX('Player Data'!$P:$P,AL98)/INDEX('Player Data'!$E:$E,AL98)*M98*L98*AM98</f>
        <v>368.95613526570054</v>
      </c>
      <c r="AB98" s="3">
        <f>(N98-Pool!$D$2)/Pool!$E$2</f>
        <v>0.10811008359708489</v>
      </c>
      <c r="AC98" s="3">
        <f>(O98-Pool!$D$3)/Pool!$E$3</f>
        <v>-1.1245036512833908</v>
      </c>
      <c r="AD98" s="3">
        <f>(P98-Pool!$D$4)/Pool!$E$4</f>
        <v>-1.2133416507768691E-2</v>
      </c>
      <c r="AE98" s="3">
        <f>(Q98-Pool!$D$5)/Pool!$E$5</f>
        <v>-0.80209337518276713</v>
      </c>
      <c r="AF98" s="3">
        <f>(R98-Pool!$D$6)/Pool!$E$6</f>
        <v>-0.70351965191170462</v>
      </c>
      <c r="AG98" s="3">
        <f>(S98-Pool!$D$7)/Pool!$E$7</f>
        <v>-0.99099078704136179</v>
      </c>
      <c r="AH98" s="3">
        <f>(AS98-Pool!$D$8)/Pool!$E$8</f>
        <v>0.16083077392742029</v>
      </c>
      <c r="AI98" s="3">
        <f>(AT98-Pool!$D$9)/Pool!$E$9</f>
        <v>0.98994671296445114</v>
      </c>
      <c r="AJ98" s="3">
        <f>-(T98-Pool!$D$10)/Pool!$E$10</f>
        <v>1.0663293221167227</v>
      </c>
      <c r="AL98">
        <f>MATCH(B98,'Player Data'!$A:$A,0)</f>
        <v>79</v>
      </c>
      <c r="AM98" s="3">
        <f>1+IF(Settings!$F$10="ON",IFERROR(VLOOKUP(TRIM(F98),Settings!$D$12:$F$17,3,FALSE),0),0)</f>
        <v>1</v>
      </c>
      <c r="AN98" t="str">
        <f t="shared" si="11"/>
        <v>PF</v>
      </c>
      <c r="AO98" s="6">
        <f>X98*(U98-Pool!$B$12)</f>
        <v>10.570588450576965</v>
      </c>
      <c r="AP98" s="6">
        <f>Z98*(V98-Pool!$B$13)</f>
        <v>25.790160319950441</v>
      </c>
      <c r="AQ98" s="3">
        <f>Settings!$B$2*(N98-Pool!$B$2)/Pool!$C$2+Settings!$B$3*(O98-Pool!$B$3)/Pool!$C$3+Settings!$B$4*(P98-Pool!$B$4)/Pool!$C$4+Settings!$B$5*(Q98-Pool!$B$5)/Pool!$C$5+Settings!$B$6*(R98-Pool!$B$6)/Pool!$C$6+Settings!$B$7*(S98-Pool!$B$7)/Pool!$C$7+Settings!$B$8*(AO98-Pool!$B$8)/Pool!$C$8+Settings!$B$9*(AP98-Pool!$B$9)/Pool!$C$9+Settings!$B$10*-(T98-Pool!$B$10)/Pool!$C$10</f>
        <v>1.0235419811039848</v>
      </c>
      <c r="AR98">
        <f>IF(RANK(AQ98,$AQ$2:$AQ$266)&lt;=Settings!$F$5,1,0)</f>
        <v>1</v>
      </c>
      <c r="AS98" s="6">
        <f>X98*(U98-Pool!$D$12)</f>
        <v>7.3540850568382909</v>
      </c>
      <c r="AT98" s="6">
        <f>Z98*(V98-Pool!$D$13)</f>
        <v>22.086293232515853</v>
      </c>
    </row>
    <row r="99" spans="1:46" x14ac:dyDescent="0.2">
      <c r="A99">
        <f t="shared" si="6"/>
        <v>98</v>
      </c>
      <c r="B99" t="s">
        <v>140</v>
      </c>
      <c r="C99" t="str">
        <f>INDEX('Player Data'!$C:$C,AL99)</f>
        <v>PF,SF</v>
      </c>
      <c r="D99">
        <f t="shared" si="7"/>
        <v>28</v>
      </c>
      <c r="E99" t="str">
        <f>INDEX('Player Data'!$B:$B,AL99)</f>
        <v>DEN</v>
      </c>
      <c r="F99" s="2"/>
      <c r="G99" s="3">
        <f>Settings!$B$2*AB99+Settings!$B$3*AC99+Settings!$B$4*AD99+Settings!$B$5*AE99+Settings!$B$6*AF99+Settings!$B$7*AG99+Settings!$B$8*AH99+Settings!$B$9*AI99+Settings!$B$10*AJ99</f>
        <v>-1.3081426647525209</v>
      </c>
      <c r="H99" s="3">
        <f>G99-LARGE($G$2:$G$266,Settings!$F$4)</f>
        <v>1.9081221016946441</v>
      </c>
      <c r="I99">
        <f>IF(INDEX('Player Data'!$R:$R,AL99)="","",INDEX('Player Data'!$R:$R,AL99))</f>
        <v>126</v>
      </c>
      <c r="J99" s="4">
        <f t="shared" si="8"/>
        <v>28</v>
      </c>
      <c r="L99" s="5">
        <f>IF(Settings!$F$7="Yes",INDEX('Minutes &amp; Health'!$O:$O,AL99),Settings!$F$8)</f>
        <v>73</v>
      </c>
      <c r="M99" s="6">
        <f>INDEX('Minutes &amp; Health'!$P:$P,AL99)</f>
        <v>30.2</v>
      </c>
      <c r="N99" s="5">
        <f>INDEX('Player Data'!$F:$F,AL99)/INDEX('Player Data'!$E:$E,AL99)*M99*L99*AM99</f>
        <v>1016.8155102040816</v>
      </c>
      <c r="O99" s="5">
        <f>INDEX('Player Data'!$G:$G,AL99)/INDEX('Player Data'!$E:$E,AL99)*M99*L99*AM99</f>
        <v>290.94721088435369</v>
      </c>
      <c r="P99" s="5">
        <f>INDEX('Player Data'!$H:$H,AL99)/INDEX('Player Data'!$E:$E,AL99)*M99*L99*AM99</f>
        <v>192.9649886621315</v>
      </c>
      <c r="Q99" s="5">
        <f>INDEX('Player Data'!$I:$I,AL99)/INDEX('Player Data'!$E:$E,AL99)*M99*L99*AM99</f>
        <v>54.990022675736967</v>
      </c>
      <c r="R99" s="5">
        <f>INDEX('Player Data'!$J:$J,AL99)/INDEX('Player Data'!$E:$E,AL99)*M99*L99*AM99</f>
        <v>32.994013605442177</v>
      </c>
      <c r="S99" s="5">
        <f>INDEX('Player Data'!$K:$K,AL99)/INDEX('Player Data'!$E:$E,AL99)*M99*L99*AM99</f>
        <v>151.97242630385486</v>
      </c>
      <c r="T99" s="5">
        <f>INDEX('Player Data'!$L:$L,AL99)/INDEX('Player Data'!$E:$E,AL99)*M99*L99*AM99</f>
        <v>79.985487528344663</v>
      </c>
      <c r="U99" s="7">
        <f>INDEX('Player Data'!$M:$M,AL99)</f>
        <v>0.48599999999999999</v>
      </c>
      <c r="V99" s="7">
        <f>INDEX('Player Data'!$N:$N,AL99)</f>
        <v>0.86</v>
      </c>
      <c r="W99" s="5">
        <f t="shared" si="9"/>
        <v>357.38815591836732</v>
      </c>
      <c r="X99" s="5">
        <f>INDEX('Player Data'!$O:$O,AL99)/INDEX('Player Data'!$E:$E,AL99)*M99*L99*AM99</f>
        <v>735.36657596371879</v>
      </c>
      <c r="Y99" s="5">
        <f t="shared" si="10"/>
        <v>150.04277641723351</v>
      </c>
      <c r="Z99" s="5">
        <f>INDEX('Player Data'!$P:$P,AL99)/INDEX('Player Data'!$E:$E,AL99)*M99*L99*AM99</f>
        <v>174.46834467120178</v>
      </c>
      <c r="AB99" s="3">
        <f>(N99-Pool!$D$2)/Pool!$E$2</f>
        <v>-0.54861259940070739</v>
      </c>
      <c r="AC99" s="3">
        <f>(O99-Pool!$D$3)/Pool!$E$3</f>
        <v>-0.80601006750756776</v>
      </c>
      <c r="AD99" s="3">
        <f>(P99-Pool!$D$4)/Pool!$E$4</f>
        <v>-0.58906968148673244</v>
      </c>
      <c r="AE99" s="3">
        <f>(Q99-Pool!$D$5)/Pool!$E$5</f>
        <v>-0.84907071808501522</v>
      </c>
      <c r="AF99" s="3">
        <f>(R99-Pool!$D$6)/Pool!$E$6</f>
        <v>-0.50183483546341912</v>
      </c>
      <c r="AG99" s="3">
        <f>(S99-Pool!$D$7)/Pool!$E$7</f>
        <v>0.40224650374886473</v>
      </c>
      <c r="AH99" s="3">
        <f>(AS99-Pool!$D$8)/Pool!$E$8</f>
        <v>3.0980784142626453E-2</v>
      </c>
      <c r="AI99" s="3">
        <f>(AT99-Pool!$D$9)/Pool!$E$9</f>
        <v>0.46811625506437171</v>
      </c>
      <c r="AJ99" s="3">
        <f>-(T99-Pool!$D$10)/Pool!$E$10</f>
        <v>1.0851116942350585</v>
      </c>
      <c r="AL99">
        <f>MATCH(B99,'Player Data'!$A:$A,0)</f>
        <v>109</v>
      </c>
      <c r="AM99" s="3">
        <f>1+IF(Settings!$F$10="ON",IFERROR(VLOOKUP(TRIM(F99),Settings!$D$12:$F$17,3,FALSE),0),0)</f>
        <v>1</v>
      </c>
      <c r="AN99" t="str">
        <f t="shared" si="11"/>
        <v>PF</v>
      </c>
      <c r="AO99" s="6">
        <f>X99*(U99-Pool!$B$12)</f>
        <v>3.9660013108379304</v>
      </c>
      <c r="AP99" s="6">
        <f>Z99*(V99-Pool!$B$13)</f>
        <v>12.195397093983386</v>
      </c>
      <c r="AQ99" s="3">
        <f>Settings!$B$2*(N99-Pool!$B$2)/Pool!$C$2+Settings!$B$3*(O99-Pool!$B$3)/Pool!$C$3+Settings!$B$4*(P99-Pool!$B$4)/Pool!$C$4+Settings!$B$5*(Q99-Pool!$B$5)/Pool!$C$5+Settings!$B$6*(R99-Pool!$B$6)/Pool!$C$6+Settings!$B$7*(S99-Pool!$B$7)/Pool!$C$7+Settings!$B$8*(AO99-Pool!$B$8)/Pool!$C$8+Settings!$B$9*(AP99-Pool!$B$9)/Pool!$C$9+Settings!$B$10*-(T99-Pool!$B$10)/Pool!$C$10</f>
        <v>0.92547483162911059</v>
      </c>
      <c r="AR99">
        <f>IF(RANK(AQ99,$AQ$2:$AQ$266)&lt;=Settings!$F$5,1,0)</f>
        <v>1</v>
      </c>
      <c r="AS99" s="6">
        <f>X99*(U99-Pool!$D$12)</f>
        <v>1.4166152170309125</v>
      </c>
      <c r="AT99" s="6">
        <f>Z99*(V99-Pool!$D$13)</f>
        <v>10.443948892257461</v>
      </c>
    </row>
    <row r="100" spans="1:46" x14ac:dyDescent="0.2">
      <c r="A100">
        <f t="shared" si="6"/>
        <v>99</v>
      </c>
      <c r="B100" t="s">
        <v>141</v>
      </c>
      <c r="C100" t="str">
        <f>INDEX('Player Data'!$C:$C,AL100)</f>
        <v>C,PF</v>
      </c>
      <c r="D100">
        <f t="shared" si="7"/>
        <v>18</v>
      </c>
      <c r="E100" t="str">
        <f>INDEX('Player Data'!$B:$B,AL100)</f>
        <v>WAS</v>
      </c>
      <c r="F100" s="2"/>
      <c r="G100" s="3">
        <f>Settings!$B$2*AB100+Settings!$B$3*AC100+Settings!$B$4*AD100+Settings!$B$5*AE100+Settings!$B$6*AF100+Settings!$B$7*AG100+Settings!$B$8*AH100+Settings!$B$9*AI100+Settings!$B$10*AJ100</f>
        <v>-1.3092439484834058</v>
      </c>
      <c r="H100" s="3">
        <f>G100-LARGE($G$2:$G$266,Settings!$F$4)</f>
        <v>1.9070208179637593</v>
      </c>
      <c r="I100">
        <f>IF(INDEX('Player Data'!$R:$R,AL100)="","",INDEX('Player Data'!$R:$R,AL100))</f>
        <v>61</v>
      </c>
      <c r="J100" s="4">
        <f t="shared" si="8"/>
        <v>-38</v>
      </c>
      <c r="L100" s="5">
        <f>IF(Settings!$F$7="Yes",INDEX('Minutes &amp; Health'!$O:$O,AL100),Settings!$F$8)</f>
        <v>72</v>
      </c>
      <c r="M100" s="6">
        <f>INDEX('Minutes &amp; Health'!$P:$P,AL100)</f>
        <v>28</v>
      </c>
      <c r="N100" s="5">
        <f>INDEX('Player Data'!$F:$F,AL100)/INDEX('Player Data'!$E:$E,AL100)*M100*L100*AM100</f>
        <v>1086.3833580980684</v>
      </c>
      <c r="O100" s="5">
        <f>INDEX('Player Data'!$G:$G,AL100)/INDEX('Player Data'!$E:$E,AL100)*M100*L100*AM100</f>
        <v>498.25854383358103</v>
      </c>
      <c r="P100" s="5">
        <f>INDEX('Player Data'!$H:$H,AL100)/INDEX('Player Data'!$E:$E,AL100)*M100*L100*AM100</f>
        <v>182.72808320950963</v>
      </c>
      <c r="Q100" s="5">
        <f>INDEX('Player Data'!$I:$I,AL100)/INDEX('Player Data'!$E:$E,AL100)*M100*L100*AM100</f>
        <v>51.922734026745914</v>
      </c>
      <c r="R100" s="5">
        <f>INDEX('Player Data'!$J:$J,AL100)/INDEX('Player Data'!$E:$E,AL100)*M100*L100*AM100</f>
        <v>128.80832095096582</v>
      </c>
      <c r="S100" s="5">
        <f>INDEX('Player Data'!$K:$K,AL100)/INDEX('Player Data'!$E:$E,AL100)*M100*L100*AM100</f>
        <v>81.878157503714704</v>
      </c>
      <c r="T100" s="5">
        <f>INDEX('Player Data'!$L:$L,AL100)/INDEX('Player Data'!$E:$E,AL100)*M100*L100*AM100</f>
        <v>123.81575037147101</v>
      </c>
      <c r="U100" s="7">
        <f>INDEX('Player Data'!$M:$M,AL100)</f>
        <v>0.45800000000000002</v>
      </c>
      <c r="V100" s="7">
        <f>INDEX('Player Data'!$N:$N,AL100)</f>
        <v>0.68500000000000005</v>
      </c>
      <c r="W100" s="5">
        <f t="shared" si="9"/>
        <v>423.93514413075775</v>
      </c>
      <c r="X100" s="5">
        <f>INDEX('Player Data'!$O:$O,AL100)/INDEX('Player Data'!$E:$E,AL100)*M100*L100*AM100</f>
        <v>925.6225854383357</v>
      </c>
      <c r="Y100" s="5">
        <f t="shared" si="10"/>
        <v>156.63191679049035</v>
      </c>
      <c r="Z100" s="5">
        <f>INDEX('Player Data'!$P:$P,AL100)/INDEX('Player Data'!$E:$E,AL100)*M100*L100*AM100</f>
        <v>228.6597325408618</v>
      </c>
      <c r="AB100" s="3">
        <f>(N100-Pool!$D$2)/Pool!$E$2</f>
        <v>-0.37713055692516928</v>
      </c>
      <c r="AC100" s="3">
        <f>(O100-Pool!$D$3)/Pool!$E$3</f>
        <v>0.40064755123885876</v>
      </c>
      <c r="AD100" s="3">
        <f>(P100-Pool!$D$4)/Pool!$E$4</f>
        <v>-0.65830522698175475</v>
      </c>
      <c r="AE100" s="3">
        <f>(Q100-Pool!$D$5)/Pool!$E$5</f>
        <v>-0.98448589602815662</v>
      </c>
      <c r="AF100" s="3">
        <f>(R100-Pool!$D$6)/Pool!$E$6</f>
        <v>2.2711007591254559</v>
      </c>
      <c r="AG100" s="3">
        <f>(S100-Pool!$D$7)/Pool!$E$7</f>
        <v>-0.58498303679296415</v>
      </c>
      <c r="AH100" s="3">
        <f>(AS100-Pool!$D$8)/Pool!$E$8</f>
        <v>-0.5278072246495995</v>
      </c>
      <c r="AI100" s="3">
        <f>(AT100-Pool!$D$9)/Pool!$E$9</f>
        <v>-1.1800461203745867</v>
      </c>
      <c r="AJ100" s="3">
        <f>-(T100-Pool!$D$10)/Pool!$E$10</f>
        <v>0.33176580290451052</v>
      </c>
      <c r="AL100">
        <f>MATCH(B100,'Player Data'!$A:$A,0)</f>
        <v>95</v>
      </c>
      <c r="AM100" s="3">
        <f>1+IF(Settings!$F$10="ON",IFERROR(VLOOKUP(TRIM(F100),Settings!$D$12:$F$17,3,FALSE),0),0)</f>
        <v>1</v>
      </c>
      <c r="AN100" t="str">
        <f t="shared" si="11"/>
        <v>C</v>
      </c>
      <c r="AO100" s="6">
        <f>X100*(U100-Pool!$B$12)</f>
        <v>-20.925336603341631</v>
      </c>
      <c r="AP100" s="6">
        <f>Z100*(V100-Pool!$B$13)</f>
        <v>-24.032059513721713</v>
      </c>
      <c r="AQ100" s="3">
        <f>Settings!$B$2*(N100-Pool!$B$2)/Pool!$C$2+Settings!$B$3*(O100-Pool!$B$3)/Pool!$C$3+Settings!$B$4*(P100-Pool!$B$4)/Pool!$C$4+Settings!$B$5*(Q100-Pool!$B$5)/Pool!$C$5+Settings!$B$6*(R100-Pool!$B$6)/Pool!$C$6+Settings!$B$7*(S100-Pool!$B$7)/Pool!$C$7+Settings!$B$8*(AO100-Pool!$B$8)/Pool!$C$8+Settings!$B$9*(AP100-Pool!$B$9)/Pool!$C$9+Settings!$B$10*-(T100-Pool!$B$10)/Pool!$C$10</f>
        <v>0.84893668605560968</v>
      </c>
      <c r="AR100">
        <f>IF(RANK(AQ100,$AQ$2:$AQ$266)&lt;=Settings!$F$5,1,0)</f>
        <v>1</v>
      </c>
      <c r="AS100" s="6">
        <f>X100*(U100-Pool!$D$12)</f>
        <v>-24.134306693310226</v>
      </c>
      <c r="AT100" s="6">
        <f>Z100*(V100-Pool!$D$13)</f>
        <v>-26.32752278598791</v>
      </c>
    </row>
    <row r="101" spans="1:46" x14ac:dyDescent="0.2">
      <c r="A101">
        <f t="shared" si="6"/>
        <v>100</v>
      </c>
      <c r="B101" t="s">
        <v>142</v>
      </c>
      <c r="C101" t="str">
        <f>INDEX('Player Data'!$C:$C,AL101)</f>
        <v>C</v>
      </c>
      <c r="D101">
        <f t="shared" si="7"/>
        <v>19</v>
      </c>
      <c r="E101" t="str">
        <f>INDEX('Player Data'!$B:$B,AL101)</f>
        <v>MIL</v>
      </c>
      <c r="F101" s="2"/>
      <c r="G101" s="3">
        <f>Settings!$B$2*AB101+Settings!$B$3*AC101+Settings!$B$4*AD101+Settings!$B$5*AE101+Settings!$B$6*AF101+Settings!$B$7*AG101+Settings!$B$8*AH101+Settings!$B$9*AI101+Settings!$B$10*AJ101</f>
        <v>-1.3665990739532883</v>
      </c>
      <c r="H101" s="3">
        <f>G101-LARGE($G$2:$G$266,Settings!$F$4)</f>
        <v>1.8496656924938768</v>
      </c>
      <c r="I101">
        <f>IF(INDEX('Player Data'!$R:$R,AL101)="","",INDEX('Player Data'!$R:$R,AL101))</f>
        <v>110</v>
      </c>
      <c r="J101" s="4">
        <f t="shared" si="8"/>
        <v>10</v>
      </c>
      <c r="L101" s="5">
        <f>IF(Settings!$F$7="Yes",INDEX('Minutes &amp; Health'!$O:$O,AL101),Settings!$F$8)</f>
        <v>75</v>
      </c>
      <c r="M101" s="6">
        <f>INDEX('Minutes &amp; Health'!$P:$P,AL101)</f>
        <v>27.8</v>
      </c>
      <c r="N101" s="5">
        <f>INDEX('Player Data'!$F:$F,AL101)/INDEX('Player Data'!$E:$E,AL101)*M101*L101*AM101</f>
        <v>924.55656759348028</v>
      </c>
      <c r="O101" s="5">
        <f>INDEX('Player Data'!$G:$G,AL101)/INDEX('Player Data'!$E:$E,AL101)*M101*L101*AM101</f>
        <v>392.81160115052734</v>
      </c>
      <c r="P101" s="5">
        <f>INDEX('Player Data'!$H:$H,AL101)/INDEX('Player Data'!$E:$E,AL101)*M101*L101*AM101</f>
        <v>104.9496644295302</v>
      </c>
      <c r="Q101" s="5">
        <f>INDEX('Player Data'!$I:$I,AL101)/INDEX('Player Data'!$E:$E,AL101)*M101*L101*AM101</f>
        <v>48.976510067114098</v>
      </c>
      <c r="R101" s="5">
        <f>INDEX('Player Data'!$J:$J,AL101)/INDEX('Player Data'!$E:$E,AL101)*M101*L101*AM101</f>
        <v>113.94534995206136</v>
      </c>
      <c r="S101" s="5">
        <f>INDEX('Player Data'!$K:$K,AL101)/INDEX('Player Data'!$E:$E,AL101)*M101*L101*AM101</f>
        <v>146.92953020134229</v>
      </c>
      <c r="T101" s="5">
        <f>INDEX('Player Data'!$L:$L,AL101)/INDEX('Player Data'!$E:$E,AL101)*M101*L101*AM101</f>
        <v>101.95110258868648</v>
      </c>
      <c r="U101" s="7">
        <f>INDEX('Player Data'!$M:$M,AL101)</f>
        <v>0.44900000000000001</v>
      </c>
      <c r="V101" s="7">
        <f>INDEX('Player Data'!$N:$N,AL101)</f>
        <v>0.753</v>
      </c>
      <c r="W101" s="5">
        <f t="shared" si="9"/>
        <v>313.476151725791</v>
      </c>
      <c r="X101" s="5">
        <f>INDEX('Player Data'!$O:$O,AL101)/INDEX('Player Data'!$E:$E,AL101)*M101*L101*AM101</f>
        <v>698.16514860977952</v>
      </c>
      <c r="Y101" s="5">
        <f t="shared" si="10"/>
        <v>150.67833221476511</v>
      </c>
      <c r="Z101" s="5">
        <f>INDEX('Player Data'!$P:$P,AL101)/INDEX('Player Data'!$E:$E,AL101)*M101*L101*AM101</f>
        <v>200.10402684563758</v>
      </c>
      <c r="AB101" s="3">
        <f>(N101-Pool!$D$2)/Pool!$E$2</f>
        <v>-0.77602730884533977</v>
      </c>
      <c r="AC101" s="3">
        <f>(O101-Pool!$D$3)/Pool!$E$3</f>
        <v>-0.21310739863253331</v>
      </c>
      <c r="AD101" s="3">
        <f>(P101-Pool!$D$4)/Pool!$E$4</f>
        <v>-1.1843461557463115</v>
      </c>
      <c r="AE101" s="3">
        <f>(Q101-Pool!$D$5)/Pool!$E$5</f>
        <v>-1.1145562895938625</v>
      </c>
      <c r="AF101" s="3">
        <f>(R101-Pool!$D$6)/Pool!$E$6</f>
        <v>1.8409555911853588</v>
      </c>
      <c r="AG101" s="3">
        <f>(S101-Pool!$D$7)/Pool!$E$7</f>
        <v>0.33122078242378955</v>
      </c>
      <c r="AH101" s="3">
        <f>(AS101-Pool!$D$8)/Pool!$E$8</f>
        <v>-0.53552398735895368</v>
      </c>
      <c r="AI101" s="3">
        <f>(AT101-Pool!$D$9)/Pool!$E$9</f>
        <v>-0.42278535315386045</v>
      </c>
      <c r="AJ101" s="3">
        <f>-(T101-Pool!$D$10)/Pool!$E$10</f>
        <v>0.70757104576842489</v>
      </c>
      <c r="AL101">
        <f>MATCH(B101,'Player Data'!$A:$A,0)</f>
        <v>133</v>
      </c>
      <c r="AM101" s="3">
        <f>1+IF(Settings!$F$10="ON",IFERROR(VLOOKUP(TRIM(F101),Settings!$D$12:$F$17,3,FALSE),0),0)</f>
        <v>1</v>
      </c>
      <c r="AN101" t="str">
        <f t="shared" si="11"/>
        <v>C</v>
      </c>
      <c r="AO101" s="6">
        <f>X101*(U101-Pool!$B$12)</f>
        <v>-22.066745053526486</v>
      </c>
      <c r="AP101" s="6">
        <f>Z101*(V101-Pool!$B$13)</f>
        <v>-7.4237908075179968</v>
      </c>
      <c r="AQ101" s="3">
        <f>Settings!$B$2*(N101-Pool!$B$2)/Pool!$C$2+Settings!$B$3*(O101-Pool!$B$3)/Pool!$C$3+Settings!$B$4*(P101-Pool!$B$4)/Pool!$C$4+Settings!$B$5*(Q101-Pool!$B$5)/Pool!$C$5+Settings!$B$6*(R101-Pool!$B$6)/Pool!$C$6+Settings!$B$7*(S101-Pool!$B$7)/Pool!$C$7+Settings!$B$8*(AO101-Pool!$B$8)/Pool!$C$8+Settings!$B$9*(AP101-Pool!$B$9)/Pool!$C$9+Settings!$B$10*-(T101-Pool!$B$10)/Pool!$C$10</f>
        <v>0.91682474347283693</v>
      </c>
      <c r="AR101">
        <f>IF(RANK(AQ101,$AQ$2:$AQ$266)&lt;=Settings!$F$5,1,0)</f>
        <v>1</v>
      </c>
      <c r="AS101" s="6">
        <f>X101*(U101-Pool!$D$12)</f>
        <v>-24.487160366411601</v>
      </c>
      <c r="AT101" s="6">
        <f>Z101*(V101-Pool!$D$13)</f>
        <v>-9.4325898170884575</v>
      </c>
    </row>
    <row r="102" spans="1:46" x14ac:dyDescent="0.2">
      <c r="A102">
        <f t="shared" si="6"/>
        <v>101</v>
      </c>
      <c r="B102" t="s">
        <v>143</v>
      </c>
      <c r="C102" t="str">
        <f>INDEX('Player Data'!$C:$C,AL102)</f>
        <v>C</v>
      </c>
      <c r="D102">
        <f t="shared" si="7"/>
        <v>20</v>
      </c>
      <c r="E102" t="str">
        <f>INDEX('Player Data'!$B:$B,AL102)</f>
        <v>MEM</v>
      </c>
      <c r="F102" s="2"/>
      <c r="G102" s="3">
        <f>Settings!$B$2*AB102+Settings!$B$3*AC102+Settings!$B$4*AD102+Settings!$B$5*AE102+Settings!$B$6*AF102+Settings!$B$7*AG102+Settings!$B$8*AH102+Settings!$B$9*AI102+Settings!$B$10*AJ102</f>
        <v>-1.3755666468423353</v>
      </c>
      <c r="H102" s="3">
        <f>G102-LARGE($G$2:$G$266,Settings!$F$4)</f>
        <v>1.8406981196048298</v>
      </c>
      <c r="I102">
        <f>IF(INDEX('Player Data'!$R:$R,AL102)="","",INDEX('Player Data'!$R:$R,AL102))</f>
        <v>72</v>
      </c>
      <c r="J102" s="4">
        <f t="shared" si="8"/>
        <v>-29</v>
      </c>
      <c r="L102" s="5">
        <f>IF(Settings!$F$7="Yes",INDEX('Minutes &amp; Health'!$O:$O,AL102),Settings!$F$8)</f>
        <v>70</v>
      </c>
      <c r="M102" s="6">
        <f>INDEX('Minutes &amp; Health'!$P:$P,AL102)</f>
        <v>25.9</v>
      </c>
      <c r="N102" s="5">
        <f>INDEX('Player Data'!$F:$F,AL102)/INDEX('Player Data'!$E:$E,AL102)*M102*L102*AM102</f>
        <v>800.99999999999989</v>
      </c>
      <c r="O102" s="5">
        <f>INDEX('Player Data'!$G:$G,AL102)/INDEX('Player Data'!$E:$E,AL102)*M102*L102*AM102</f>
        <v>642</v>
      </c>
      <c r="P102" s="5">
        <f>INDEX('Player Data'!$H:$H,AL102)/INDEX('Player Data'!$E:$E,AL102)*M102*L102*AM102</f>
        <v>83</v>
      </c>
      <c r="Q102" s="5">
        <f>INDEX('Player Data'!$I:$I,AL102)/INDEX('Player Data'!$E:$E,AL102)*M102*L102*AM102</f>
        <v>44</v>
      </c>
      <c r="R102" s="5">
        <f>INDEX('Player Data'!$J:$J,AL102)/INDEX('Player Data'!$E:$E,AL102)*M102*L102*AM102</f>
        <v>106</v>
      </c>
      <c r="S102" s="5">
        <f>INDEX('Player Data'!$K:$K,AL102)/INDEX('Player Data'!$E:$E,AL102)*M102*L102*AM102</f>
        <v>17</v>
      </c>
      <c r="T102" s="5">
        <f>INDEX('Player Data'!$L:$L,AL102)/INDEX('Player Data'!$E:$E,AL102)*M102*L102*AM102</f>
        <v>131</v>
      </c>
      <c r="U102" s="7">
        <f>INDEX('Player Data'!$M:$M,AL102)</f>
        <v>0.59499999999999997</v>
      </c>
      <c r="V102" s="7">
        <f>INDEX('Player Data'!$N:$N,AL102)</f>
        <v>0.73599999999999999</v>
      </c>
      <c r="W102" s="5">
        <f t="shared" si="9"/>
        <v>326.06</v>
      </c>
      <c r="X102" s="5">
        <f>INDEX('Player Data'!$O:$O,AL102)/INDEX('Player Data'!$E:$E,AL102)*M102*L102*AM102</f>
        <v>548</v>
      </c>
      <c r="Y102" s="5">
        <f t="shared" si="10"/>
        <v>131.8912</v>
      </c>
      <c r="Z102" s="5">
        <f>INDEX('Player Data'!$P:$P,AL102)/INDEX('Player Data'!$E:$E,AL102)*M102*L102*AM102</f>
        <v>179.20000000000002</v>
      </c>
      <c r="AB102" s="3">
        <f>(N102-Pool!$D$2)/Pool!$E$2</f>
        <v>-1.080589448017512</v>
      </c>
      <c r="AC102" s="3">
        <f>(O102-Pool!$D$3)/Pool!$E$3</f>
        <v>1.2372960872617005</v>
      </c>
      <c r="AD102" s="3">
        <f>(P102-Pool!$D$4)/Pool!$E$4</f>
        <v>-1.3327989276552275</v>
      </c>
      <c r="AE102" s="3">
        <f>(Q102-Pool!$D$5)/Pool!$E$5</f>
        <v>-1.3342600975467787</v>
      </c>
      <c r="AF102" s="3">
        <f>(R102-Pool!$D$6)/Pool!$E$6</f>
        <v>1.6110113970047881</v>
      </c>
      <c r="AG102" s="3">
        <f>(S102-Pool!$D$7)/Pool!$E$7</f>
        <v>-1.4987472392018293</v>
      </c>
      <c r="AH102" s="3">
        <f>(AS102-Pool!$D$8)/Pool!$E$8</f>
        <v>1.3294010186342915</v>
      </c>
      <c r="AI102" s="3">
        <f>(AT102-Pool!$D$9)/Pool!$E$9</f>
        <v>-0.51516377812972847</v>
      </c>
      <c r="AJ102" s="3">
        <f>-(T102-Pool!$D$10)/Pool!$E$10</f>
        <v>0.20828434080796054</v>
      </c>
      <c r="AL102">
        <f>MATCH(B102,'Player Data'!$A:$A,0)</f>
        <v>149</v>
      </c>
      <c r="AM102" s="3">
        <f>1+IF(Settings!$F$10="ON",IFERROR(VLOOKUP(TRIM(F102),Settings!$D$12:$F$17,3,FALSE),0),0)</f>
        <v>1</v>
      </c>
      <c r="AN102" t="str">
        <f t="shared" si="11"/>
        <v>C</v>
      </c>
      <c r="AO102" s="6">
        <f>X102*(U102-Pool!$B$12)</f>
        <v>62.687490213151065</v>
      </c>
      <c r="AP102" s="6">
        <f>Z102*(V102-Pool!$B$13)</f>
        <v>-9.6946585766925484</v>
      </c>
      <c r="AQ102" s="3">
        <f>Settings!$B$2*(N102-Pool!$B$2)/Pool!$C$2+Settings!$B$3*(O102-Pool!$B$3)/Pool!$C$3+Settings!$B$4*(P102-Pool!$B$4)/Pool!$C$4+Settings!$B$5*(Q102-Pool!$B$5)/Pool!$C$5+Settings!$B$6*(R102-Pool!$B$6)/Pool!$C$6+Settings!$B$7*(S102-Pool!$B$7)/Pool!$C$7+Settings!$B$8*(AO102-Pool!$B$8)/Pool!$C$8+Settings!$B$9*(AP102-Pool!$B$9)/Pool!$C$9+Settings!$B$10*-(T102-Pool!$B$10)/Pool!$C$10</f>
        <v>1.2013797694680821</v>
      </c>
      <c r="AR102">
        <f>IF(RANK(AQ102,$AQ$2:$AQ$266)&lt;=Settings!$F$5,1,0)</f>
        <v>1</v>
      </c>
      <c r="AS102" s="6">
        <f>X102*(U102-Pool!$D$12)</f>
        <v>60.78767095963746</v>
      </c>
      <c r="AT102" s="6">
        <f>Z102*(V102-Pool!$D$13)</f>
        <v>-11.493606794724744</v>
      </c>
    </row>
    <row r="103" spans="1:46" x14ac:dyDescent="0.2">
      <c r="A103">
        <f t="shared" si="6"/>
        <v>102</v>
      </c>
      <c r="B103" t="s">
        <v>144</v>
      </c>
      <c r="C103" t="str">
        <f>INDEX('Player Data'!$C:$C,AL103)</f>
        <v>PG,SG</v>
      </c>
      <c r="D103">
        <f t="shared" si="7"/>
        <v>41</v>
      </c>
      <c r="E103" t="str">
        <f>INDEX('Player Data'!$B:$B,AL103)</f>
        <v>ATL</v>
      </c>
      <c r="F103" s="2"/>
      <c r="G103" s="3">
        <f>Settings!$B$2*AB103+Settings!$B$3*AC103+Settings!$B$4*AD103+Settings!$B$5*AE103+Settings!$B$6*AF103+Settings!$B$7*AG103+Settings!$B$8*AH103+Settings!$B$9*AI103+Settings!$B$10*AJ103</f>
        <v>-1.4497468912455123</v>
      </c>
      <c r="H103" s="3">
        <f>G103-LARGE($G$2:$G$266,Settings!$F$4)</f>
        <v>1.7665178752016528</v>
      </c>
      <c r="I103">
        <f>IF(INDEX('Player Data'!$R:$R,AL103)="","",INDEX('Player Data'!$R:$R,AL103))</f>
        <v>140</v>
      </c>
      <c r="J103" s="4">
        <f t="shared" si="8"/>
        <v>38</v>
      </c>
      <c r="L103" s="5">
        <f>IF(Settings!$F$7="Yes",INDEX('Minutes &amp; Health'!$O:$O,AL103),Settings!$F$8)</f>
        <v>76</v>
      </c>
      <c r="M103" s="6">
        <f>INDEX('Minutes &amp; Health'!$P:$P,AL103)</f>
        <v>30.7</v>
      </c>
      <c r="N103" s="5">
        <f>INDEX('Player Data'!$F:$F,AL103)/INDEX('Player Data'!$E:$E,AL103)*M103*L103*AM103</f>
        <v>1433.893790149893</v>
      </c>
      <c r="O103" s="5">
        <f>INDEX('Player Data'!$G:$G,AL103)/INDEX('Player Data'!$E:$E,AL103)*M103*L103*AM103</f>
        <v>244.81113490364027</v>
      </c>
      <c r="P103" s="5">
        <f>INDEX('Player Data'!$H:$H,AL103)/INDEX('Player Data'!$E:$E,AL103)*M103*L103*AM103</f>
        <v>298.76950749464663</v>
      </c>
      <c r="Q103" s="5">
        <f>INDEX('Player Data'!$I:$I,AL103)/INDEX('Player Data'!$E:$E,AL103)*M103*L103*AM103</f>
        <v>60.952976445396139</v>
      </c>
      <c r="R103" s="5">
        <f>INDEX('Player Data'!$J:$J,AL103)/INDEX('Player Data'!$E:$E,AL103)*M103*L103*AM103</f>
        <v>34.973019271948608</v>
      </c>
      <c r="S103" s="5">
        <f>INDEX('Player Data'!$K:$K,AL103)/INDEX('Player Data'!$E:$E,AL103)*M103*L103*AM103</f>
        <v>199.84582441113488</v>
      </c>
      <c r="T103" s="5">
        <f>INDEX('Player Data'!$L:$L,AL103)/INDEX('Player Data'!$E:$E,AL103)*M103*L103*AM103</f>
        <v>133.89670235546041</v>
      </c>
      <c r="U103" s="7">
        <f>INDEX('Player Data'!$M:$M,AL103)</f>
        <v>0.45700000000000002</v>
      </c>
      <c r="V103" s="7">
        <f>INDEX('Player Data'!$N:$N,AL103)</f>
        <v>0.754</v>
      </c>
      <c r="W103" s="5">
        <f t="shared" si="9"/>
        <v>524.82521170021403</v>
      </c>
      <c r="X103" s="5">
        <f>INDEX('Player Data'!$O:$O,AL103)/INDEX('Player Data'!$E:$E,AL103)*M103*L103*AM103</f>
        <v>1148.4140299785865</v>
      </c>
      <c r="Y103" s="5">
        <f t="shared" si="10"/>
        <v>184.43691196573877</v>
      </c>
      <c r="Z103" s="5">
        <f>INDEX('Player Data'!$P:$P,AL103)/INDEX('Player Data'!$E:$E,AL103)*M103*L103*AM103</f>
        <v>244.61128907922915</v>
      </c>
      <c r="AB103" s="3">
        <f>(N103-Pool!$D$2)/Pool!$E$2</f>
        <v>0.47946915794044687</v>
      </c>
      <c r="AC103" s="3">
        <f>(O103-Pool!$D$3)/Pool!$E$3</f>
        <v>-1.0745455440259988</v>
      </c>
      <c r="AD103" s="3">
        <f>(P103-Pool!$D$4)/Pool!$E$4</f>
        <v>0.12652094412868362</v>
      </c>
      <c r="AE103" s="3">
        <f>(Q103-Pool!$D$5)/Pool!$E$5</f>
        <v>-0.58581722674805514</v>
      </c>
      <c r="AF103" s="3">
        <f>(R103-Pool!$D$6)/Pool!$E$6</f>
        <v>-0.44456097515402615</v>
      </c>
      <c r="AG103" s="3">
        <f>(S103-Pool!$D$7)/Pool!$E$7</f>
        <v>1.0765103719173792</v>
      </c>
      <c r="AH103" s="3">
        <f>(AS103-Pool!$D$8)/Pool!$E$8</f>
        <v>-0.67996238862631531</v>
      </c>
      <c r="AI103" s="3">
        <f>(AT103-Pool!$D$9)/Pool!$E$9</f>
        <v>-0.50585762415558777</v>
      </c>
      <c r="AJ103" s="3">
        <f>-(T103-Pool!$D$10)/Pool!$E$10</f>
        <v>0.15849639347796085</v>
      </c>
      <c r="AL103">
        <f>MATCH(B103,'Player Data'!$A:$A,0)</f>
        <v>59</v>
      </c>
      <c r="AM103" s="3">
        <f>1+IF(Settings!$F$10="ON",IFERROR(VLOOKUP(TRIM(F103),Settings!$D$12:$F$17,3,FALSE),0),0)</f>
        <v>1</v>
      </c>
      <c r="AN103" t="str">
        <f t="shared" si="11"/>
        <v>PG</v>
      </c>
      <c r="AO103" s="6">
        <f>X103*(U103-Pool!$B$12)</f>
        <v>-27.110345507614202</v>
      </c>
      <c r="AP103" s="6">
        <f>Z103*(V103-Pool!$B$13)</f>
        <v>-8.8303836918181169</v>
      </c>
      <c r="AQ103" s="3">
        <f>Settings!$B$2*(N103-Pool!$B$2)/Pool!$C$2+Settings!$B$3*(O103-Pool!$B$3)/Pool!$C$3+Settings!$B$4*(P103-Pool!$B$4)/Pool!$C$4+Settings!$B$5*(Q103-Pool!$B$5)/Pool!$C$5+Settings!$B$6*(R103-Pool!$B$6)/Pool!$C$6+Settings!$B$7*(S103-Pool!$B$7)/Pool!$C$7+Settings!$B$8*(AO103-Pool!$B$8)/Pool!$C$8+Settings!$B$9*(AP103-Pool!$B$9)/Pool!$C$9+Settings!$B$10*-(T103-Pool!$B$10)/Pool!$C$10</f>
        <v>0.45674416905911036</v>
      </c>
      <c r="AR103">
        <f>IF(RANK(AQ103,$AQ$2:$AQ$266)&lt;=Settings!$F$5,1,0)</f>
        <v>1</v>
      </c>
      <c r="AS103" s="6">
        <f>X103*(U103-Pool!$D$12)</f>
        <v>-31.091694203158848</v>
      </c>
      <c r="AT103" s="6">
        <f>Z103*(V103-Pool!$D$13)</f>
        <v>-11.285981027753596</v>
      </c>
    </row>
    <row r="104" spans="1:46" x14ac:dyDescent="0.2">
      <c r="A104">
        <f t="shared" si="6"/>
        <v>103</v>
      </c>
      <c r="B104" t="s">
        <v>145</v>
      </c>
      <c r="C104" t="str">
        <f>INDEX('Player Data'!$C:$C,AL104)</f>
        <v>SF,PF</v>
      </c>
      <c r="D104">
        <f t="shared" si="7"/>
        <v>12</v>
      </c>
      <c r="E104" t="str">
        <f>INDEX('Player Data'!$B:$B,AL104)</f>
        <v>CLE</v>
      </c>
      <c r="F104" s="2"/>
      <c r="G104" s="3">
        <f>Settings!$B$2*AB104+Settings!$B$3*AC104+Settings!$B$4*AD104+Settings!$B$5*AE104+Settings!$B$6*AF104+Settings!$B$7*AG104+Settings!$B$8*AH104+Settings!$B$9*AI104+Settings!$B$10*AJ104</f>
        <v>-1.4802793176638818</v>
      </c>
      <c r="H104" s="3">
        <f>G104-LARGE($G$2:$G$266,Settings!$F$4)</f>
        <v>1.7359854487832833</v>
      </c>
      <c r="I104">
        <f>IF(INDEX('Player Data'!$R:$R,AL104)="","",INDEX('Player Data'!$R:$R,AL104))</f>
        <v>154</v>
      </c>
      <c r="J104" s="4">
        <f t="shared" si="8"/>
        <v>51</v>
      </c>
      <c r="L104" s="5">
        <f>IF(Settings!$F$7="Yes",INDEX('Minutes &amp; Health'!$O:$O,AL104),Settings!$F$8)</f>
        <v>75</v>
      </c>
      <c r="M104" s="6">
        <f>INDEX('Minutes &amp; Health'!$P:$P,AL104)</f>
        <v>29.3</v>
      </c>
      <c r="N104" s="5">
        <f>INDEX('Player Data'!$F:$F,AL104)/INDEX('Player Data'!$E:$E,AL104)*M104*L104*AM104</f>
        <v>956.9113636363636</v>
      </c>
      <c r="O104" s="5">
        <f>INDEX('Player Data'!$G:$G,AL104)/INDEX('Player Data'!$E:$E,AL104)*M104*L104*AM104</f>
        <v>355.59545454545452</v>
      </c>
      <c r="P104" s="5">
        <f>INDEX('Player Data'!$H:$H,AL104)/INDEX('Player Data'!$E:$E,AL104)*M104*L104*AM104</f>
        <v>141.83863636363637</v>
      </c>
      <c r="Q104" s="5">
        <f>INDEX('Player Data'!$I:$I,AL104)/INDEX('Player Data'!$E:$E,AL104)*M104*L104*AM104</f>
        <v>71.918181818181822</v>
      </c>
      <c r="R104" s="5">
        <f>INDEX('Player Data'!$J:$J,AL104)/INDEX('Player Data'!$E:$E,AL104)*M104*L104*AM104</f>
        <v>95.890909090909105</v>
      </c>
      <c r="S104" s="5">
        <f>INDEX('Player Data'!$K:$K,AL104)/INDEX('Player Data'!$E:$E,AL104)*M104*L104*AM104</f>
        <v>100.88522727272726</v>
      </c>
      <c r="T104" s="5">
        <f>INDEX('Player Data'!$L:$L,AL104)/INDEX('Player Data'!$E:$E,AL104)*M104*L104*AM104</f>
        <v>108.87613636363638</v>
      </c>
      <c r="U104" s="7">
        <f>INDEX('Player Data'!$M:$M,AL104)</f>
        <v>0.47899999999999998</v>
      </c>
      <c r="V104" s="7">
        <f>INDEX('Player Data'!$N:$N,AL104)</f>
        <v>0.71699999999999997</v>
      </c>
      <c r="W104" s="5">
        <f t="shared" si="9"/>
        <v>348.4592730681818</v>
      </c>
      <c r="X104" s="5">
        <f>INDEX('Player Data'!$O:$O,AL104)/INDEX('Player Data'!$E:$E,AL104)*M104*L104*AM104</f>
        <v>727.47238636363636</v>
      </c>
      <c r="Y104" s="5">
        <f t="shared" si="10"/>
        <v>159.0647389772727</v>
      </c>
      <c r="Z104" s="5">
        <f>INDEX('Player Data'!$P:$P,AL104)/INDEX('Player Data'!$E:$E,AL104)*M104*L104*AM104</f>
        <v>221.8476136363636</v>
      </c>
      <c r="AB104" s="3">
        <f>(N104-Pool!$D$2)/Pool!$E$2</f>
        <v>-0.69627399352404362</v>
      </c>
      <c r="AC104" s="3">
        <f>(O104-Pool!$D$3)/Pool!$E$3</f>
        <v>-0.42972433993787573</v>
      </c>
      <c r="AD104" s="3">
        <f>(P104-Pool!$D$4)/Pool!$E$4</f>
        <v>-0.93485395261628534</v>
      </c>
      <c r="AE104" s="3">
        <f>(Q104-Pool!$D$5)/Pool!$E$5</f>
        <v>-0.10172348577350174</v>
      </c>
      <c r="AF104" s="3">
        <f>(R104-Pool!$D$6)/Pool!$E$6</f>
        <v>1.3184469691300968</v>
      </c>
      <c r="AG104" s="3">
        <f>(S104-Pool!$D$7)/Pool!$E$7</f>
        <v>-0.3172815388486524</v>
      </c>
      <c r="AH104" s="3">
        <f>(AS104-Pool!$D$8)/Pool!$E$8</f>
        <v>-8.0718420219128853E-2</v>
      </c>
      <c r="AI104" s="3">
        <f>(AT104-Pool!$D$9)/Pool!$E$9</f>
        <v>-0.82669549038376511</v>
      </c>
      <c r="AJ104" s="3">
        <f>-(T104-Pool!$D$10)/Pool!$E$10</f>
        <v>0.58854493450927414</v>
      </c>
      <c r="AL104">
        <f>MATCH(B104,'Player Data'!$A:$A,0)</f>
        <v>126</v>
      </c>
      <c r="AM104" s="3">
        <f>1+IF(Settings!$F$10="ON",IFERROR(VLOOKUP(TRIM(F104),Settings!$D$12:$F$17,3,FALSE),0),0)</f>
        <v>1</v>
      </c>
      <c r="AN104" t="str">
        <f t="shared" si="11"/>
        <v>SF</v>
      </c>
      <c r="AO104" s="6">
        <f>X104*(U104-Pool!$B$12)</f>
        <v>-1.1688805763787014</v>
      </c>
      <c r="AP104" s="6">
        <f>Z104*(V104-Pool!$B$13)</f>
        <v>-16.216984515444409</v>
      </c>
      <c r="AQ104" s="3">
        <f>Settings!$B$2*(N104-Pool!$B$2)/Pool!$C$2+Settings!$B$3*(O104-Pool!$B$3)/Pool!$C$3+Settings!$B$4*(P104-Pool!$B$4)/Pool!$C$4+Settings!$B$5*(Q104-Pool!$B$5)/Pool!$C$5+Settings!$B$6*(R104-Pool!$B$6)/Pool!$C$6+Settings!$B$7*(S104-Pool!$B$7)/Pool!$C$7+Settings!$B$8*(AO104-Pool!$B$8)/Pool!$C$8+Settings!$B$9*(AP104-Pool!$B$9)/Pool!$C$9+Settings!$B$10*-(T104-Pool!$B$10)/Pool!$C$10</f>
        <v>0.62223200025048864</v>
      </c>
      <c r="AR104">
        <f>IF(RANK(AQ104,$AQ$2:$AQ$266)&lt;=Settings!$F$5,1,0)</f>
        <v>1</v>
      </c>
      <c r="AS104" s="6">
        <f>X104*(U104-Pool!$D$12)</f>
        <v>-3.6908989085194355</v>
      </c>
      <c r="AT104" s="6">
        <f>Z104*(V104-Pool!$D$13)</f>
        <v>-18.444062468713561</v>
      </c>
    </row>
    <row r="105" spans="1:46" x14ac:dyDescent="0.2">
      <c r="A105">
        <f t="shared" si="6"/>
        <v>104</v>
      </c>
      <c r="B105" t="s">
        <v>146</v>
      </c>
      <c r="C105" t="str">
        <f>INDEX('Player Data'!$C:$C,AL105)</f>
        <v>C,PF</v>
      </c>
      <c r="D105">
        <f t="shared" si="7"/>
        <v>21</v>
      </c>
      <c r="E105" t="str">
        <f>INDEX('Player Data'!$B:$B,AL105)</f>
        <v>HOU</v>
      </c>
      <c r="F105" s="2"/>
      <c r="G105" s="3">
        <f>Settings!$B$2*AB105+Settings!$B$3*AC105+Settings!$B$4*AD105+Settings!$B$5*AE105+Settings!$B$6*AF105+Settings!$B$7*AG105+Settings!$B$8*AH105+Settings!$B$9*AI105+Settings!$B$10*AJ105</f>
        <v>-1.5444598444694768</v>
      </c>
      <c r="H105" s="3">
        <f>G105-LARGE($G$2:$G$266,Settings!$F$4)</f>
        <v>1.6718049219776883</v>
      </c>
      <c r="I105">
        <f>IF(INDEX('Player Data'!$R:$R,AL105)="","",INDEX('Player Data'!$R:$R,AL105))</f>
        <v>115</v>
      </c>
      <c r="J105" s="4">
        <f t="shared" si="8"/>
        <v>11</v>
      </c>
      <c r="L105" s="5">
        <f>IF(Settings!$F$7="Yes",INDEX('Minutes &amp; Health'!$O:$O,AL105),Settings!$F$8)</f>
        <v>76</v>
      </c>
      <c r="M105" s="6">
        <f>INDEX('Minutes &amp; Health'!$P:$P,AL105)</f>
        <v>32.299999999999997</v>
      </c>
      <c r="N105" s="5">
        <f>INDEX('Player Data'!$F:$F,AL105)/INDEX('Player Data'!$E:$E,AL105)*M105*L105*AM105</f>
        <v>1051.7712189156134</v>
      </c>
      <c r="O105" s="5">
        <f>INDEX('Player Data'!$G:$G,AL105)/INDEX('Player Data'!$E:$E,AL105)*M105*L105*AM105</f>
        <v>507.37203424378305</v>
      </c>
      <c r="P105" s="5">
        <f>INDEX('Player Data'!$H:$H,AL105)/INDEX('Player Data'!$E:$E,AL105)*M105*L105*AM105</f>
        <v>115.08438646555238</v>
      </c>
      <c r="Q105" s="5">
        <f>INDEX('Player Data'!$I:$I,AL105)/INDEX('Player Data'!$E:$E,AL105)*M105*L105*AM105</f>
        <v>44.03228699551569</v>
      </c>
      <c r="R105" s="5">
        <f>INDEX('Player Data'!$J:$J,AL105)/INDEX('Player Data'!$E:$E,AL105)*M105*L105*AM105</f>
        <v>61.044761516510384</v>
      </c>
      <c r="S105" s="5">
        <f>INDEX('Player Data'!$K:$K,AL105)/INDEX('Player Data'!$E:$E,AL105)*M105*L105*AM105</f>
        <v>155.11373827965755</v>
      </c>
      <c r="T105" s="5">
        <f>INDEX('Player Data'!$L:$L,AL105)/INDEX('Player Data'!$E:$E,AL105)*M105*L105*AM105</f>
        <v>93.068242967794518</v>
      </c>
      <c r="U105" s="7">
        <f>INDEX('Player Data'!$M:$M,AL105)</f>
        <v>0.45</v>
      </c>
      <c r="V105" s="7">
        <f>INDEX('Player Data'!$N:$N,AL105)</f>
        <v>0.79</v>
      </c>
      <c r="W105" s="5">
        <f t="shared" si="9"/>
        <v>371.97275173257231</v>
      </c>
      <c r="X105" s="5">
        <f>INDEX('Player Data'!$O:$O,AL105)/INDEX('Player Data'!$E:$E,AL105)*M105*L105*AM105</f>
        <v>826.60611496127183</v>
      </c>
      <c r="Y105" s="5">
        <f t="shared" si="10"/>
        <v>152.66093974724828</v>
      </c>
      <c r="Z105" s="5">
        <f>INDEX('Player Data'!$P:$P,AL105)/INDEX('Player Data'!$E:$E,AL105)*M105*L105*AM105</f>
        <v>193.24169588259275</v>
      </c>
      <c r="AB105" s="3">
        <f>(N105-Pool!$D$2)/Pool!$E$2</f>
        <v>-0.46244813539187379</v>
      </c>
      <c r="AC105" s="3">
        <f>(O105-Pool!$D$3)/Pool!$E$3</f>
        <v>0.45369271032592134</v>
      </c>
      <c r="AD105" s="3">
        <f>(P105-Pool!$D$4)/Pool!$E$4</f>
        <v>-1.115801710176122</v>
      </c>
      <c r="AE105" s="3">
        <f>(Q105-Pool!$D$5)/Pool!$E$5</f>
        <v>-1.3328346858091371</v>
      </c>
      <c r="AF105" s="3">
        <f>(R105-Pool!$D$6)/Pool!$E$6</f>
        <v>0.30997416772585773</v>
      </c>
      <c r="AG105" s="3">
        <f>(S105-Pool!$D$7)/Pool!$E$7</f>
        <v>0.44648972122806663</v>
      </c>
      <c r="AH105" s="3">
        <f>(AS105-Pool!$D$8)/Pool!$E$8</f>
        <v>-0.61596643908764215</v>
      </c>
      <c r="AI105" s="3">
        <f>(AT105-Pool!$D$9)/Pool!$E$9</f>
        <v>-8.7813353837558825E-2</v>
      </c>
      <c r="AJ105" s="3">
        <f>-(T105-Pool!$D$10)/Pool!$E$10</f>
        <v>0.86024788055301116</v>
      </c>
      <c r="AL105">
        <f>MATCH(B105,'Player Data'!$A:$A,0)</f>
        <v>111</v>
      </c>
      <c r="AM105" s="3">
        <f>1+IF(Settings!$F$10="ON",IFERROR(VLOOKUP(TRIM(F105),Settings!$D$12:$F$17,3,FALSE),0),0)</f>
        <v>1</v>
      </c>
      <c r="AN105" t="str">
        <f t="shared" si="11"/>
        <v>C</v>
      </c>
      <c r="AO105" s="6">
        <f>X105*(U105-Pool!$B$12)</f>
        <v>-25.299742980031187</v>
      </c>
      <c r="AP105" s="6">
        <f>Z105*(V105-Pool!$B$13)</f>
        <v>-1.9257933293054627E-2</v>
      </c>
      <c r="AQ105" s="3">
        <f>Settings!$B$2*(N105-Pool!$B$2)/Pool!$C$2+Settings!$B$3*(O105-Pool!$B$3)/Pool!$C$3+Settings!$B$4*(P105-Pool!$B$4)/Pool!$C$4+Settings!$B$5*(Q105-Pool!$B$5)/Pool!$C$5+Settings!$B$6*(R105-Pool!$B$6)/Pool!$C$6+Settings!$B$7*(S105-Pool!$B$7)/Pool!$C$7+Settings!$B$8*(AO105-Pool!$B$8)/Pool!$C$8+Settings!$B$9*(AP105-Pool!$B$9)/Pool!$C$9+Settings!$B$10*-(T105-Pool!$B$10)/Pool!$C$10</f>
        <v>0.63123735797622516</v>
      </c>
      <c r="AR105">
        <f>IF(RANK(AQ105,$AQ$2:$AQ$266)&lt;=Settings!$F$5,1,0)</f>
        <v>1</v>
      </c>
      <c r="AS105" s="6">
        <f>X105*(U105-Pool!$D$12)</f>
        <v>-28.165440447687214</v>
      </c>
      <c r="AT105" s="6">
        <f>Z105*(V105-Pool!$D$13)</f>
        <v>-1.959167556381838</v>
      </c>
    </row>
    <row r="106" spans="1:46" x14ac:dyDescent="0.2">
      <c r="A106">
        <f t="shared" si="6"/>
        <v>105</v>
      </c>
      <c r="B106" t="s">
        <v>147</v>
      </c>
      <c r="C106" t="str">
        <f>INDEX('Player Data'!$C:$C,AL106)</f>
        <v>PF,SF</v>
      </c>
      <c r="D106">
        <f t="shared" si="7"/>
        <v>29</v>
      </c>
      <c r="E106" t="str">
        <f>INDEX('Player Data'!$B:$B,AL106)</f>
        <v>POR</v>
      </c>
      <c r="F106" s="2"/>
      <c r="G106" s="3">
        <f>Settings!$B$2*AB106+Settings!$B$3*AC106+Settings!$B$4*AD106+Settings!$B$5*AE106+Settings!$B$6*AF106+Settings!$B$7*AG106+Settings!$B$8*AH106+Settings!$B$9*AI106+Settings!$B$10*AJ106</f>
        <v>-1.6016807245386913</v>
      </c>
      <c r="H106" s="3">
        <f>G106-LARGE($G$2:$G$266,Settings!$F$4)</f>
        <v>1.6145840419084738</v>
      </c>
      <c r="I106">
        <f>IF(INDEX('Player Data'!$R:$R,AL106)="","",INDEX('Player Data'!$R:$R,AL106))</f>
        <v>172</v>
      </c>
      <c r="J106" s="4">
        <f t="shared" si="8"/>
        <v>67</v>
      </c>
      <c r="L106" s="5">
        <f>IF(Settings!$F$7="Yes",INDEX('Minutes &amp; Health'!$O:$O,AL106),Settings!$F$8)</f>
        <v>77</v>
      </c>
      <c r="M106" s="6">
        <f>INDEX('Minutes &amp; Health'!$P:$P,AL106)</f>
        <v>30.9</v>
      </c>
      <c r="N106" s="5">
        <f>INDEX('Player Data'!$F:$F,AL106)/INDEX('Player Data'!$E:$E,AL106)*M106*L106*AM106</f>
        <v>844.10643127364426</v>
      </c>
      <c r="O106" s="5">
        <f>INDEX('Player Data'!$G:$G,AL106)/INDEX('Player Data'!$E:$E,AL106)*M106*L106*AM106</f>
        <v>390.04918032786878</v>
      </c>
      <c r="P106" s="5">
        <f>INDEX('Player Data'!$H:$H,AL106)/INDEX('Player Data'!$E:$E,AL106)*M106*L106*AM106</f>
        <v>156.01967213114756</v>
      </c>
      <c r="Q106" s="5">
        <f>INDEX('Player Data'!$I:$I,AL106)/INDEX('Player Data'!$E:$E,AL106)*M106*L106*AM106</f>
        <v>92.011601513240862</v>
      </c>
      <c r="R106" s="5">
        <f>INDEX('Player Data'!$J:$J,AL106)/INDEX('Player Data'!$E:$E,AL106)*M106*L106*AM106</f>
        <v>40.005044136191678</v>
      </c>
      <c r="S106" s="5">
        <f>INDEX('Player Data'!$K:$K,AL106)/INDEX('Player Data'!$E:$E,AL106)*M106*L106*AM106</f>
        <v>147.0185372005044</v>
      </c>
      <c r="T106" s="5">
        <f>INDEX('Player Data'!$L:$L,AL106)/INDEX('Player Data'!$E:$E,AL106)*M106*L106*AM106</f>
        <v>111.01399747793189</v>
      </c>
      <c r="U106" s="7">
        <f>INDEX('Player Data'!$M:$M,AL106)</f>
        <v>0.44900000000000001</v>
      </c>
      <c r="V106" s="7">
        <f>INDEX('Player Data'!$N:$N,AL106)</f>
        <v>0.72199999999999998</v>
      </c>
      <c r="W106" s="5">
        <f t="shared" si="9"/>
        <v>306.70567175283725</v>
      </c>
      <c r="X106" s="5">
        <f>INDEX('Player Data'!$O:$O,AL106)/INDEX('Player Data'!$E:$E,AL106)*M106*L106*AM106</f>
        <v>683.08612862547272</v>
      </c>
      <c r="Y106" s="5">
        <f t="shared" si="10"/>
        <v>83.690352307692294</v>
      </c>
      <c r="Z106" s="5">
        <f>INDEX('Player Data'!$P:$P,AL106)/INDEX('Player Data'!$E:$E,AL106)*M106*L106*AM106</f>
        <v>115.91461538461537</v>
      </c>
      <c r="AB106" s="3">
        <f>(N106-Pool!$D$2)/Pool!$E$2</f>
        <v>-0.97433376953367479</v>
      </c>
      <c r="AC106" s="3">
        <f>(O106-Pool!$D$3)/Pool!$E$3</f>
        <v>-0.22918609575161977</v>
      </c>
      <c r="AD106" s="3">
        <f>(P106-Pool!$D$4)/Pool!$E$4</f>
        <v>-0.83894296158563231</v>
      </c>
      <c r="AE106" s="3">
        <f>(Q106-Pool!$D$5)/Pool!$E$5</f>
        <v>0.78536420464900392</v>
      </c>
      <c r="AF106" s="3">
        <f>(R106-Pool!$D$6)/Pool!$E$6</f>
        <v>-0.29893052344500221</v>
      </c>
      <c r="AG106" s="3">
        <f>(S106-Pool!$D$7)/Pool!$E$7</f>
        <v>0.33247438475664731</v>
      </c>
      <c r="AH106" s="3">
        <f>(AS106-Pool!$D$8)/Pool!$E$8</f>
        <v>-0.52395770261451891</v>
      </c>
      <c r="AI106" s="3">
        <f>(AT106-Pool!$D$9)/Pool!$E$9</f>
        <v>-0.40596806140306924</v>
      </c>
      <c r="AJ106" s="3">
        <f>-(T106-Pool!$D$10)/Pool!$E$10</f>
        <v>0.55179980038917498</v>
      </c>
      <c r="AL106">
        <f>MATCH(B106,'Player Data'!$A:$A,0)</f>
        <v>161</v>
      </c>
      <c r="AM106" s="3">
        <f>1+IF(Settings!$F$10="ON",IFERROR(VLOOKUP(TRIM(F106),Settings!$D$12:$F$17,3,FALSE),0),0)</f>
        <v>1</v>
      </c>
      <c r="AN106" t="str">
        <f t="shared" si="11"/>
        <v>PF</v>
      </c>
      <c r="AO106" s="6">
        <f>X106*(U106-Pool!$B$12)</f>
        <v>-21.5901459418216</v>
      </c>
      <c r="AP106" s="6">
        <f>Z106*(V106-Pool!$B$13)</f>
        <v>-7.8937455763359514</v>
      </c>
      <c r="AQ106" s="3">
        <f>Settings!$B$2*(N106-Pool!$B$2)/Pool!$C$2+Settings!$B$3*(O106-Pool!$B$3)/Pool!$C$3+Settings!$B$4*(P106-Pool!$B$4)/Pool!$C$4+Settings!$B$5*(Q106-Pool!$B$5)/Pool!$C$5+Settings!$B$6*(R106-Pool!$B$6)/Pool!$C$6+Settings!$B$7*(S106-Pool!$B$7)/Pool!$C$7+Settings!$B$8*(AO106-Pool!$B$8)/Pool!$C$8+Settings!$B$9*(AP106-Pool!$B$9)/Pool!$C$9+Settings!$B$10*-(T106-Pool!$B$10)/Pool!$C$10</f>
        <v>0.23748485960451876</v>
      </c>
      <c r="AR106">
        <f>IF(RANK(AQ106,$AQ$2:$AQ$266)&lt;=Settings!$F$5,1,0)</f>
        <v>1</v>
      </c>
      <c r="AS106" s="6">
        <f>X106*(U106-Pool!$D$12)</f>
        <v>-23.958284954541931</v>
      </c>
      <c r="AT106" s="6">
        <f>Z106*(V106-Pool!$D$13)</f>
        <v>-9.0573861499410935</v>
      </c>
    </row>
    <row r="107" spans="1:46" x14ac:dyDescent="0.2">
      <c r="A107">
        <f t="shared" si="6"/>
        <v>106</v>
      </c>
      <c r="B107" t="s">
        <v>148</v>
      </c>
      <c r="C107" t="str">
        <f>INDEX('Player Data'!$C:$C,AL107)</f>
        <v>C</v>
      </c>
      <c r="D107">
        <f t="shared" si="7"/>
        <v>22</v>
      </c>
      <c r="E107" t="str">
        <f>INDEX('Player Data'!$B:$B,AL107)</f>
        <v>DAL</v>
      </c>
      <c r="F107" s="2"/>
      <c r="G107" s="3">
        <f>Settings!$B$2*AB107+Settings!$B$3*AC107+Settings!$B$4*AD107+Settings!$B$5*AE107+Settings!$B$6*AF107+Settings!$B$7*AG107+Settings!$B$8*AH107+Settings!$B$9*AI107+Settings!$B$10*AJ107</f>
        <v>-1.6538021727929271</v>
      </c>
      <c r="H107" s="3">
        <f>G107-LARGE($G$2:$G$266,Settings!$F$4)</f>
        <v>1.562462593654238</v>
      </c>
      <c r="I107" t="str">
        <f>IF(INDEX('Player Data'!$R:$R,AL107)="","",INDEX('Player Data'!$R:$R,AL107))</f>
        <v/>
      </c>
      <c r="J107" s="4" t="str">
        <f t="shared" si="8"/>
        <v/>
      </c>
      <c r="L107" s="5">
        <f>IF(Settings!$F$7="Yes",INDEX('Minutes &amp; Health'!$O:$O,AL107),Settings!$F$8)</f>
        <v>72</v>
      </c>
      <c r="M107" s="6">
        <f>INDEX('Minutes &amp; Health'!$P:$P,AL107)</f>
        <v>23.3</v>
      </c>
      <c r="N107" s="5">
        <f>INDEX('Player Data'!$F:$F,AL107)/INDEX('Player Data'!$E:$E,AL107)*M107*L107*AM107</f>
        <v>633.84886769964248</v>
      </c>
      <c r="O107" s="5">
        <f>INDEX('Player Data'!$G:$G,AL107)/INDEX('Player Data'!$E:$E,AL107)*M107*L107*AM107</f>
        <v>486.8839094159714</v>
      </c>
      <c r="P107" s="5">
        <f>INDEX('Player Data'!$H:$H,AL107)/INDEX('Player Data'!$E:$E,AL107)*M107*L107*AM107</f>
        <v>151.96376638855781</v>
      </c>
      <c r="Q107" s="5">
        <f>INDEX('Player Data'!$I:$I,AL107)/INDEX('Player Data'!$E:$E,AL107)*M107*L107*AM107</f>
        <v>41.989988081048871</v>
      </c>
      <c r="R107" s="5">
        <f>INDEX('Player Data'!$J:$J,AL107)/INDEX('Player Data'!$E:$E,AL107)*M107*L107*AM107</f>
        <v>97.976638855780692</v>
      </c>
      <c r="S107" s="5">
        <f>INDEX('Player Data'!$K:$K,AL107)/INDEX('Player Data'!$E:$E,AL107)*M107*L107*AM107</f>
        <v>0</v>
      </c>
      <c r="T107" s="5">
        <f>INDEX('Player Data'!$L:$L,AL107)/INDEX('Player Data'!$E:$E,AL107)*M107*L107*AM107</f>
        <v>71.982836710369497</v>
      </c>
      <c r="U107" s="7">
        <f>INDEX('Player Data'!$M:$M,AL107)</f>
        <v>0.72499999999999998</v>
      </c>
      <c r="V107" s="7">
        <f>INDEX('Player Data'!$N:$N,AL107)</f>
        <v>0.61799999999999999</v>
      </c>
      <c r="W107" s="5">
        <f t="shared" si="9"/>
        <v>276.15915375446963</v>
      </c>
      <c r="X107" s="5">
        <f>INDEX('Player Data'!$O:$O,AL107)/INDEX('Player Data'!$E:$E,AL107)*M107*L107*AM107</f>
        <v>380.90917759237192</v>
      </c>
      <c r="Y107" s="5">
        <f t="shared" si="10"/>
        <v>81.494768724672241</v>
      </c>
      <c r="Z107" s="5">
        <f>INDEX('Player Data'!$P:$P,AL107)/INDEX('Player Data'!$E:$E,AL107)*M107*L107*AM107</f>
        <v>131.868557806913</v>
      </c>
      <c r="AB107" s="3">
        <f>(N107-Pool!$D$2)/Pool!$E$2</f>
        <v>-1.4926104956233526</v>
      </c>
      <c r="AC107" s="3">
        <f>(O107-Pool!$D$3)/Pool!$E$3</f>
        <v>0.33444138158471137</v>
      </c>
      <c r="AD107" s="3">
        <f>(P107-Pool!$D$4)/Pool!$E$4</f>
        <v>-0.8663743809598019</v>
      </c>
      <c r="AE107" s="3">
        <f>(Q107-Pool!$D$5)/Pool!$E$5</f>
        <v>-1.422998443630423</v>
      </c>
      <c r="AF107" s="3">
        <f>(R107-Pool!$D$6)/Pool!$E$6</f>
        <v>1.3788095023042837</v>
      </c>
      <c r="AG107" s="3">
        <f>(S107-Pool!$D$7)/Pool!$E$7</f>
        <v>-1.7381805406185855</v>
      </c>
      <c r="AH107" s="3">
        <f>(AS107-Pool!$D$8)/Pool!$E$8</f>
        <v>2.0069952449116526</v>
      </c>
      <c r="AI107" s="3">
        <f>(AT107-Pool!$D$9)/Pool!$E$9</f>
        <v>-1.0765441149173824</v>
      </c>
      <c r="AJ107" s="3">
        <f>-(T107-Pool!$D$10)/Pool!$E$10</f>
        <v>1.2226596741559705</v>
      </c>
      <c r="AL107">
        <f>MATCH(B107,'Player Data'!$A:$A,0)</f>
        <v>201</v>
      </c>
      <c r="AM107" s="3">
        <f>1+IF(Settings!$F$10="ON",IFERROR(VLOOKUP(TRIM(F107),Settings!$D$12:$F$17,3,FALSE),0),0)</f>
        <v>1</v>
      </c>
      <c r="AN107" t="str">
        <f t="shared" si="11"/>
        <v>C</v>
      </c>
      <c r="AO107" s="6">
        <f>X107*(U107-Pool!$B$12)</f>
        <v>93.091624368798932</v>
      </c>
      <c r="AP107" s="6">
        <f>Z107*(V107-Pool!$B$13)</f>
        <v>-22.694533598776371</v>
      </c>
      <c r="AQ107" s="3">
        <f>Settings!$B$2*(N107-Pool!$B$2)/Pool!$C$2+Settings!$B$3*(O107-Pool!$B$3)/Pool!$C$3+Settings!$B$4*(P107-Pool!$B$4)/Pool!$C$4+Settings!$B$5*(Q107-Pool!$B$5)/Pool!$C$5+Settings!$B$6*(R107-Pool!$B$6)/Pool!$C$6+Settings!$B$7*(S107-Pool!$B$7)/Pool!$C$7+Settings!$B$8*(AO107-Pool!$B$8)/Pool!$C$8+Settings!$B$9*(AP107-Pool!$B$9)/Pool!$C$9+Settings!$B$10*-(T107-Pool!$B$10)/Pool!$C$10</f>
        <v>0.89110369520214538</v>
      </c>
      <c r="AR107">
        <f>IF(RANK(AQ107,$AQ$2:$AQ$266)&lt;=Settings!$F$5,1,0)</f>
        <v>1</v>
      </c>
      <c r="AS107" s="6">
        <f>X107*(U107-Pool!$D$12)</f>
        <v>91.771079497576267</v>
      </c>
      <c r="AT107" s="6">
        <f>Z107*(V107-Pool!$D$13)</f>
        <v>-24.01833218739926</v>
      </c>
    </row>
    <row r="108" spans="1:46" x14ac:dyDescent="0.2">
      <c r="A108">
        <f t="shared" si="6"/>
        <v>107</v>
      </c>
      <c r="B108" t="s">
        <v>149</v>
      </c>
      <c r="C108" t="str">
        <f>INDEX('Player Data'!$C:$C,AL108)</f>
        <v>SG,SF,PF</v>
      </c>
      <c r="D108">
        <f t="shared" si="7"/>
        <v>3</v>
      </c>
      <c r="E108" t="str">
        <f>INDEX('Player Data'!$B:$B,AL108)</f>
        <v>LAC</v>
      </c>
      <c r="F108" s="2"/>
      <c r="G108" s="3">
        <f>Settings!$B$2*AB108+Settings!$B$3*AC108+Settings!$B$4*AD108+Settings!$B$5*AE108+Settings!$B$6*AF108+Settings!$B$7*AG108+Settings!$B$8*AH108+Settings!$B$9*AI108+Settings!$B$10*AJ108</f>
        <v>-1.6559045954852767</v>
      </c>
      <c r="H108" s="3">
        <f>G108-LARGE($G$2:$G$266,Settings!$F$4)</f>
        <v>1.5603601709618884</v>
      </c>
      <c r="I108">
        <f>IF(INDEX('Player Data'!$R:$R,AL108)="","",INDEX('Player Data'!$R:$R,AL108))</f>
        <v>76</v>
      </c>
      <c r="J108" s="4">
        <f t="shared" si="8"/>
        <v>-31</v>
      </c>
      <c r="L108" s="5">
        <f>IF(Settings!$F$7="Yes",INDEX('Minutes &amp; Health'!$O:$O,AL108),Settings!$F$8)</f>
        <v>64</v>
      </c>
      <c r="M108" s="6">
        <f>INDEX('Minutes &amp; Health'!$P:$P,AL108)</f>
        <v>34.200000000000003</v>
      </c>
      <c r="N108" s="5">
        <f>INDEX('Player Data'!$F:$F,AL108)/INDEX('Player Data'!$E:$E,AL108)*M108*L108*AM108</f>
        <v>1368.7509606587375</v>
      </c>
      <c r="O108" s="5">
        <f>INDEX('Player Data'!$G:$G,AL108)/INDEX('Player Data'!$E:$E,AL108)*M108*L108*AM108</f>
        <v>362.46367795059473</v>
      </c>
      <c r="P108" s="5">
        <f>INDEX('Player Data'!$H:$H,AL108)/INDEX('Player Data'!$E:$E,AL108)*M108*L108*AM108</f>
        <v>260.33302836230558</v>
      </c>
      <c r="Q108" s="5">
        <f>INDEX('Player Data'!$I:$I,AL108)/INDEX('Player Data'!$E:$E,AL108)*M108*L108*AM108</f>
        <v>50.064043915828002</v>
      </c>
      <c r="R108" s="5">
        <f>INDEX('Player Data'!$J:$J,AL108)/INDEX('Player Data'!$E:$E,AL108)*M108*L108*AM108</f>
        <v>43.055077767612083</v>
      </c>
      <c r="S108" s="5">
        <f>INDEX('Player Data'!$K:$K,AL108)/INDEX('Player Data'!$E:$E,AL108)*M108*L108*AM108</f>
        <v>124.15882891125344</v>
      </c>
      <c r="T108" s="5">
        <f>INDEX('Player Data'!$L:$L,AL108)/INDEX('Player Data'!$E:$E,AL108)*M108*L108*AM108</f>
        <v>168.21518755718208</v>
      </c>
      <c r="U108" s="7">
        <f>INDEX('Player Data'!$M:$M,AL108)</f>
        <v>0.48499999999999999</v>
      </c>
      <c r="V108" s="7">
        <f>INDEX('Player Data'!$N:$N,AL108)</f>
        <v>0.81799999999999995</v>
      </c>
      <c r="W108" s="5">
        <f t="shared" si="9"/>
        <v>507.23137053979872</v>
      </c>
      <c r="X108" s="5">
        <f>INDEX('Player Data'!$O:$O,AL108)/INDEX('Player Data'!$E:$E,AL108)*M108*L108*AM108</f>
        <v>1045.8378774016469</v>
      </c>
      <c r="Y108" s="5">
        <f t="shared" si="10"/>
        <v>230.15242012808784</v>
      </c>
      <c r="Z108" s="5">
        <f>INDEX('Player Data'!$P:$P,AL108)/INDEX('Player Data'!$E:$E,AL108)*M108*L108*AM108</f>
        <v>281.35992680695335</v>
      </c>
      <c r="AB108" s="3">
        <f>(N108-Pool!$D$2)/Pool!$E$2</f>
        <v>0.31889461392404883</v>
      </c>
      <c r="AC108" s="3">
        <f>(O108-Pool!$D$3)/Pool!$E$3</f>
        <v>-0.38974777917216652</v>
      </c>
      <c r="AD108" s="3">
        <f>(P108-Pool!$D$4)/Pool!$E$4</f>
        <v>-0.13343755719303149</v>
      </c>
      <c r="AE108" s="3">
        <f>(Q108-Pool!$D$5)/Pool!$E$5</f>
        <v>-1.0665436613427768</v>
      </c>
      <c r="AF108" s="3">
        <f>(R108-Pool!$D$6)/Pool!$E$6</f>
        <v>-0.21066033650142429</v>
      </c>
      <c r="AG108" s="3">
        <f>(S108-Pool!$D$7)/Pool!$E$7</f>
        <v>1.0511124455509316E-2</v>
      </c>
      <c r="AH108" s="3">
        <f>(AS108-Pool!$D$8)/Pool!$E$8</f>
        <v>2.1188813216316001E-2</v>
      </c>
      <c r="AI108" s="3">
        <f>(AT108-Pool!$D$9)/Pool!$E$9</f>
        <v>0.2252531316136171</v>
      </c>
      <c r="AJ108" s="3">
        <f>-(T108-Pool!$D$10)/Pool!$E$10</f>
        <v>-0.43136294448536877</v>
      </c>
      <c r="AL108">
        <f>MATCH(B108,'Player Data'!$A:$A,0)</f>
        <v>35</v>
      </c>
      <c r="AM108" s="3">
        <f>1+IF(Settings!$F$10="ON",IFERROR(VLOOKUP(TRIM(F108),Settings!$D$12:$F$17,3,FALSE),0),0)</f>
        <v>1</v>
      </c>
      <c r="AN108" t="str">
        <f t="shared" si="11"/>
        <v>SG</v>
      </c>
      <c r="AO108" s="6">
        <f>X108*(U108-Pool!$B$12)</f>
        <v>4.5946066685897007</v>
      </c>
      <c r="AP108" s="6">
        <f>Z108*(V108-Pool!$B$13)</f>
        <v>7.8500383979658253</v>
      </c>
      <c r="AQ108" s="3">
        <f>Settings!$B$2*(N108-Pool!$B$2)/Pool!$C$2+Settings!$B$3*(O108-Pool!$B$3)/Pool!$C$3+Settings!$B$4*(P108-Pool!$B$4)/Pool!$C$4+Settings!$B$5*(Q108-Pool!$B$5)/Pool!$C$5+Settings!$B$6*(R108-Pool!$B$6)/Pool!$C$6+Settings!$B$7*(S108-Pool!$B$7)/Pool!$C$7+Settings!$B$8*(AO108-Pool!$B$8)/Pool!$C$8+Settings!$B$9*(AP108-Pool!$B$9)/Pool!$C$9+Settings!$B$10*-(T108-Pool!$B$10)/Pool!$C$10</f>
        <v>0.61112864283341795</v>
      </c>
      <c r="AR108">
        <f>IF(RANK(AQ108,$AQ$2:$AQ$266)&lt;=Settings!$F$5,1,0)</f>
        <v>1</v>
      </c>
      <c r="AS108" s="6">
        <f>X108*(U108-Pool!$D$12)</f>
        <v>0.9688713847549435</v>
      </c>
      <c r="AT108" s="6">
        <f>Z108*(V108-Pool!$D$13)</f>
        <v>5.025529810047086</v>
      </c>
    </row>
    <row r="109" spans="1:46" x14ac:dyDescent="0.2">
      <c r="A109">
        <f t="shared" si="6"/>
        <v>108</v>
      </c>
      <c r="B109" t="s">
        <v>150</v>
      </c>
      <c r="C109" t="str">
        <f>INDEX('Player Data'!$C:$C,AL109)</f>
        <v>C</v>
      </c>
      <c r="D109">
        <f t="shared" si="7"/>
        <v>23</v>
      </c>
      <c r="E109" t="str">
        <f>INDEX('Player Data'!$B:$B,AL109)</f>
        <v>OKC</v>
      </c>
      <c r="F109" s="2"/>
      <c r="G109" s="3">
        <f>Settings!$B$2*AB109+Settings!$B$3*AC109+Settings!$B$4*AD109+Settings!$B$5*AE109+Settings!$B$6*AF109+Settings!$B$7*AG109+Settings!$B$8*AH109+Settings!$B$9*AI109+Settings!$B$10*AJ109</f>
        <v>-1.6627031729738564</v>
      </c>
      <c r="H109" s="3">
        <f>G109-LARGE($G$2:$G$266,Settings!$F$4)</f>
        <v>1.5535615934733087</v>
      </c>
      <c r="I109">
        <f>IF(INDEX('Player Data'!$R:$R,AL109)="","",INDEX('Player Data'!$R:$R,AL109))</f>
        <v>120</v>
      </c>
      <c r="J109" s="4">
        <f t="shared" si="8"/>
        <v>12</v>
      </c>
      <c r="L109" s="5">
        <f>IF(Settings!$F$7="Yes",INDEX('Minutes &amp; Health'!$O:$O,AL109),Settings!$F$8)</f>
        <v>71</v>
      </c>
      <c r="M109" s="6">
        <f>INDEX('Minutes &amp; Health'!$P:$P,AL109)</f>
        <v>25.2</v>
      </c>
      <c r="N109" s="5">
        <f>INDEX('Player Data'!$F:$F,AL109)/INDEX('Player Data'!$E:$E,AL109)*M109*L109*AM109</f>
        <v>691.46375838926167</v>
      </c>
      <c r="O109" s="5">
        <f>INDEX('Player Data'!$G:$G,AL109)/INDEX('Player Data'!$E:$E,AL109)*M109*L109*AM109</f>
        <v>640.42953020134223</v>
      </c>
      <c r="P109" s="5">
        <f>INDEX('Player Data'!$H:$H,AL109)/INDEX('Player Data'!$E:$E,AL109)*M109*L109*AM109</f>
        <v>234.15704697986578</v>
      </c>
      <c r="Q109" s="5">
        <f>INDEX('Player Data'!$I:$I,AL109)/INDEX('Player Data'!$E:$E,AL109)*M109*L109*AM109</f>
        <v>67.044966442953012</v>
      </c>
      <c r="R109" s="5">
        <f>INDEX('Player Data'!$J:$J,AL109)/INDEX('Player Data'!$E:$E,AL109)*M109*L109*AM109</f>
        <v>55.036912751677846</v>
      </c>
      <c r="S109" s="5">
        <f>INDEX('Player Data'!$K:$K,AL109)/INDEX('Player Data'!$E:$E,AL109)*M109*L109*AM109</f>
        <v>0</v>
      </c>
      <c r="T109" s="5">
        <f>INDEX('Player Data'!$L:$L,AL109)/INDEX('Player Data'!$E:$E,AL109)*M109*L109*AM109</f>
        <v>116.07785234899328</v>
      </c>
      <c r="U109" s="7">
        <f>INDEX('Player Data'!$M:$M,AL109)</f>
        <v>0.61199999999999999</v>
      </c>
      <c r="V109" s="7">
        <f>INDEX('Player Data'!$N:$N,AL109)</f>
        <v>0.64900000000000002</v>
      </c>
      <c r="W109" s="5">
        <f t="shared" si="9"/>
        <v>292.42612751677854</v>
      </c>
      <c r="X109" s="5">
        <f>INDEX('Player Data'!$O:$O,AL109)/INDEX('Player Data'!$E:$E,AL109)*M109*L109*AM109</f>
        <v>477.82046979865771</v>
      </c>
      <c r="Y109" s="5">
        <f t="shared" si="10"/>
        <v>106.57237711409395</v>
      </c>
      <c r="Z109" s="5">
        <f>INDEX('Player Data'!$P:$P,AL109)/INDEX('Player Data'!$E:$E,AL109)*M109*L109*AM109</f>
        <v>164.21013422818791</v>
      </c>
      <c r="AB109" s="3">
        <f>(N109-Pool!$D$2)/Pool!$E$2</f>
        <v>-1.350592028306143</v>
      </c>
      <c r="AC109" s="3">
        <f>(O109-Pool!$D$3)/Pool!$E$3</f>
        <v>1.2281551526075121</v>
      </c>
      <c r="AD109" s="3">
        <f>(P109-Pool!$D$4)/Pool!$E$4</f>
        <v>-0.31047429532336179</v>
      </c>
      <c r="AE109" s="3">
        <f>(Q109-Pool!$D$5)/Pool!$E$5</f>
        <v>-0.31686702220230506</v>
      </c>
      <c r="AF109" s="3">
        <f>(R109-Pool!$D$6)/Pool!$E$6</f>
        <v>0.13610266410130786</v>
      </c>
      <c r="AG109" s="3">
        <f>(S109-Pool!$D$7)/Pool!$E$7</f>
        <v>-1.7381805406185855</v>
      </c>
      <c r="AH109" s="3">
        <f>(AS109-Pool!$D$8)/Pool!$E$8</f>
        <v>1.3367969806522555</v>
      </c>
      <c r="AI109" s="3">
        <f>(AT109-Pool!$D$9)/Pool!$E$9</f>
        <v>-1.1124073480096694</v>
      </c>
      <c r="AJ109" s="3">
        <f>-(T109-Pool!$D$10)/Pool!$E$10</f>
        <v>0.46476326412513269</v>
      </c>
      <c r="AL109">
        <f>MATCH(B109,'Player Data'!$A:$A,0)</f>
        <v>183</v>
      </c>
      <c r="AM109" s="3">
        <f>1+IF(Settings!$F$10="ON",IFERROR(VLOOKUP(TRIM(F109),Settings!$D$12:$F$17,3,FALSE),0),0)</f>
        <v>1</v>
      </c>
      <c r="AN109" t="str">
        <f t="shared" si="11"/>
        <v>C</v>
      </c>
      <c r="AO109" s="6">
        <f>X109*(U109-Pool!$B$12)</f>
        <v>62.782375037939595</v>
      </c>
      <c r="AP109" s="6">
        <f>Z109*(V109-Pool!$B$13)</f>
        <v>-23.169993654276094</v>
      </c>
      <c r="AQ109" s="3">
        <f>Settings!$B$2*(N109-Pool!$B$2)/Pool!$C$2+Settings!$B$3*(O109-Pool!$B$3)/Pool!$C$3+Settings!$B$4*(P109-Pool!$B$4)/Pool!$C$4+Settings!$B$5*(Q109-Pool!$B$5)/Pool!$C$5+Settings!$B$6*(R109-Pool!$B$6)/Pool!$C$6+Settings!$B$7*(S109-Pool!$B$7)/Pool!$C$7+Settings!$B$8*(AO109-Pool!$B$8)/Pool!$C$8+Settings!$B$9*(AP109-Pool!$B$9)/Pool!$C$9+Settings!$B$10*-(T109-Pool!$B$10)/Pool!$C$10</f>
        <v>0.56256294924157624</v>
      </c>
      <c r="AR109">
        <f>IF(RANK(AQ109,$AQ$2:$AQ$266)&lt;=Settings!$F$5,1,0)</f>
        <v>1</v>
      </c>
      <c r="AS109" s="6">
        <f>X109*(U109-Pool!$D$12)</f>
        <v>61.125855825811122</v>
      </c>
      <c r="AT109" s="6">
        <f>Z109*(V109-Pool!$D$13)</f>
        <v>-24.818462004458162</v>
      </c>
    </row>
    <row r="110" spans="1:46" x14ac:dyDescent="0.2">
      <c r="A110">
        <f t="shared" si="6"/>
        <v>109</v>
      </c>
      <c r="B110" t="s">
        <v>151</v>
      </c>
      <c r="C110" t="str">
        <f>INDEX('Player Data'!$C:$C,AL110)</f>
        <v>PG,SF,SG</v>
      </c>
      <c r="D110">
        <f t="shared" si="7"/>
        <v>42</v>
      </c>
      <c r="E110" t="str">
        <f>INDEX('Player Data'!$B:$B,AL110)</f>
        <v>SAC</v>
      </c>
      <c r="F110" s="2"/>
      <c r="G110" s="3">
        <f>Settings!$B$2*AB110+Settings!$B$3*AC110+Settings!$B$4*AD110+Settings!$B$5*AE110+Settings!$B$6*AF110+Settings!$B$7*AG110+Settings!$B$8*AH110+Settings!$B$9*AI110+Settings!$B$10*AJ110</f>
        <v>-1.7099742931456192</v>
      </c>
      <c r="H110" s="3">
        <f>G110-LARGE($G$2:$G$266,Settings!$F$4)</f>
        <v>1.5062904733015459</v>
      </c>
      <c r="I110">
        <f>IF(INDEX('Player Data'!$R:$R,AL110)="","",INDEX('Player Data'!$R:$R,AL110))</f>
        <v>175</v>
      </c>
      <c r="J110" s="4">
        <f t="shared" si="8"/>
        <v>66</v>
      </c>
      <c r="L110" s="5">
        <f>IF(Settings!$F$7="Yes",INDEX('Minutes &amp; Health'!$O:$O,AL110),Settings!$F$8)</f>
        <v>70</v>
      </c>
      <c r="M110" s="6">
        <f>INDEX('Minutes &amp; Health'!$P:$P,AL110)</f>
        <v>33.1</v>
      </c>
      <c r="N110" s="5">
        <f>INDEX('Player Data'!$F:$F,AL110)/INDEX('Player Data'!$E:$E,AL110)*M110*L110*AM110</f>
        <v>1380.5958549222798</v>
      </c>
      <c r="O110" s="5">
        <f>INDEX('Player Data'!$G:$G,AL110)/INDEX('Player Data'!$E:$E,AL110)*M110*L110*AM110</f>
        <v>248.10708117443872</v>
      </c>
      <c r="P110" s="5">
        <f>INDEX('Player Data'!$H:$H,AL110)/INDEX('Player Data'!$E:$E,AL110)*M110*L110*AM110</f>
        <v>227.09801381692574</v>
      </c>
      <c r="Q110" s="5">
        <f>INDEX('Player Data'!$I:$I,AL110)/INDEX('Player Data'!$E:$E,AL110)*M110*L110*AM110</f>
        <v>52.022452504317798</v>
      </c>
      <c r="R110" s="5">
        <f>INDEX('Player Data'!$J:$J,AL110)/INDEX('Player Data'!$E:$E,AL110)*M110*L110*AM110</f>
        <v>15.006476683937823</v>
      </c>
      <c r="S110" s="5">
        <f>INDEX('Player Data'!$K:$K,AL110)/INDEX('Player Data'!$E:$E,AL110)*M110*L110*AM110</f>
        <v>179.07728842832472</v>
      </c>
      <c r="T110" s="5">
        <f>INDEX('Player Data'!$L:$L,AL110)/INDEX('Player Data'!$E:$E,AL110)*M110*L110*AM110</f>
        <v>160.06908462867011</v>
      </c>
      <c r="U110" s="7">
        <f>INDEX('Player Data'!$M:$M,AL110)</f>
        <v>0.501</v>
      </c>
      <c r="V110" s="7">
        <f>INDEX('Player Data'!$N:$N,AL110)</f>
        <v>0.84399999999999997</v>
      </c>
      <c r="W110" s="5">
        <f t="shared" si="9"/>
        <v>493.19686010362699</v>
      </c>
      <c r="X110" s="5">
        <f>INDEX('Player Data'!$O:$O,AL110)/INDEX('Player Data'!$E:$E,AL110)*M110*L110*AM110</f>
        <v>984.42487046632129</v>
      </c>
      <c r="Y110" s="5">
        <f t="shared" si="10"/>
        <v>215.05961813471504</v>
      </c>
      <c r="Z110" s="5">
        <f>INDEX('Player Data'!$P:$P,AL110)/INDEX('Player Data'!$E:$E,AL110)*M110*L110*AM110</f>
        <v>254.80997409326426</v>
      </c>
      <c r="AB110" s="3">
        <f>(N110-Pool!$D$2)/Pool!$E$2</f>
        <v>0.34809181813128998</v>
      </c>
      <c r="AC110" s="3">
        <f>(O110-Pool!$D$3)/Pool!$E$3</f>
        <v>-1.0553614568752405</v>
      </c>
      <c r="AD110" s="3">
        <f>(P110-Pool!$D$4)/Pool!$E$4</f>
        <v>-0.35821684935646869</v>
      </c>
      <c r="AE110" s="3">
        <f>(Q110-Pool!$D$5)/Pool!$E$5</f>
        <v>-0.98008350781827702</v>
      </c>
      <c r="AF110" s="3">
        <f>(R110-Pool!$D$6)/Pool!$E$6</f>
        <v>-1.022407208947798</v>
      </c>
      <c r="AG110" s="3">
        <f>(S110-Pool!$D$7)/Pool!$E$7</f>
        <v>0.78399983450814781</v>
      </c>
      <c r="AH110" s="3">
        <f>(AS110-Pool!$D$8)/Pool!$E$8</f>
        <v>0.36440796102432466</v>
      </c>
      <c r="AI110" s="3">
        <f>(AT110-Pool!$D$9)/Pool!$E$9</f>
        <v>0.50094445424127831</v>
      </c>
      <c r="AJ110" s="3">
        <f>-(T110-Pool!$D$10)/Pool!$E$10</f>
        <v>-0.29134933805287533</v>
      </c>
      <c r="AL110">
        <f>MATCH(B110,'Player Data'!$A:$A,0)</f>
        <v>51</v>
      </c>
      <c r="AM110" s="3">
        <f>1+IF(Settings!$F$10="ON",IFERROR(VLOOKUP(TRIM(F110),Settings!$D$12:$F$17,3,FALSE),0),0)</f>
        <v>1</v>
      </c>
      <c r="AN110" t="str">
        <f t="shared" si="11"/>
        <v>PG</v>
      </c>
      <c r="AO110" s="6">
        <f>X110*(U110-Pool!$B$12)</f>
        <v>20.075603112187761</v>
      </c>
      <c r="AP110" s="6">
        <f>Z110*(V110-Pool!$B$13)</f>
        <v>13.734344943310985</v>
      </c>
      <c r="AQ110" s="3">
        <f>Settings!$B$2*(N110-Pool!$B$2)/Pool!$C$2+Settings!$B$3*(O110-Pool!$B$3)/Pool!$C$3+Settings!$B$4*(P110-Pool!$B$4)/Pool!$C$4+Settings!$B$5*(Q110-Pool!$B$5)/Pool!$C$5+Settings!$B$6*(R110-Pool!$B$6)/Pool!$C$6+Settings!$B$7*(S110-Pool!$B$7)/Pool!$C$7+Settings!$B$8*(AO110-Pool!$B$8)/Pool!$C$8+Settings!$B$9*(AP110-Pool!$B$9)/Pool!$C$9+Settings!$B$10*-(T110-Pool!$B$10)/Pool!$C$10</f>
        <v>0.55495531218957606</v>
      </c>
      <c r="AR110">
        <f>IF(RANK(AQ110,$AQ$2:$AQ$266)&lt;=Settings!$F$5,1,0)</f>
        <v>1</v>
      </c>
      <c r="AS110" s="6">
        <f>X110*(U110-Pool!$D$12)</f>
        <v>16.662775881257925</v>
      </c>
      <c r="AT110" s="6">
        <f>Z110*(V110-Pool!$D$13)</f>
        <v>11.176365318132927</v>
      </c>
    </row>
    <row r="111" spans="1:46" x14ac:dyDescent="0.2">
      <c r="A111">
        <f t="shared" si="6"/>
        <v>110</v>
      </c>
      <c r="B111" t="s">
        <v>152</v>
      </c>
      <c r="C111" t="str">
        <f>INDEX('Player Data'!$C:$C,AL111)</f>
        <v>PF,SF</v>
      </c>
      <c r="D111">
        <f t="shared" si="7"/>
        <v>30</v>
      </c>
      <c r="E111" t="str">
        <f>INDEX('Player Data'!$B:$B,AL111)</f>
        <v>ORL</v>
      </c>
      <c r="F111" s="2"/>
      <c r="G111" s="3">
        <f>Settings!$B$2*AB111+Settings!$B$3*AC111+Settings!$B$4*AD111+Settings!$B$5*AE111+Settings!$B$6*AF111+Settings!$B$7*AG111+Settings!$B$8*AH111+Settings!$B$9*AI111+Settings!$B$10*AJ111</f>
        <v>-1.7706612280973255</v>
      </c>
      <c r="H111" s="3">
        <f>G111-LARGE($G$2:$G$266,Settings!$F$4)</f>
        <v>1.4456035383498396</v>
      </c>
      <c r="I111">
        <f>IF(INDEX('Player Data'!$R:$R,AL111)="","",INDEX('Player Data'!$R:$R,AL111))</f>
        <v>38</v>
      </c>
      <c r="J111" s="4">
        <f t="shared" si="8"/>
        <v>-72</v>
      </c>
      <c r="L111" s="5">
        <f>IF(Settings!$F$7="Yes",INDEX('Minutes &amp; Health'!$O:$O,AL111),Settings!$F$8)</f>
        <v>74</v>
      </c>
      <c r="M111" s="6">
        <f>INDEX('Minutes &amp; Health'!$P:$P,AL111)</f>
        <v>34.799999999999997</v>
      </c>
      <c r="N111" s="5">
        <f>INDEX('Player Data'!$F:$F,AL111)/INDEX('Player Data'!$E:$E,AL111)*M111*L111*AM111</f>
        <v>1755.7727590221186</v>
      </c>
      <c r="O111" s="5">
        <f>INDEX('Player Data'!$G:$G,AL111)/INDEX('Player Data'!$E:$E,AL111)*M111*L111*AM111</f>
        <v>584.59138533178111</v>
      </c>
      <c r="P111" s="5">
        <f>INDEX('Player Data'!$H:$H,AL111)/INDEX('Player Data'!$E:$E,AL111)*M111*L111*AM111</f>
        <v>384.73108265424912</v>
      </c>
      <c r="Q111" s="5">
        <f>INDEX('Player Data'!$I:$I,AL111)/INDEX('Player Data'!$E:$E,AL111)*M111*L111*AM111</f>
        <v>58.958789289871945</v>
      </c>
      <c r="R111" s="5">
        <f>INDEX('Player Data'!$J:$J,AL111)/INDEX('Player Data'!$E:$E,AL111)*M111*L111*AM111</f>
        <v>43.969266589057042</v>
      </c>
      <c r="S111" s="5">
        <f>INDEX('Player Data'!$K:$K,AL111)/INDEX('Player Data'!$E:$E,AL111)*M111*L111*AM111</f>
        <v>107.92456344586728</v>
      </c>
      <c r="T111" s="5">
        <f>INDEX('Player Data'!$L:$L,AL111)/INDEX('Player Data'!$E:$E,AL111)*M111*L111*AM111</f>
        <v>229.83934807916179</v>
      </c>
      <c r="U111" s="7">
        <f>INDEX('Player Data'!$M:$M,AL111)</f>
        <v>0.45800000000000002</v>
      </c>
      <c r="V111" s="7">
        <f>INDEX('Player Data'!$N:$N,AL111)</f>
        <v>0.751</v>
      </c>
      <c r="W111" s="5">
        <f t="shared" si="9"/>
        <v>594.02299287543667</v>
      </c>
      <c r="X111" s="5">
        <f>INDEX('Player Data'!$O:$O,AL111)/INDEX('Player Data'!$E:$E,AL111)*M111*L111*AM111</f>
        <v>1296.9934342258441</v>
      </c>
      <c r="Y111" s="5">
        <f t="shared" si="10"/>
        <v>459.74125243306167</v>
      </c>
      <c r="Z111" s="5">
        <f>INDEX('Player Data'!$P:$P,AL111)/INDEX('Player Data'!$E:$E,AL111)*M111*L111*AM111</f>
        <v>612.17210710128052</v>
      </c>
      <c r="AB111" s="3">
        <f>(N111-Pool!$D$2)/Pool!$E$2</f>
        <v>1.2728883118036276</v>
      </c>
      <c r="AC111" s="3">
        <f>(O111-Pool!$D$3)/Pool!$E$3</f>
        <v>0.90314869027376188</v>
      </c>
      <c r="AD111" s="3">
        <f>(P111-Pool!$D$4)/Pool!$E$4</f>
        <v>0.70790724053744059</v>
      </c>
      <c r="AE111" s="3">
        <f>(Q111-Pool!$D$5)/Pool!$E$5</f>
        <v>-0.6738569385000166</v>
      </c>
      <c r="AF111" s="3">
        <f>(R111-Pool!$D$6)/Pool!$E$6</f>
        <v>-0.18420304850978478</v>
      </c>
      <c r="AG111" s="3">
        <f>(S111-Pool!$D$7)/Pool!$E$7</f>
        <v>-0.21813733298292837</v>
      </c>
      <c r="AH111" s="3">
        <f>(AS111-Pool!$D$8)/Pool!$E$8</f>
        <v>-0.73956979407899237</v>
      </c>
      <c r="AI111" s="3">
        <f>(AT111-Pool!$D$9)/Pool!$E$9</f>
        <v>-1.3482915258506267</v>
      </c>
      <c r="AJ111" s="3">
        <f>-(T111-Pool!$D$10)/Pool!$E$10</f>
        <v>-1.4905468307898069</v>
      </c>
      <c r="AL111">
        <f>MATCH(B111,'Player Data'!$A:$A,0)</f>
        <v>20</v>
      </c>
      <c r="AM111" s="3">
        <f>1+IF(Settings!$F$10="ON",IFERROR(VLOOKUP(TRIM(F111),Settings!$D$12:$F$17,3,FALSE),0),0)</f>
        <v>1</v>
      </c>
      <c r="AN111" t="str">
        <f t="shared" si="11"/>
        <v>PF</v>
      </c>
      <c r="AO111" s="6">
        <f>X111*(U111-Pool!$B$12)</f>
        <v>-29.320831849243884</v>
      </c>
      <c r="AP111" s="6">
        <f>Z111*(V111-Pool!$B$13)</f>
        <v>-23.935719557104541</v>
      </c>
      <c r="AQ111" s="3">
        <f>Settings!$B$2*(N111-Pool!$B$2)/Pool!$C$2+Settings!$B$3*(O111-Pool!$B$3)/Pool!$C$3+Settings!$B$4*(P111-Pool!$B$4)/Pool!$C$4+Settings!$B$5*(Q111-Pool!$B$5)/Pool!$C$5+Settings!$B$6*(R111-Pool!$B$6)/Pool!$C$6+Settings!$B$7*(S111-Pool!$B$7)/Pool!$C$7+Settings!$B$8*(AO111-Pool!$B$8)/Pool!$C$8+Settings!$B$9*(AP111-Pool!$B$9)/Pool!$C$9+Settings!$B$10*-(T111-Pool!$B$10)/Pool!$C$10</f>
        <v>0.16361732472978963</v>
      </c>
      <c r="AR111">
        <f>IF(RANK(AQ111,$AQ$2:$AQ$266)&lt;=Settings!$F$5,1,0)</f>
        <v>1</v>
      </c>
      <c r="AS111" s="6">
        <f>X111*(U111-Pool!$D$12)</f>
        <v>-33.81727910840992</v>
      </c>
      <c r="AT111" s="6">
        <f>Z111*(V111-Pool!$D$13)</f>
        <v>-30.081176706651775</v>
      </c>
    </row>
    <row r="112" spans="1:46" x14ac:dyDescent="0.2">
      <c r="A112">
        <f t="shared" si="6"/>
        <v>111</v>
      </c>
      <c r="B112" t="s">
        <v>153</v>
      </c>
      <c r="C112" t="str">
        <f>INDEX('Player Data'!$C:$C,AL112)</f>
        <v>PG,SG</v>
      </c>
      <c r="D112">
        <f t="shared" si="7"/>
        <v>43</v>
      </c>
      <c r="E112" t="str">
        <f>INDEX('Player Data'!$B:$B,AL112)</f>
        <v>PHO</v>
      </c>
      <c r="F112" s="2"/>
      <c r="G112" s="3">
        <f>Settings!$B$2*AB112+Settings!$B$3*AC112+Settings!$B$4*AD112+Settings!$B$5*AE112+Settings!$B$6*AF112+Settings!$B$7*AG112+Settings!$B$8*AH112+Settings!$B$9*AI112+Settings!$B$10*AJ112</f>
        <v>-1.820509529163918</v>
      </c>
      <c r="H112" s="3">
        <f>G112-LARGE($G$2:$G$266,Settings!$F$4)</f>
        <v>1.3957552372832471</v>
      </c>
      <c r="I112">
        <f>IF(INDEX('Player Data'!$R:$R,AL112)="","",INDEX('Player Data'!$R:$R,AL112))</f>
        <v>194</v>
      </c>
      <c r="J112" s="4">
        <f t="shared" si="8"/>
        <v>83</v>
      </c>
      <c r="L112" s="5">
        <f>IF(Settings!$F$7="Yes",INDEX('Minutes &amp; Health'!$O:$O,AL112),Settings!$F$8)</f>
        <v>76</v>
      </c>
      <c r="M112" s="6">
        <f>INDEX('Minutes &amp; Health'!$P:$P,AL112)</f>
        <v>22.9</v>
      </c>
      <c r="N112" s="5">
        <f>INDEX('Player Data'!$F:$F,AL112)/INDEX('Player Data'!$E:$E,AL112)*M112*L112*AM112</f>
        <v>742.02324510932101</v>
      </c>
      <c r="O112" s="5">
        <f>INDEX('Player Data'!$G:$G,AL112)/INDEX('Player Data'!$E:$E,AL112)*M112*L112*AM112</f>
        <v>261.360414269275</v>
      </c>
      <c r="P112" s="5">
        <f>INDEX('Player Data'!$H:$H,AL112)/INDEX('Player Data'!$E:$E,AL112)*M112*L112*AM112</f>
        <v>279.38527042577675</v>
      </c>
      <c r="Q112" s="5">
        <f>INDEX('Player Data'!$I:$I,AL112)/INDEX('Player Data'!$E:$E,AL112)*M112*L112*AM112</f>
        <v>84.115995397008049</v>
      </c>
      <c r="R112" s="5">
        <f>INDEX('Player Data'!$J:$J,AL112)/INDEX('Player Data'!$E:$E,AL112)*M112*L112*AM112</f>
        <v>15.020713463751436</v>
      </c>
      <c r="S112" s="5">
        <f>INDEX('Player Data'!$K:$K,AL112)/INDEX('Player Data'!$E:$E,AL112)*M112*L112*AM112</f>
        <v>167.23060989643264</v>
      </c>
      <c r="T112" s="5">
        <f>INDEX('Player Data'!$L:$L,AL112)/INDEX('Player Data'!$E:$E,AL112)*M112*L112*AM112</f>
        <v>88.121518987341773</v>
      </c>
      <c r="U112" s="7">
        <f>INDEX('Player Data'!$M:$M,AL112)</f>
        <v>0.42</v>
      </c>
      <c r="V112" s="7">
        <f>INDEX('Player Data'!$N:$N,AL112)</f>
        <v>0.871</v>
      </c>
      <c r="W112" s="5">
        <f t="shared" si="9"/>
        <v>252.60033417721519</v>
      </c>
      <c r="X112" s="5">
        <f>INDEX('Player Data'!$O:$O,AL112)/INDEX('Player Data'!$E:$E,AL112)*M112*L112*AM112</f>
        <v>601.42936708860759</v>
      </c>
      <c r="Y112" s="5">
        <f t="shared" si="10"/>
        <v>69.601780391254294</v>
      </c>
      <c r="Z112" s="5">
        <f>INDEX('Player Data'!$P:$P,AL112)/INDEX('Player Data'!$E:$E,AL112)*M112*L112*AM112</f>
        <v>79.910195627157634</v>
      </c>
      <c r="AB112" s="3">
        <f>(N112-Pool!$D$2)/Pool!$E$2</f>
        <v>-1.2259648576844104</v>
      </c>
      <c r="AC112" s="3">
        <f>(O112-Pool!$D$3)/Pool!$E$3</f>
        <v>-0.97822030339770727</v>
      </c>
      <c r="AD112" s="3">
        <f>(P112-Pool!$D$4)/Pool!$E$4</f>
        <v>-4.5810020287175568E-3</v>
      </c>
      <c r="AE112" s="3">
        <f>(Q112-Pool!$D$5)/Pool!$E$5</f>
        <v>0.43678765071094638</v>
      </c>
      <c r="AF112" s="3">
        <f>(R112-Pool!$D$6)/Pool!$E$6</f>
        <v>-1.0219951862072367</v>
      </c>
      <c r="AG112" s="3">
        <f>(S112-Pool!$D$7)/Pool!$E$7</f>
        <v>0.61714751970144588</v>
      </c>
      <c r="AH112" s="3">
        <f>(AS112-Pool!$D$8)/Pool!$E$8</f>
        <v>-0.84276057887012257</v>
      </c>
      <c r="AI112" s="3">
        <f>(AT112-Pool!$D$9)/Pool!$E$9</f>
        <v>0.25380603438269778</v>
      </c>
      <c r="AJ112" s="3">
        <f>-(T112-Pool!$D$10)/Pool!$E$10</f>
        <v>0.94527119422918704</v>
      </c>
      <c r="AL112">
        <f>MATCH(B112,'Player Data'!$A:$A,0)</f>
        <v>180</v>
      </c>
      <c r="AM112" s="3">
        <f>1+IF(Settings!$F$10="ON",IFERROR(VLOOKUP(TRIM(F112),Settings!$D$12:$F$17,3,FALSE),0),0)</f>
        <v>1</v>
      </c>
      <c r="AN112" t="str">
        <f t="shared" si="11"/>
        <v>PG</v>
      </c>
      <c r="AO112" s="6">
        <f>X112*(U112-Pool!$B$12)</f>
        <v>-36.450691132351707</v>
      </c>
      <c r="AP112" s="6">
        <f>Z112*(V112-Pool!$B$13)</f>
        <v>6.4647622165747469</v>
      </c>
      <c r="AQ112" s="3">
        <f>Settings!$B$2*(N112-Pool!$B$2)/Pool!$C$2+Settings!$B$3*(O112-Pool!$B$3)/Pool!$C$3+Settings!$B$4*(P112-Pool!$B$4)/Pool!$C$4+Settings!$B$5*(Q112-Pool!$B$5)/Pool!$C$5+Settings!$B$6*(R112-Pool!$B$6)/Pool!$C$6+Settings!$B$7*(S112-Pool!$B$7)/Pool!$C$7+Settings!$B$8*(AO112-Pool!$B$8)/Pool!$C$8+Settings!$B$9*(AP112-Pool!$B$9)/Pool!$C$9+Settings!$B$10*-(T112-Pool!$B$10)/Pool!$C$10</f>
        <v>7.1292731435151302E-2</v>
      </c>
      <c r="AR112">
        <f>IF(RANK(AQ112,$AQ$2:$AQ$266)&lt;=Settings!$F$5,1,0)</f>
        <v>1</v>
      </c>
      <c r="AS112" s="6">
        <f>X112*(U112-Pool!$D$12)</f>
        <v>-38.53574056889083</v>
      </c>
      <c r="AT112" s="6">
        <f>Z112*(V112-Pool!$D$13)</f>
        <v>5.6625618592863569</v>
      </c>
    </row>
    <row r="113" spans="1:46" x14ac:dyDescent="0.2">
      <c r="A113">
        <f t="shared" si="6"/>
        <v>112</v>
      </c>
      <c r="B113" t="s">
        <v>154</v>
      </c>
      <c r="C113" t="str">
        <f>INDEX('Player Data'!$C:$C,AL113)</f>
        <v>SF,SG</v>
      </c>
      <c r="D113">
        <f t="shared" si="7"/>
        <v>13</v>
      </c>
      <c r="E113" t="str">
        <f>INDEX('Player Data'!$B:$B,AL113)</f>
        <v>PHO</v>
      </c>
      <c r="F113" s="2"/>
      <c r="G113" s="3">
        <f>Settings!$B$2*AB113+Settings!$B$3*AC113+Settings!$B$4*AD113+Settings!$B$5*AE113+Settings!$B$6*AF113+Settings!$B$7*AG113+Settings!$B$8*AH113+Settings!$B$9*AI113+Settings!$B$10*AJ113</f>
        <v>-1.8663357560036613</v>
      </c>
      <c r="H113" s="3">
        <f>G113-LARGE($G$2:$G$266,Settings!$F$4)</f>
        <v>1.3499290104435038</v>
      </c>
      <c r="I113">
        <f>IF(INDEX('Player Data'!$R:$R,AL113)="","",INDEX('Player Data'!$R:$R,AL113))</f>
        <v>132</v>
      </c>
      <c r="J113" s="4">
        <f t="shared" si="8"/>
        <v>20</v>
      </c>
      <c r="L113" s="5">
        <f>IF(Settings!$F$7="Yes",INDEX('Minutes &amp; Health'!$O:$O,AL113),Settings!$F$8)</f>
        <v>74</v>
      </c>
      <c r="M113" s="6">
        <f>INDEX('Minutes &amp; Health'!$P:$P,AL113)</f>
        <v>32</v>
      </c>
      <c r="N113" s="5">
        <f>INDEX('Player Data'!$F:$F,AL113)/INDEX('Player Data'!$E:$E,AL113)*M113*L113*AM113</f>
        <v>1504.3647108484593</v>
      </c>
      <c r="O113" s="5">
        <f>INDEX('Player Data'!$G:$G,AL113)/INDEX('Player Data'!$E:$E,AL113)*M113*L113*AM113</f>
        <v>333.85901224145209</v>
      </c>
      <c r="P113" s="5">
        <f>INDEX('Player Data'!$H:$H,AL113)/INDEX('Player Data'!$E:$E,AL113)*M113*L113*AM113</f>
        <v>258.89067116926975</v>
      </c>
      <c r="Q113" s="5">
        <f>INDEX('Player Data'!$I:$I,AL113)/INDEX('Player Data'!$E:$E,AL113)*M113*L113*AM113</f>
        <v>82.964964119881799</v>
      </c>
      <c r="R113" s="5">
        <f>INDEX('Player Data'!$J:$J,AL113)/INDEX('Player Data'!$E:$E,AL113)*M113*L113*AM113</f>
        <v>23.989869143098353</v>
      </c>
      <c r="S113" s="5">
        <f>INDEX('Player Data'!$K:$K,AL113)/INDEX('Player Data'!$E:$E,AL113)*M113*L113*AM113</f>
        <v>201.91473195441117</v>
      </c>
      <c r="T113" s="5">
        <f>INDEX('Player Data'!$L:$L,AL113)/INDEX('Player Data'!$E:$E,AL113)*M113*L113*AM113</f>
        <v>184.9219079780498</v>
      </c>
      <c r="U113" s="7">
        <f>INDEX('Player Data'!$M:$M,AL113)</f>
        <v>0.42599999999999999</v>
      </c>
      <c r="V113" s="7">
        <f>INDEX('Player Data'!$N:$N,AL113)</f>
        <v>0.78400000000000003</v>
      </c>
      <c r="W113" s="5">
        <f t="shared" si="9"/>
        <v>553.73655854791059</v>
      </c>
      <c r="X113" s="5">
        <f>INDEX('Player Data'!$O:$O,AL113)/INDEX('Player Data'!$E:$E,AL113)*M113*L113*AM113</f>
        <v>1299.8510764035459</v>
      </c>
      <c r="Y113" s="5">
        <f t="shared" si="10"/>
        <v>194.97686179822713</v>
      </c>
      <c r="Z113" s="5">
        <f>INDEX('Player Data'!$P:$P,AL113)/INDEX('Player Data'!$E:$E,AL113)*M113*L113*AM113</f>
        <v>248.69497678345297</v>
      </c>
      <c r="AB113" s="3">
        <f>(N113-Pool!$D$2)/Pool!$E$2</f>
        <v>0.6531772397965534</v>
      </c>
      <c r="AC113" s="3">
        <f>(O113-Pool!$D$3)/Pool!$E$3</f>
        <v>-0.55624151262418642</v>
      </c>
      <c r="AD113" s="3">
        <f>(P113-Pool!$D$4)/Pool!$E$4</f>
        <v>-0.14319269144924643</v>
      </c>
      <c r="AE113" s="3">
        <f>(Q113-Pool!$D$5)/Pool!$E$5</f>
        <v>0.3859717272531254</v>
      </c>
      <c r="AF113" s="3">
        <f>(R113-Pool!$D$6)/Pool!$E$6</f>
        <v>-0.76242131122235468</v>
      </c>
      <c r="AG113" s="3">
        <f>(S113-Pool!$D$7)/Pool!$E$7</f>
        <v>1.105649510941654</v>
      </c>
      <c r="AH113" s="3">
        <f>(AS113-Pool!$D$8)/Pool!$E$8</f>
        <v>-1.6508697091224198</v>
      </c>
      <c r="AI113" s="3">
        <f>(AT113-Pool!$D$9)/Pool!$E$9</f>
        <v>-0.17989425786371716</v>
      </c>
      <c r="AJ113" s="3">
        <f>-(T113-Pool!$D$10)/Pool!$E$10</f>
        <v>-0.71851475171306933</v>
      </c>
      <c r="AL113">
        <f>MATCH(B113,'Player Data'!$A:$A,0)</f>
        <v>44</v>
      </c>
      <c r="AM113" s="3">
        <f>1+IF(Settings!$F$10="ON",IFERROR(VLOOKUP(TRIM(F113),Settings!$D$12:$F$17,3,FALSE),0),0)</f>
        <v>1</v>
      </c>
      <c r="AN113" t="str">
        <f t="shared" si="11"/>
        <v>SF</v>
      </c>
      <c r="AO113" s="6">
        <f>X113*(U113-Pool!$B$12)</f>
        <v>-70.980668352708065</v>
      </c>
      <c r="AP113" s="6">
        <f>Z113*(V113-Pool!$B$13)</f>
        <v>-1.5169541146958991</v>
      </c>
      <c r="AQ113" s="3">
        <f>Settings!$B$2*(N113-Pool!$B$2)/Pool!$C$2+Settings!$B$3*(O113-Pool!$B$3)/Pool!$C$3+Settings!$B$4*(P113-Pool!$B$4)/Pool!$C$4+Settings!$B$5*(Q113-Pool!$B$5)/Pool!$C$5+Settings!$B$6*(R113-Pool!$B$6)/Pool!$C$6+Settings!$B$7*(S113-Pool!$B$7)/Pool!$C$7+Settings!$B$8*(AO113-Pool!$B$8)/Pool!$C$8+Settings!$B$9*(AP113-Pool!$B$9)/Pool!$C$9+Settings!$B$10*-(T113-Pool!$B$10)/Pool!$C$10</f>
        <v>-0.18717688844536373</v>
      </c>
      <c r="AR113">
        <f>IF(RANK(AQ113,$AQ$2:$AQ$266)&lt;=Settings!$F$5,1,0)</f>
        <v>1</v>
      </c>
      <c r="AS113" s="6">
        <f>X113*(U113-Pool!$D$12)</f>
        <v>-75.487022552802657</v>
      </c>
      <c r="AT113" s="6">
        <f>Z113*(V113-Pool!$D$13)</f>
        <v>-4.0135466666945119</v>
      </c>
    </row>
    <row r="114" spans="1:46" x14ac:dyDescent="0.2">
      <c r="A114">
        <f t="shared" si="6"/>
        <v>113</v>
      </c>
      <c r="B114" t="s">
        <v>155</v>
      </c>
      <c r="C114" t="str">
        <f>INDEX('Player Data'!$C:$C,AL114)</f>
        <v>PG,SG</v>
      </c>
      <c r="D114">
        <f t="shared" si="7"/>
        <v>44</v>
      </c>
      <c r="E114" t="str">
        <f>INDEX('Player Data'!$B:$B,AL114)</f>
        <v>MIL</v>
      </c>
      <c r="F114" s="2"/>
      <c r="G114" s="3">
        <f>Settings!$B$2*AB114+Settings!$B$3*AC114+Settings!$B$4*AD114+Settings!$B$5*AE114+Settings!$B$6*AF114+Settings!$B$7*AG114+Settings!$B$8*AH114+Settings!$B$9*AI114+Settings!$B$10*AJ114</f>
        <v>-1.9084158434915144</v>
      </c>
      <c r="H114" s="3">
        <f>G114-LARGE($G$2:$G$266,Settings!$F$4)</f>
        <v>1.3078489229556507</v>
      </c>
      <c r="I114">
        <f>IF(INDEX('Player Data'!$R:$R,AL114)="","",INDEX('Player Data'!$R:$R,AL114))</f>
        <v>75</v>
      </c>
      <c r="J114" s="4">
        <f t="shared" si="8"/>
        <v>-38</v>
      </c>
      <c r="L114" s="5">
        <f>IF(Settings!$F$7="Yes",INDEX('Minutes &amp; Health'!$O:$O,AL114),Settings!$F$8)</f>
        <v>74</v>
      </c>
      <c r="M114" s="6">
        <f>INDEX('Minutes &amp; Health'!$P:$P,AL114)</f>
        <v>26</v>
      </c>
      <c r="N114" s="5">
        <f>INDEX('Player Data'!$F:$F,AL114)/INDEX('Player Data'!$E:$E,AL114)*M114*L114*AM114</f>
        <v>965.99584631360347</v>
      </c>
      <c r="O114" s="5">
        <f>INDEX('Player Data'!$G:$G,AL114)/INDEX('Player Data'!$E:$E,AL114)*M114*L114*AM114</f>
        <v>254.73520249221181</v>
      </c>
      <c r="P114" s="5">
        <f>INDEX('Player Data'!$H:$H,AL114)/INDEX('Player Data'!$E:$E,AL114)*M114*L114*AM114</f>
        <v>313.67393561786088</v>
      </c>
      <c r="Q114" s="5">
        <f>INDEX('Player Data'!$I:$I,AL114)/INDEX('Player Data'!$E:$E,AL114)*M114*L114*AM114</f>
        <v>86.90965732087227</v>
      </c>
      <c r="R114" s="5">
        <f>INDEX('Player Data'!$J:$J,AL114)/INDEX('Player Data'!$E:$E,AL114)*M114*L114*AM114</f>
        <v>25.973001038421597</v>
      </c>
      <c r="S114" s="5">
        <f>INDEX('Player Data'!$K:$K,AL114)/INDEX('Player Data'!$E:$E,AL114)*M114*L114*AM114</f>
        <v>137.85669781931463</v>
      </c>
      <c r="T114" s="5">
        <f>INDEX('Player Data'!$L:$L,AL114)/INDEX('Player Data'!$E:$E,AL114)*M114*L114*AM114</f>
        <v>153.84008307372795</v>
      </c>
      <c r="U114" s="7">
        <f>INDEX('Player Data'!$M:$M,AL114)</f>
        <v>0.46600000000000003</v>
      </c>
      <c r="V114" s="7">
        <f>INDEX('Player Data'!$N:$N,AL114)</f>
        <v>0.79800000000000004</v>
      </c>
      <c r="W114" s="5">
        <f t="shared" si="9"/>
        <v>361.61290301142265</v>
      </c>
      <c r="X114" s="5">
        <f>INDEX('Player Data'!$O:$O,AL114)/INDEX('Player Data'!$E:$E,AL114)*M114*L114*AM114</f>
        <v>775.99335410176525</v>
      </c>
      <c r="Y114" s="5">
        <f t="shared" si="10"/>
        <v>104.90774828660436</v>
      </c>
      <c r="Z114" s="5">
        <f>INDEX('Player Data'!$P:$P,AL114)/INDEX('Player Data'!$E:$E,AL114)*M114*L114*AM114</f>
        <v>131.46334371754932</v>
      </c>
      <c r="AB114" s="3">
        <f>(N114-Pool!$D$2)/Pool!$E$2</f>
        <v>-0.67388109664011708</v>
      </c>
      <c r="AC114" s="3">
        <f>(O114-Pool!$D$3)/Pool!$E$3</f>
        <v>-1.016782412631551</v>
      </c>
      <c r="AD114" s="3">
        <f>(P114-Pool!$D$4)/Pool!$E$4</f>
        <v>0.22732447466610753</v>
      </c>
      <c r="AE114" s="3">
        <f>(Q114-Pool!$D$5)/Pool!$E$5</f>
        <v>0.56012270972389278</v>
      </c>
      <c r="AF114" s="3">
        <f>(R114-Pool!$D$6)/Pool!$E$6</f>
        <v>-0.70502803485627308</v>
      </c>
      <c r="AG114" s="3">
        <f>(S114-Pool!$D$7)/Pool!$E$7</f>
        <v>0.20343618181027578</v>
      </c>
      <c r="AH114" s="3">
        <f>(AS114-Pool!$D$8)/Pool!$E$8</f>
        <v>-0.30672064339788191</v>
      </c>
      <c r="AI114" s="3">
        <f>(AT114-Pool!$D$9)/Pool!$E$9</f>
        <v>-1.2600531198965313E-2</v>
      </c>
      <c r="AJ114" s="3">
        <f>-(T114-Pool!$D$10)/Pool!$E$10</f>
        <v>-0.18428649096700203</v>
      </c>
      <c r="AL114">
        <f>MATCH(B114,'Player Data'!$A:$A,0)</f>
        <v>122</v>
      </c>
      <c r="AM114" s="3">
        <f>1+IF(Settings!$F$10="ON",IFERROR(VLOOKUP(TRIM(F114),Settings!$D$12:$F$17,3,FALSE),0),0)</f>
        <v>1</v>
      </c>
      <c r="AN114" t="str">
        <f t="shared" si="11"/>
        <v>PG</v>
      </c>
      <c r="AO114" s="6">
        <f>X114*(U114-Pool!$B$12)</f>
        <v>-11.334756199703083</v>
      </c>
      <c r="AP114" s="6">
        <f>Z114*(V114-Pool!$B$13)</f>
        <v>1.038605476269205</v>
      </c>
      <c r="AQ114" s="3">
        <f>Settings!$B$2*(N114-Pool!$B$2)/Pool!$C$2+Settings!$B$3*(O114-Pool!$B$3)/Pool!$C$3+Settings!$B$4*(P114-Pool!$B$4)/Pool!$C$4+Settings!$B$5*(Q114-Pool!$B$5)/Pool!$C$5+Settings!$B$6*(R114-Pool!$B$6)/Pool!$C$6+Settings!$B$7*(S114-Pool!$B$7)/Pool!$C$7+Settings!$B$8*(AO114-Pool!$B$8)/Pool!$C$8+Settings!$B$9*(AP114-Pool!$B$9)/Pool!$C$9+Settings!$B$10*-(T114-Pool!$B$10)/Pool!$C$10</f>
        <v>4.2815364061824179E-2</v>
      </c>
      <c r="AR114">
        <f>IF(RANK(AQ114,$AQ$2:$AQ$266)&lt;=Settings!$F$5,1,0)</f>
        <v>1</v>
      </c>
      <c r="AS114" s="6">
        <f>X114*(U114-Pool!$D$12)</f>
        <v>-14.024988160873031</v>
      </c>
      <c r="AT114" s="6">
        <f>Z114*(V114-Pool!$D$13)</f>
        <v>-0.2811252598761052</v>
      </c>
    </row>
    <row r="115" spans="1:46" x14ac:dyDescent="0.2">
      <c r="A115">
        <f t="shared" si="6"/>
        <v>114</v>
      </c>
      <c r="B115" t="s">
        <v>156</v>
      </c>
      <c r="C115" t="str">
        <f>INDEX('Player Data'!$C:$C,AL115)</f>
        <v>C</v>
      </c>
      <c r="D115">
        <f t="shared" si="7"/>
        <v>24</v>
      </c>
      <c r="E115" t="str">
        <f>INDEX('Player Data'!$B:$B,AL115)</f>
        <v>BOS</v>
      </c>
      <c r="F115" s="2"/>
      <c r="G115" s="3">
        <f>Settings!$B$2*AB115+Settings!$B$3*AC115+Settings!$B$4*AD115+Settings!$B$5*AE115+Settings!$B$6*AF115+Settings!$B$7*AG115+Settings!$B$8*AH115+Settings!$B$9*AI115+Settings!$B$10*AJ115</f>
        <v>-1.9876612971705307</v>
      </c>
      <c r="H115" s="3">
        <f>G115-LARGE($G$2:$G$266,Settings!$F$4)</f>
        <v>1.2286034692766343</v>
      </c>
      <c r="I115">
        <f>IF(INDEX('Player Data'!$R:$R,AL115)="","",INDEX('Player Data'!$R:$R,AL115))</f>
        <v>124</v>
      </c>
      <c r="J115" s="4">
        <f t="shared" si="8"/>
        <v>10</v>
      </c>
      <c r="L115" s="5">
        <f>IF(Settings!$F$7="Yes",INDEX('Minutes &amp; Health'!$O:$O,AL115),Settings!$F$8)</f>
        <v>75</v>
      </c>
      <c r="M115" s="6">
        <f>INDEX('Minutes &amp; Health'!$P:$P,AL115)</f>
        <v>21.9</v>
      </c>
      <c r="N115" s="5">
        <f>INDEX('Player Data'!$F:$F,AL115)/INDEX('Player Data'!$E:$E,AL115)*M115*L115*AM115</f>
        <v>680.03506097560967</v>
      </c>
      <c r="O115" s="5">
        <f>INDEX('Player Data'!$G:$G,AL115)/INDEX('Player Data'!$E:$E,AL115)*M115*L115*AM115</f>
        <v>534.81402439024396</v>
      </c>
      <c r="P115" s="5">
        <f>INDEX('Player Data'!$H:$H,AL115)/INDEX('Player Data'!$E:$E,AL115)*M115*L115*AM115</f>
        <v>99.150914634146332</v>
      </c>
      <c r="Q115" s="5">
        <f>INDEX('Player Data'!$I:$I,AL115)/INDEX('Player Data'!$E:$E,AL115)*M115*L115*AM115</f>
        <v>45.068597560975604</v>
      </c>
      <c r="R115" s="5">
        <f>INDEX('Player Data'!$J:$J,AL115)/INDEX('Player Data'!$E:$E,AL115)*M115*L115*AM115</f>
        <v>79.120426829268297</v>
      </c>
      <c r="S115" s="5">
        <f>INDEX('Player Data'!$K:$K,AL115)/INDEX('Player Data'!$E:$E,AL115)*M115*L115*AM115</f>
        <v>0</v>
      </c>
      <c r="T115" s="5">
        <f>INDEX('Player Data'!$L:$L,AL115)/INDEX('Player Data'!$E:$E,AL115)*M115*L115*AM115</f>
        <v>70.106707317073173</v>
      </c>
      <c r="U115" s="7">
        <f>INDEX('Player Data'!$M:$M,AL115)</f>
        <v>0.64200000000000002</v>
      </c>
      <c r="V115" s="7">
        <f>INDEX('Player Data'!$N:$N,AL115)</f>
        <v>0.71299999999999997</v>
      </c>
      <c r="W115" s="5">
        <f t="shared" si="9"/>
        <v>285.4825243902439</v>
      </c>
      <c r="X115" s="5">
        <f>INDEX('Player Data'!$O:$O,AL115)/INDEX('Player Data'!$E:$E,AL115)*M115*L115*AM115</f>
        <v>444.67682926829264</v>
      </c>
      <c r="Y115" s="5">
        <f t="shared" si="10"/>
        <v>109.04106814024388</v>
      </c>
      <c r="Z115" s="5">
        <f>INDEX('Player Data'!$P:$P,AL115)/INDEX('Player Data'!$E:$E,AL115)*M115*L115*AM115</f>
        <v>152.93277439024388</v>
      </c>
      <c r="AB115" s="3">
        <f>(N115-Pool!$D$2)/Pool!$E$2</f>
        <v>-1.3787633234468879</v>
      </c>
      <c r="AC115" s="3">
        <f>(O115-Pool!$D$3)/Pool!$E$3</f>
        <v>0.61341907941883123</v>
      </c>
      <c r="AD115" s="3">
        <f>(P115-Pool!$D$4)/Pool!$E$4</f>
        <v>-1.2235650004577987</v>
      </c>
      <c r="AE115" s="3">
        <f>(Q115-Pool!$D$5)/Pool!$E$5</f>
        <v>-1.2870834717288215</v>
      </c>
      <c r="AF115" s="3">
        <f>(R115-Pool!$D$6)/Pool!$E$6</f>
        <v>0.83309704081484792</v>
      </c>
      <c r="AG115" s="3">
        <f>(S115-Pool!$D$7)/Pool!$E$7</f>
        <v>-1.7381805406185855</v>
      </c>
      <c r="AH115" s="3">
        <f>(AS115-Pool!$D$8)/Pool!$E$8</f>
        <v>1.5358180165021738</v>
      </c>
      <c r="AI115" s="3">
        <f>(AT115-Pool!$D$9)/Pool!$E$9</f>
        <v>-0.59730931286119793</v>
      </c>
      <c r="AJ115" s="3">
        <f>-(T115-Pool!$D$10)/Pool!$E$10</f>
        <v>1.2549062152069081</v>
      </c>
      <c r="AL115">
        <f>MATCH(B115,'Player Data'!$A:$A,0)</f>
        <v>197</v>
      </c>
      <c r="AM115" s="3">
        <f>1+IF(Settings!$F$10="ON",IFERROR(VLOOKUP(TRIM(F115),Settings!$D$12:$F$17,3,FALSE),0),0)</f>
        <v>1</v>
      </c>
      <c r="AN115" t="str">
        <f t="shared" si="11"/>
        <v>C</v>
      </c>
      <c r="AO115" s="6">
        <f>X115*(U115-Pool!$B$12)</f>
        <v>71.767829922272441</v>
      </c>
      <c r="AP115" s="6">
        <f>Z115*(V115-Pool!$B$13)</f>
        <v>-11.791064485639474</v>
      </c>
      <c r="AQ115" s="3">
        <f>Settings!$B$2*(N115-Pool!$B$2)/Pool!$C$2+Settings!$B$3*(O115-Pool!$B$3)/Pool!$C$3+Settings!$B$4*(P115-Pool!$B$4)/Pool!$C$4+Settings!$B$5*(Q115-Pool!$B$5)/Pool!$C$5+Settings!$B$6*(R115-Pool!$B$6)/Pool!$C$6+Settings!$B$7*(S115-Pool!$B$7)/Pool!$C$7+Settings!$B$8*(AO115-Pool!$B$8)/Pool!$C$8+Settings!$B$9*(AP115-Pool!$B$9)/Pool!$C$9+Settings!$B$10*-(T115-Pool!$B$10)/Pool!$C$10</f>
        <v>0.4907157717442121</v>
      </c>
      <c r="AR115">
        <f>IF(RANK(AQ115,$AQ$2:$AQ$266)&lt;=Settings!$F$5,1,0)</f>
        <v>1</v>
      </c>
      <c r="AS115" s="6">
        <f>X115*(U115-Pool!$D$12)</f>
        <v>70.226213860529228</v>
      </c>
      <c r="AT115" s="6">
        <f>Z115*(V115-Pool!$D$13)</f>
        <v>-13.326321974300463</v>
      </c>
    </row>
    <row r="116" spans="1:46" x14ac:dyDescent="0.2">
      <c r="A116">
        <f t="shared" si="6"/>
        <v>115</v>
      </c>
      <c r="B116" t="s">
        <v>157</v>
      </c>
      <c r="C116" t="str">
        <f>INDEX('Player Data'!$C:$C,AL116)</f>
        <v>C,PF</v>
      </c>
      <c r="D116">
        <f t="shared" si="7"/>
        <v>25</v>
      </c>
      <c r="E116" t="str">
        <f>INDEX('Player Data'!$B:$B,AL116)</f>
        <v>NOR</v>
      </c>
      <c r="F116" s="2"/>
      <c r="G116" s="3">
        <f>Settings!$B$2*AB116+Settings!$B$3*AC116+Settings!$B$4*AD116+Settings!$B$5*AE116+Settings!$B$6*AF116+Settings!$B$7*AG116+Settings!$B$8*AH116+Settings!$B$9*AI116+Settings!$B$10*AJ116</f>
        <v>-1.9894734950007167</v>
      </c>
      <c r="H116" s="3">
        <f>G116-LARGE($G$2:$G$266,Settings!$F$4)</f>
        <v>1.2267912714464484</v>
      </c>
      <c r="I116">
        <f>IF(INDEX('Player Data'!$R:$R,AL116)="","",INDEX('Player Data'!$R:$R,AL116))</f>
        <v>92</v>
      </c>
      <c r="J116" s="4">
        <f t="shared" si="8"/>
        <v>-23</v>
      </c>
      <c r="L116" s="5">
        <f>IF(Settings!$F$7="Yes",INDEX('Minutes &amp; Health'!$O:$O,AL116),Settings!$F$8)</f>
        <v>77</v>
      </c>
      <c r="M116" s="6">
        <f>INDEX('Minutes &amp; Health'!$P:$P,AL116)</f>
        <v>24.9</v>
      </c>
      <c r="N116" s="5">
        <f>INDEX('Player Data'!$F:$F,AL116)/INDEX('Player Data'!$E:$E,AL116)*M116*L116*AM116</f>
        <v>876.59436325678496</v>
      </c>
      <c r="O116" s="5">
        <f>INDEX('Player Data'!$G:$G,AL116)/INDEX('Player Data'!$E:$E,AL116)*M116*L116*AM116</f>
        <v>522.35417536534442</v>
      </c>
      <c r="P116" s="5">
        <f>INDEX('Player Data'!$H:$H,AL116)/INDEX('Player Data'!$E:$E,AL116)*M116*L116*AM116</f>
        <v>269.18251565762</v>
      </c>
      <c r="Q116" s="5">
        <f>INDEX('Player Data'!$I:$I,AL116)/INDEX('Player Data'!$E:$E,AL116)*M116*L116*AM116</f>
        <v>75.0508872651357</v>
      </c>
      <c r="R116" s="5">
        <f>INDEX('Player Data'!$J:$J,AL116)/INDEX('Player Data'!$E:$E,AL116)*M116*L116*AM116</f>
        <v>68.046137787056367</v>
      </c>
      <c r="S116" s="5">
        <f>INDEX('Player Data'!$K:$K,AL116)/INDEX('Player Data'!$E:$E,AL116)*M116*L116*AM116</f>
        <v>24.016283924843425</v>
      </c>
      <c r="T116" s="5">
        <f>INDEX('Player Data'!$L:$L,AL116)/INDEX('Player Data'!$E:$E,AL116)*M116*L116*AM116</f>
        <v>177.12009394572021</v>
      </c>
      <c r="U116" s="7">
        <f>INDEX('Player Data'!$M:$M,AL116)</f>
        <v>0.47499999999999998</v>
      </c>
      <c r="V116" s="7">
        <f>INDEX('Player Data'!$N:$N,AL116)</f>
        <v>0.80100000000000005</v>
      </c>
      <c r="W116" s="5">
        <f t="shared" si="9"/>
        <v>327.63965174843418</v>
      </c>
      <c r="X116" s="5">
        <f>INDEX('Player Data'!$O:$O,AL116)/INDEX('Player Data'!$E:$E,AL116)*M116*L116*AM116</f>
        <v>689.76768789144035</v>
      </c>
      <c r="Y116" s="5">
        <f t="shared" si="10"/>
        <v>197.25984944154487</v>
      </c>
      <c r="Z116" s="5">
        <f>INDEX('Player Data'!$P:$P,AL116)/INDEX('Player Data'!$E:$E,AL116)*M116*L116*AM116</f>
        <v>246.26697807933192</v>
      </c>
      <c r="AB116" s="3">
        <f>(N116-Pool!$D$2)/Pool!$E$2</f>
        <v>-0.89425227929173101</v>
      </c>
      <c r="AC116" s="3">
        <f>(O116-Pool!$D$3)/Pool!$E$3</f>
        <v>0.54089640764570901</v>
      </c>
      <c r="AD116" s="3">
        <f>(P116-Pool!$D$4)/Pool!$E$4</f>
        <v>-7.358557525590817E-2</v>
      </c>
      <c r="AE116" s="3">
        <f>(Q116-Pool!$D$5)/Pool!$E$5</f>
        <v>3.6579724027847781E-2</v>
      </c>
      <c r="AF116" s="3">
        <f>(R116-Pool!$D$6)/Pool!$E$6</f>
        <v>0.51259907844712571</v>
      </c>
      <c r="AG116" s="3">
        <f>(S116-Pool!$D$7)/Pool!$E$7</f>
        <v>-1.3999277083899131</v>
      </c>
      <c r="AH116" s="3">
        <f>(AS116-Pool!$D$8)/Pool!$E$8</f>
        <v>-0.13687453312033862</v>
      </c>
      <c r="AI116" s="3">
        <f>(AT116-Pool!$D$9)/Pool!$E$9</f>
        <v>9.5101056895126497E-3</v>
      </c>
      <c r="AJ116" s="3">
        <f>-(T116-Pool!$D$10)/Pool!$E$10</f>
        <v>-0.58441871475302087</v>
      </c>
      <c r="AL116">
        <f>MATCH(B116,'Player Data'!$A:$A,0)</f>
        <v>155</v>
      </c>
      <c r="AM116" s="3">
        <f>1+IF(Settings!$F$10="ON",IFERROR(VLOOKUP(TRIM(F116),Settings!$D$12:$F$17,3,FALSE),0),0)</f>
        <v>1</v>
      </c>
      <c r="AN116" t="str">
        <f t="shared" si="11"/>
        <v>C</v>
      </c>
      <c r="AO116" s="6">
        <f>X116*(U116-Pool!$B$12)</f>
        <v>-3.8673685614938149</v>
      </c>
      <c r="AP116" s="6">
        <f>Z116*(V116-Pool!$B$13)</f>
        <v>2.6843944725173561</v>
      </c>
      <c r="AQ116" s="3">
        <f>Settings!$B$2*(N116-Pool!$B$2)/Pool!$C$2+Settings!$B$3*(O116-Pool!$B$3)/Pool!$C$3+Settings!$B$4*(P116-Pool!$B$4)/Pool!$C$4+Settings!$B$5*(Q116-Pool!$B$5)/Pool!$C$5+Settings!$B$6*(R116-Pool!$B$6)/Pool!$C$6+Settings!$B$7*(S116-Pool!$B$7)/Pool!$C$7+Settings!$B$8*(AO116-Pool!$B$8)/Pool!$C$8+Settings!$B$9*(AP116-Pool!$B$9)/Pool!$C$9+Settings!$B$10*-(T116-Pool!$B$10)/Pool!$C$10</f>
        <v>0.24170904478692923</v>
      </c>
      <c r="AR116">
        <f>IF(RANK(AQ116,$AQ$2:$AQ$266)&lt;=Settings!$F$5,1,0)</f>
        <v>1</v>
      </c>
      <c r="AS116" s="6">
        <f>X116*(U116-Pool!$D$12)</f>
        <v>-6.2586713605954927</v>
      </c>
      <c r="AT116" s="6">
        <f>Z116*(V116-Pool!$D$13)</f>
        <v>0.21217604966027831</v>
      </c>
    </row>
    <row r="117" spans="1:46" x14ac:dyDescent="0.2">
      <c r="A117">
        <f t="shared" si="6"/>
        <v>116</v>
      </c>
      <c r="B117" t="s">
        <v>158</v>
      </c>
      <c r="C117" t="str">
        <f>INDEX('Player Data'!$C:$C,AL117)</f>
        <v>C,PF</v>
      </c>
      <c r="D117">
        <f t="shared" si="7"/>
        <v>26</v>
      </c>
      <c r="E117" t="str">
        <f>INDEX('Player Data'!$B:$B,AL117)</f>
        <v>NOR</v>
      </c>
      <c r="F117" s="2"/>
      <c r="G117" s="3">
        <f>Settings!$B$2*AB117+Settings!$B$3*AC117+Settings!$B$4*AD117+Settings!$B$5*AE117+Settings!$B$6*AF117+Settings!$B$7*AG117+Settings!$B$8*AH117+Settings!$B$9*AI117+Settings!$B$10*AJ117</f>
        <v>-1.9940946109761395</v>
      </c>
      <c r="H117" s="3">
        <f>G117-LARGE($G$2:$G$266,Settings!$F$4)</f>
        <v>1.2221701554710256</v>
      </c>
      <c r="I117">
        <f>IF(INDEX('Player Data'!$R:$R,AL117)="","",INDEX('Player Data'!$R:$R,AL117))</f>
        <v>73</v>
      </c>
      <c r="J117" s="4">
        <f t="shared" si="8"/>
        <v>-43</v>
      </c>
      <c r="L117" s="5">
        <f>IF(Settings!$F$7="Yes",INDEX('Minutes &amp; Health'!$O:$O,AL117),Settings!$F$8)</f>
        <v>69</v>
      </c>
      <c r="M117" s="6">
        <f>INDEX('Minutes &amp; Health'!$P:$P,AL117)</f>
        <v>30</v>
      </c>
      <c r="N117" s="5">
        <f>INDEX('Player Data'!$F:$F,AL117)/INDEX('Player Data'!$E:$E,AL117)*M117*L117*AM117</f>
        <v>1532.9999999999998</v>
      </c>
      <c r="O117" s="5">
        <f>INDEX('Player Data'!$G:$G,AL117)/INDEX('Player Data'!$E:$E,AL117)*M117*L117*AM117</f>
        <v>403</v>
      </c>
      <c r="P117" s="5">
        <f>INDEX('Player Data'!$H:$H,AL117)/INDEX('Player Data'!$E:$E,AL117)*M117*L117*AM117</f>
        <v>294.99999999999994</v>
      </c>
      <c r="Q117" s="5">
        <f>INDEX('Player Data'!$I:$I,AL117)/INDEX('Player Data'!$E:$E,AL117)*M117*L117*AM117</f>
        <v>69.999999999999986</v>
      </c>
      <c r="R117" s="5">
        <f>INDEX('Player Data'!$J:$J,AL117)/INDEX('Player Data'!$E:$E,AL117)*M117*L117*AM117</f>
        <v>41.999999999999993</v>
      </c>
      <c r="S117" s="5">
        <f>INDEX('Player Data'!$K:$K,AL117)/INDEX('Player Data'!$E:$E,AL117)*M117*L117*AM117</f>
        <v>2</v>
      </c>
      <c r="T117" s="5">
        <f>INDEX('Player Data'!$L:$L,AL117)/INDEX('Player Data'!$E:$E,AL117)*M117*L117*AM117</f>
        <v>166</v>
      </c>
      <c r="U117" s="7">
        <f>INDEX('Player Data'!$M:$M,AL117)</f>
        <v>0.58599999999999997</v>
      </c>
      <c r="V117" s="7">
        <f>INDEX('Player Data'!$N:$N,AL117)</f>
        <v>0.7</v>
      </c>
      <c r="W117" s="5">
        <f t="shared" si="9"/>
        <v>582.30819999999994</v>
      </c>
      <c r="X117" s="5">
        <f>INDEX('Player Data'!$O:$O,AL117)/INDEX('Player Data'!$E:$E,AL117)*M117*L117*AM117</f>
        <v>993.7</v>
      </c>
      <c r="Y117" s="5">
        <f t="shared" si="10"/>
        <v>366.37999999999994</v>
      </c>
      <c r="Z117" s="5">
        <f>INDEX('Player Data'!$P:$P,AL117)/INDEX('Player Data'!$E:$E,AL117)*M117*L117*AM117</f>
        <v>523.4</v>
      </c>
      <c r="AB117" s="3">
        <f>(N117-Pool!$D$2)/Pool!$E$2</f>
        <v>0.72376211512670197</v>
      </c>
      <c r="AC117" s="3">
        <f>(O117-Pool!$D$3)/Pool!$E$3</f>
        <v>-0.15380572457714331</v>
      </c>
      <c r="AD117" s="3">
        <f>(P117-Pool!$D$4)/Pool!$E$4</f>
        <v>0.10102652993805578</v>
      </c>
      <c r="AE117" s="3">
        <f>(Q117-Pool!$D$5)/Pool!$E$5</f>
        <v>-0.18640770104024343</v>
      </c>
      <c r="AF117" s="3">
        <f>(R117-Pool!$D$6)/Pool!$E$6</f>
        <v>-0.24119505284937498</v>
      </c>
      <c r="AG117" s="3">
        <f>(S117-Pool!$D$7)/Pool!$E$7</f>
        <v>-1.7100119169224965</v>
      </c>
      <c r="AH117" s="3">
        <f>(AS117-Pool!$D$8)/Pool!$E$8</f>
        <v>2.2150447655795165</v>
      </c>
      <c r="AI117" s="3">
        <f>(AT117-Pool!$D$9)/Pool!$E$9</f>
        <v>-2.3492188874767108</v>
      </c>
      <c r="AJ117" s="3">
        <f>-(T117-Pool!$D$10)/Pool!$E$10</f>
        <v>-0.39328873875444464</v>
      </c>
      <c r="AL117">
        <f>MATCH(B117,'Player Data'!$A:$A,0)</f>
        <v>29</v>
      </c>
      <c r="AM117" s="3">
        <f>1+IF(Settings!$F$10="ON",IFERROR(VLOOKUP(TRIM(F117),Settings!$D$12:$F$17,3,FALSE),0),0)</f>
        <v>1</v>
      </c>
      <c r="AN117" t="str">
        <f t="shared" si="11"/>
        <v>C</v>
      </c>
      <c r="AO117" s="6">
        <f>X117*(U117-Pool!$B$12)</f>
        <v>104.72925296497849</v>
      </c>
      <c r="AP117" s="6">
        <f>Z117*(V117-Pool!$B$13)</f>
        <v>-47.158160597326351</v>
      </c>
      <c r="AQ117" s="3">
        <f>Settings!$B$2*(N117-Pool!$B$2)/Pool!$C$2+Settings!$B$3*(O117-Pool!$B$3)/Pool!$C$3+Settings!$B$4*(P117-Pool!$B$4)/Pool!$C$4+Settings!$B$5*(Q117-Pool!$B$5)/Pool!$C$5+Settings!$B$6*(R117-Pool!$B$6)/Pool!$C$6+Settings!$B$7*(S117-Pool!$B$7)/Pool!$C$7+Settings!$B$8*(AO117-Pool!$B$8)/Pool!$C$8+Settings!$B$9*(AP117-Pool!$B$9)/Pool!$C$9+Settings!$B$10*-(T117-Pool!$B$10)/Pool!$C$10</f>
        <v>7.4427677064163089E-2</v>
      </c>
      <c r="AR117">
        <f>IF(RANK(AQ117,$AQ$2:$AQ$266)&lt;=Settings!$F$5,1,0)</f>
        <v>1</v>
      </c>
      <c r="AS117" s="6">
        <f>X117*(U117-Pool!$D$12)</f>
        <v>101.28427049743019</v>
      </c>
      <c r="AT117" s="6">
        <f>Z117*(V117-Pool!$D$13)</f>
        <v>-52.412454667181549</v>
      </c>
    </row>
    <row r="118" spans="1:46" x14ac:dyDescent="0.2">
      <c r="A118">
        <f t="shared" si="6"/>
        <v>117</v>
      </c>
      <c r="B118" t="s">
        <v>159</v>
      </c>
      <c r="C118" t="str">
        <f>INDEX('Player Data'!$C:$C,AL118)</f>
        <v>PG,SG</v>
      </c>
      <c r="D118">
        <f t="shared" si="7"/>
        <v>45</v>
      </c>
      <c r="E118" t="str">
        <f>INDEX('Player Data'!$B:$B,AL118)</f>
        <v>HOU</v>
      </c>
      <c r="F118" s="2"/>
      <c r="G118" s="3">
        <f>Settings!$B$2*AB118+Settings!$B$3*AC118+Settings!$B$4*AD118+Settings!$B$5*AE118+Settings!$B$6*AF118+Settings!$B$7*AG118+Settings!$B$8*AH118+Settings!$B$9*AI118+Settings!$B$10*AJ118</f>
        <v>-2.0242789106186856</v>
      </c>
      <c r="H118" s="3">
        <f>G118-LARGE($G$2:$G$266,Settings!$F$4)</f>
        <v>1.1919858558284795</v>
      </c>
      <c r="I118">
        <f>IF(INDEX('Player Data'!$R:$R,AL118)="","",INDEX('Player Data'!$R:$R,AL118))</f>
        <v>160</v>
      </c>
      <c r="J118" s="4">
        <f t="shared" si="8"/>
        <v>43</v>
      </c>
      <c r="L118" s="5">
        <f>IF(Settings!$F$7="Yes",INDEX('Minutes &amp; Health'!$O:$O,AL118),Settings!$F$8)</f>
        <v>77</v>
      </c>
      <c r="M118" s="6">
        <f>INDEX('Minutes &amp; Health'!$P:$P,AL118)</f>
        <v>21.4</v>
      </c>
      <c r="N118" s="5">
        <f>INDEX('Player Data'!$F:$F,AL118)/INDEX('Player Data'!$E:$E,AL118)*M118*L118*AM118</f>
        <v>792.82834549878339</v>
      </c>
      <c r="O118" s="5">
        <f>INDEX('Player Data'!$G:$G,AL118)/INDEX('Player Data'!$E:$E,AL118)*M118*L118*AM118</f>
        <v>180.41605839416059</v>
      </c>
      <c r="P118" s="5">
        <f>INDEX('Player Data'!$H:$H,AL118)/INDEX('Player Data'!$E:$E,AL118)*M118*L118*AM118</f>
        <v>202.46690997566907</v>
      </c>
      <c r="Q118" s="5">
        <f>INDEX('Player Data'!$I:$I,AL118)/INDEX('Player Data'!$E:$E,AL118)*M118*L118*AM118</f>
        <v>90.208029197080293</v>
      </c>
      <c r="R118" s="5">
        <f>INDEX('Player Data'!$J:$J,AL118)/INDEX('Player Data'!$E:$E,AL118)*M118*L118*AM118</f>
        <v>42.097080291970798</v>
      </c>
      <c r="S118" s="5">
        <f>INDEX('Player Data'!$K:$K,AL118)/INDEX('Player Data'!$E:$E,AL118)*M118*L118*AM118</f>
        <v>165.38138686131387</v>
      </c>
      <c r="T118" s="5">
        <f>INDEX('Player Data'!$L:$L,AL118)/INDEX('Player Data'!$E:$E,AL118)*M118*L118*AM118</f>
        <v>92.212652068126502</v>
      </c>
      <c r="U118" s="7">
        <f>INDEX('Player Data'!$M:$M,AL118)</f>
        <v>0.42299999999999999</v>
      </c>
      <c r="V118" s="7">
        <f>INDEX('Player Data'!$N:$N,AL118)</f>
        <v>0.80200000000000005</v>
      </c>
      <c r="W118" s="5">
        <f t="shared" si="9"/>
        <v>281.69080861313864</v>
      </c>
      <c r="X118" s="5">
        <f>INDEX('Player Data'!$O:$O,AL118)/INDEX('Player Data'!$E:$E,AL118)*M118*L118*AM118</f>
        <v>665.93571776155716</v>
      </c>
      <c r="Y118" s="5">
        <f t="shared" si="10"/>
        <v>64.067145571776166</v>
      </c>
      <c r="Z118" s="5">
        <f>INDEX('Player Data'!$P:$P,AL118)/INDEX('Player Data'!$E:$E,AL118)*M118*L118*AM118</f>
        <v>79.884221411192215</v>
      </c>
      <c r="AB118" s="3">
        <f>(N118-Pool!$D$2)/Pool!$E$2</f>
        <v>-1.1007322589092394</v>
      </c>
      <c r="AC118" s="3">
        <f>(O118-Pool!$D$3)/Pool!$E$3</f>
        <v>-1.4493577097408028</v>
      </c>
      <c r="AD118" s="3">
        <f>(P118-Pool!$D$4)/Pool!$E$4</f>
        <v>-0.52480507452730618</v>
      </c>
      <c r="AE118" s="3">
        <f>(Q118-Pool!$D$5)/Pool!$E$5</f>
        <v>0.70573978905755186</v>
      </c>
      <c r="AF118" s="3">
        <f>(R118-Pool!$D$6)/Pool!$E$6</f>
        <v>-0.23838547874090546</v>
      </c>
      <c r="AG118" s="3">
        <f>(S118-Pool!$D$7)/Pool!$E$7</f>
        <v>0.59110248579824587</v>
      </c>
      <c r="AH118" s="3">
        <f>(AS118-Pool!$D$8)/Pool!$E$8</f>
        <v>-0.88945971681837221</v>
      </c>
      <c r="AI118" s="3">
        <f>(AT118-Pool!$D$9)/Pool!$E$9</f>
        <v>6.6654454988786813E-3</v>
      </c>
      <c r="AJ118" s="3">
        <f>-(T118-Pool!$D$10)/Pool!$E$10</f>
        <v>0.87495360776326425</v>
      </c>
      <c r="AL118">
        <f>MATCH(B118,'Player Data'!$A:$A,0)</f>
        <v>171</v>
      </c>
      <c r="AM118" s="3">
        <f>1+IF(Settings!$F$10="ON",IFERROR(VLOOKUP(TRIM(F118),Settings!$D$12:$F$17,3,FALSE),0),0)</f>
        <v>1</v>
      </c>
      <c r="AN118" t="str">
        <f t="shared" si="11"/>
        <v>PG</v>
      </c>
      <c r="AO118" s="6">
        <f>X118*(U118-Pool!$B$12)</f>
        <v>-38.36240551745982</v>
      </c>
      <c r="AP118" s="6">
        <f>Z118*(V118-Pool!$B$13)</f>
        <v>0.95064961622785948</v>
      </c>
      <c r="AQ118" s="3">
        <f>Settings!$B$2*(N118-Pool!$B$2)/Pool!$C$2+Settings!$B$3*(O118-Pool!$B$3)/Pool!$C$3+Settings!$B$4*(P118-Pool!$B$4)/Pool!$C$4+Settings!$B$5*(Q118-Pool!$B$5)/Pool!$C$5+Settings!$B$6*(R118-Pool!$B$6)/Pool!$C$6+Settings!$B$7*(S118-Pool!$B$7)/Pool!$C$7+Settings!$B$8*(AO118-Pool!$B$8)/Pool!$C$8+Settings!$B$9*(AP118-Pool!$B$9)/Pool!$C$9+Settings!$B$10*-(T118-Pool!$B$10)/Pool!$C$10</f>
        <v>-0.16780337206399831</v>
      </c>
      <c r="AR118">
        <f>IF(RANK(AQ118,$AQ$2:$AQ$266)&lt;=Settings!$F$5,1,0)</f>
        <v>1</v>
      </c>
      <c r="AS118" s="6">
        <f>X118*(U118-Pool!$D$12)</f>
        <v>-40.671087083528811</v>
      </c>
      <c r="AT118" s="6">
        <f>Z118*(V118-Pool!$D$13)</f>
        <v>0.1487100082113767</v>
      </c>
    </row>
    <row r="119" spans="1:46" x14ac:dyDescent="0.2">
      <c r="A119">
        <f t="shared" si="6"/>
        <v>118</v>
      </c>
      <c r="B119" t="s">
        <v>160</v>
      </c>
      <c r="C119" t="str">
        <f>INDEX('Player Data'!$C:$C,AL119)</f>
        <v>PG,SG</v>
      </c>
      <c r="D119">
        <f t="shared" si="7"/>
        <v>46</v>
      </c>
      <c r="E119" t="str">
        <f>INDEX('Player Data'!$B:$B,AL119)</f>
        <v>IND</v>
      </c>
      <c r="F119" s="2"/>
      <c r="G119" s="3">
        <f>Settings!$B$2*AB119+Settings!$B$3*AC119+Settings!$B$4*AD119+Settings!$B$5*AE119+Settings!$B$6*AF119+Settings!$B$7*AG119+Settings!$B$8*AH119+Settings!$B$9*AI119+Settings!$B$10*AJ119</f>
        <v>-2.0352282150831194</v>
      </c>
      <c r="H119" s="3">
        <f>G119-LARGE($G$2:$G$266,Settings!$F$4)</f>
        <v>1.1810365513640457</v>
      </c>
      <c r="I119">
        <f>IF(INDEX('Player Data'!$R:$R,AL119)="","",INDEX('Player Data'!$R:$R,AL119))</f>
        <v>182</v>
      </c>
      <c r="J119" s="4">
        <f t="shared" si="8"/>
        <v>64</v>
      </c>
      <c r="L119" s="5">
        <f>IF(Settings!$F$7="Yes",INDEX('Minutes &amp; Health'!$O:$O,AL119),Settings!$F$8)</f>
        <v>75</v>
      </c>
      <c r="M119" s="6">
        <f>INDEX('Minutes &amp; Health'!$P:$P,AL119)</f>
        <v>32.1</v>
      </c>
      <c r="N119" s="5">
        <f>INDEX('Player Data'!$F:$F,AL119)/INDEX('Player Data'!$E:$E,AL119)*M119*L119*AM119</f>
        <v>998.03638253638269</v>
      </c>
      <c r="O119" s="5">
        <f>INDEX('Player Data'!$G:$G,AL119)/INDEX('Player Data'!$E:$E,AL119)*M119*L119*AM119</f>
        <v>231.24012474012477</v>
      </c>
      <c r="P119" s="5">
        <f>INDEX('Player Data'!$H:$H,AL119)/INDEX('Player Data'!$E:$E,AL119)*M119*L119*AM119</f>
        <v>471.48960498960503</v>
      </c>
      <c r="Q119" s="5">
        <f>INDEX('Player Data'!$I:$I,AL119)/INDEX('Player Data'!$E:$E,AL119)*M119*L119*AM119</f>
        <v>80.083160083160081</v>
      </c>
      <c r="R119" s="5">
        <f>INDEX('Player Data'!$J:$J,AL119)/INDEX('Player Data'!$E:$E,AL119)*M119*L119*AM119</f>
        <v>10.01039501039501</v>
      </c>
      <c r="S119" s="5">
        <f>INDEX('Player Data'!$K:$K,AL119)/INDEX('Player Data'!$E:$E,AL119)*M119*L119*AM119</f>
        <v>96.099792099792111</v>
      </c>
      <c r="T119" s="5">
        <f>INDEX('Player Data'!$L:$L,AL119)/INDEX('Player Data'!$E:$E,AL119)*M119*L119*AM119</f>
        <v>149.15488565488567</v>
      </c>
      <c r="U119" s="7">
        <f>INDEX('Player Data'!$M:$M,AL119)</f>
        <v>0.46700000000000003</v>
      </c>
      <c r="V119" s="7">
        <f>INDEX('Player Data'!$N:$N,AL119)</f>
        <v>0.81</v>
      </c>
      <c r="W119" s="5">
        <f t="shared" si="9"/>
        <v>358.00035530145533</v>
      </c>
      <c r="X119" s="5">
        <f>INDEX('Player Data'!$O:$O,AL119)/INDEX('Player Data'!$E:$E,AL119)*M119*L119*AM119</f>
        <v>766.59604989604986</v>
      </c>
      <c r="Y119" s="5">
        <f t="shared" si="10"/>
        <v>185.92606964656966</v>
      </c>
      <c r="Z119" s="5">
        <f>INDEX('Player Data'!$P:$P,AL119)/INDEX('Player Data'!$E:$E,AL119)*M119*L119*AM119</f>
        <v>229.5383575883576</v>
      </c>
      <c r="AB119" s="3">
        <f>(N119-Pool!$D$2)/Pool!$E$2</f>
        <v>-0.59490241956696055</v>
      </c>
      <c r="AC119" s="3">
        <f>(O119-Pool!$D$3)/Pool!$E$3</f>
        <v>-1.1535357399546589</v>
      </c>
      <c r="AD119" s="3">
        <f>(P119-Pool!$D$4)/Pool!$E$4</f>
        <v>1.2946835517997464</v>
      </c>
      <c r="AE119" s="3">
        <f>(Q119-Pool!$D$5)/Pool!$E$5</f>
        <v>0.25874535533723181</v>
      </c>
      <c r="AF119" s="3">
        <f>(R119-Pool!$D$6)/Pool!$E$6</f>
        <v>-1.1669974386311448</v>
      </c>
      <c r="AG119" s="3">
        <f>(S119-Pool!$D$7)/Pool!$E$7</f>
        <v>-0.38468110015287177</v>
      </c>
      <c r="AH119" s="3">
        <f>(AS119-Pool!$D$8)/Pool!$E$8</f>
        <v>-0.28624111066718483</v>
      </c>
      <c r="AI119" s="3">
        <f>(AT119-Pool!$D$9)/Pool!$E$9</f>
        <v>0.10145893087370307</v>
      </c>
      <c r="AJ119" s="3">
        <f>-(T119-Pool!$D$10)/Pool!$E$10</f>
        <v>-0.10375824412097971</v>
      </c>
      <c r="AL119">
        <f>MATCH(B119,'Player Data'!$A:$A,0)</f>
        <v>118</v>
      </c>
      <c r="AM119" s="3">
        <f>1+IF(Settings!$F$10="ON",IFERROR(VLOOKUP(TRIM(F119),Settings!$D$12:$F$17,3,FALSE),0),0)</f>
        <v>1</v>
      </c>
      <c r="AN119" t="str">
        <f t="shared" si="11"/>
        <v>PG</v>
      </c>
      <c r="AO119" s="6">
        <f>X119*(U119-Pool!$B$12)</f>
        <v>-10.430895891623372</v>
      </c>
      <c r="AP119" s="6">
        <f>Z119*(V119-Pool!$B$13)</f>
        <v>4.5678919934922071</v>
      </c>
      <c r="AQ119" s="3">
        <f>Settings!$B$2*(N119-Pool!$B$2)/Pool!$C$2+Settings!$B$3*(O119-Pool!$B$3)/Pool!$C$3+Settings!$B$4*(P119-Pool!$B$4)/Pool!$C$4+Settings!$B$5*(Q119-Pool!$B$5)/Pool!$C$5+Settings!$B$6*(R119-Pool!$B$6)/Pool!$C$6+Settings!$B$7*(S119-Pool!$B$7)/Pool!$C$7+Settings!$B$8*(AO119-Pool!$B$8)/Pool!$C$8+Settings!$B$9*(AP119-Pool!$B$9)/Pool!$C$9+Settings!$B$10*-(T119-Pool!$B$10)/Pool!$C$10</f>
        <v>-2.4200845339728438E-2</v>
      </c>
      <c r="AR119">
        <f>IF(RANK(AQ119,$AQ$2:$AQ$266)&lt;=Settings!$F$5,1,0)</f>
        <v>1</v>
      </c>
      <c r="AS119" s="6">
        <f>X119*(U119-Pool!$D$12)</f>
        <v>-13.0885490581562</v>
      </c>
      <c r="AT119" s="6">
        <f>Z119*(V119-Pool!$D$13)</f>
        <v>2.2636084033492763</v>
      </c>
    </row>
    <row r="120" spans="1:46" x14ac:dyDescent="0.2">
      <c r="A120">
        <f t="shared" si="6"/>
        <v>119</v>
      </c>
      <c r="B120" t="s">
        <v>161</v>
      </c>
      <c r="C120" t="str">
        <f>INDEX('Player Data'!$C:$C,AL120)</f>
        <v>SF,SG</v>
      </c>
      <c r="D120">
        <f t="shared" si="7"/>
        <v>14</v>
      </c>
      <c r="E120" t="str">
        <f>INDEX('Player Data'!$B:$B,AL120)</f>
        <v>MEM</v>
      </c>
      <c r="F120" s="2"/>
      <c r="G120" s="3">
        <f>Settings!$B$2*AB120+Settings!$B$3*AC120+Settings!$B$4*AD120+Settings!$B$5*AE120+Settings!$B$6*AF120+Settings!$B$7*AG120+Settings!$B$8*AH120+Settings!$B$9*AI120+Settings!$B$10*AJ120</f>
        <v>-2.0452600229857132</v>
      </c>
      <c r="H120" s="3">
        <f>G120-LARGE($G$2:$G$266,Settings!$F$4)</f>
        <v>1.1710047434614519</v>
      </c>
      <c r="I120">
        <f>IF(INDEX('Player Data'!$R:$R,AL120)="","",INDEX('Player Data'!$R:$R,AL120))</f>
        <v>118</v>
      </c>
      <c r="J120" s="4">
        <f t="shared" si="8"/>
        <v>-1</v>
      </c>
      <c r="L120" s="5">
        <f>IF(Settings!$F$7="Yes",INDEX('Minutes &amp; Health'!$O:$O,AL120),Settings!$F$8)</f>
        <v>74</v>
      </c>
      <c r="M120" s="6">
        <f>INDEX('Minutes &amp; Health'!$P:$P,AL120)</f>
        <v>27.3</v>
      </c>
      <c r="N120" s="5">
        <f>INDEX('Player Data'!$F:$F,AL120)/INDEX('Player Data'!$E:$E,AL120)*M120*L120*AM120</f>
        <v>1032.1239841427155</v>
      </c>
      <c r="O120" s="5">
        <f>INDEX('Player Data'!$G:$G,AL120)/INDEX('Player Data'!$E:$E,AL120)*M120*L120*AM120</f>
        <v>428.46660059464824</v>
      </c>
      <c r="P120" s="5">
        <f>INDEX('Player Data'!$H:$H,AL120)/INDEX('Player Data'!$E:$E,AL120)*M120*L120*AM120</f>
        <v>204.22239841427157</v>
      </c>
      <c r="Q120" s="5">
        <f>INDEX('Player Data'!$I:$I,AL120)/INDEX('Player Data'!$E:$E,AL120)*M120*L120*AM120</f>
        <v>49.053419226957381</v>
      </c>
      <c r="R120" s="5">
        <f>INDEX('Player Data'!$J:$J,AL120)/INDEX('Player Data'!$E:$E,AL120)*M120*L120*AM120</f>
        <v>33.035976214073337</v>
      </c>
      <c r="S120" s="5">
        <f>INDEX('Player Data'!$K:$K,AL120)/INDEX('Player Data'!$E:$E,AL120)*M120*L120*AM120</f>
        <v>116.12646184340932</v>
      </c>
      <c r="T120" s="5">
        <f>INDEX('Player Data'!$L:$L,AL120)/INDEX('Player Data'!$E:$E,AL120)*M120*L120*AM120</f>
        <v>127.13845391476711</v>
      </c>
      <c r="U120" s="7">
        <f>INDEX('Player Data'!$M:$M,AL120)</f>
        <v>0.48099999999999998</v>
      </c>
      <c r="V120" s="7">
        <f>INDEX('Player Data'!$N:$N,AL120)</f>
        <v>0.85399999999999998</v>
      </c>
      <c r="W120" s="5">
        <f t="shared" si="9"/>
        <v>373.80737664023781</v>
      </c>
      <c r="X120" s="5">
        <f>INDEX('Player Data'!$O:$O,AL120)/INDEX('Player Data'!$E:$E,AL120)*M120*L120*AM120</f>
        <v>777.14631318136765</v>
      </c>
      <c r="Y120" s="5">
        <f t="shared" si="10"/>
        <v>168.42141110009914</v>
      </c>
      <c r="Z120" s="5">
        <f>INDEX('Player Data'!$P:$P,AL120)/INDEX('Player Data'!$E:$E,AL120)*M120*L120*AM120</f>
        <v>197.21476709613481</v>
      </c>
      <c r="AB120" s="3">
        <f>(N120-Pool!$D$2)/Pool!$E$2</f>
        <v>-0.51087780584807563</v>
      </c>
      <c r="AC120" s="3">
        <f>(O120-Pool!$D$3)/Pool!$E$3</f>
        <v>-5.5771294784347459E-3</v>
      </c>
      <c r="AD120" s="3">
        <f>(P120-Pool!$D$4)/Pool!$E$4</f>
        <v>-0.51293213106608471</v>
      </c>
      <c r="AE120" s="3">
        <f>(Q120-Pool!$D$5)/Pool!$E$5</f>
        <v>-1.1111608910000388</v>
      </c>
      <c r="AF120" s="3">
        <f>(R120-Pool!$D$6)/Pool!$E$6</f>
        <v>-0.50062040711405442</v>
      </c>
      <c r="AG120" s="3">
        <f>(S120-Pool!$D$7)/Pool!$E$7</f>
        <v>-0.10261923820596996</v>
      </c>
      <c r="AH120" s="3">
        <f>(AS120-Pool!$D$8)/Pool!$E$8</f>
        <v>-5.2238376643866345E-2</v>
      </c>
      <c r="AI120" s="3">
        <f>(AT120-Pool!$D$9)/Pool!$E$9</f>
        <v>0.47611012498097394</v>
      </c>
      <c r="AJ120" s="3">
        <f>-(T120-Pool!$D$10)/Pool!$E$10</f>
        <v>0.27465583138983762</v>
      </c>
      <c r="AL120">
        <f>MATCH(B120,'Player Data'!$A:$A,0)</f>
        <v>106</v>
      </c>
      <c r="AM120" s="3">
        <f>1+IF(Settings!$F$10="ON",IFERROR(VLOOKUP(TRIM(F120),Settings!$D$12:$F$17,3,FALSE),0),0)</f>
        <v>1</v>
      </c>
      <c r="AN120" t="str">
        <f t="shared" si="11"/>
        <v>SF</v>
      </c>
      <c r="AO120" s="6">
        <f>X120*(U120-Pool!$B$12)</f>
        <v>0.30559749028653532</v>
      </c>
      <c r="AP120" s="6">
        <f>Z120*(V120-Pool!$B$13)</f>
        <v>12.602091215563959</v>
      </c>
      <c r="AQ120" s="3">
        <f>Settings!$B$2*(N120-Pool!$B$2)/Pool!$C$2+Settings!$B$3*(O120-Pool!$B$3)/Pool!$C$3+Settings!$B$4*(P120-Pool!$B$4)/Pool!$C$4+Settings!$B$5*(Q120-Pool!$B$5)/Pool!$C$5+Settings!$B$6*(R120-Pool!$B$6)/Pool!$C$6+Settings!$B$7*(S120-Pool!$B$7)/Pool!$C$7+Settings!$B$8*(AO120-Pool!$B$8)/Pool!$C$8+Settings!$B$9*(AP120-Pool!$B$9)/Pool!$C$9+Settings!$B$10*-(T120-Pool!$B$10)/Pool!$C$10</f>
        <v>0.24134915406512614</v>
      </c>
      <c r="AR120">
        <f>IF(RANK(AQ120,$AQ$2:$AQ$266)&lt;=Settings!$F$5,1,0)</f>
        <v>1</v>
      </c>
      <c r="AS120" s="6">
        <f>X120*(U120-Pool!$D$12)</f>
        <v>-2.3886315764635992</v>
      </c>
      <c r="AT120" s="6">
        <f>Z120*(V120-Pool!$D$13)</f>
        <v>10.62229683031158</v>
      </c>
    </row>
    <row r="121" spans="1:46" x14ac:dyDescent="0.2">
      <c r="A121">
        <f t="shared" si="6"/>
        <v>120</v>
      </c>
      <c r="B121" t="s">
        <v>162</v>
      </c>
      <c r="C121" t="str">
        <f>INDEX('Player Data'!$C:$C,AL121)</f>
        <v>C</v>
      </c>
      <c r="D121">
        <f t="shared" si="7"/>
        <v>27</v>
      </c>
      <c r="E121" t="str">
        <f>INDEX('Player Data'!$B:$B,AL121)</f>
        <v>LAC</v>
      </c>
      <c r="F121" s="2"/>
      <c r="G121" s="3">
        <f>Settings!$B$2*AB121+Settings!$B$3*AC121+Settings!$B$4*AD121+Settings!$B$5*AE121+Settings!$B$6*AF121+Settings!$B$7*AG121+Settings!$B$8*AH121+Settings!$B$9*AI121+Settings!$B$10*AJ121</f>
        <v>-2.1361329789791892</v>
      </c>
      <c r="H121" s="3">
        <f>G121-LARGE($G$2:$G$266,Settings!$F$4)</f>
        <v>1.0801317874679759</v>
      </c>
      <c r="I121">
        <f>IF(INDEX('Player Data'!$R:$R,AL121)="","",INDEX('Player Data'!$R:$R,AL121))</f>
        <v>77</v>
      </c>
      <c r="J121" s="4">
        <f t="shared" si="8"/>
        <v>-43</v>
      </c>
      <c r="L121" s="5">
        <f>IF(Settings!$F$7="Yes",INDEX('Minutes &amp; Health'!$O:$O,AL121),Settings!$F$8)</f>
        <v>75</v>
      </c>
      <c r="M121" s="6">
        <f>INDEX('Minutes &amp; Health'!$P:$P,AL121)</f>
        <v>23.5</v>
      </c>
      <c r="N121" s="5">
        <f>INDEX('Player Data'!$F:$F,AL121)/INDEX('Player Data'!$E:$E,AL121)*M121*L121*AM121</f>
        <v>694.9857954545455</v>
      </c>
      <c r="O121" s="5">
        <f>INDEX('Player Data'!$G:$G,AL121)/INDEX('Player Data'!$E:$E,AL121)*M121*L121*AM121</f>
        <v>289.41051136363637</v>
      </c>
      <c r="P121" s="5">
        <f>INDEX('Player Data'!$H:$H,AL121)/INDEX('Player Data'!$E:$E,AL121)*M121*L121*AM121</f>
        <v>99.140625000000014</v>
      </c>
      <c r="Q121" s="5">
        <f>INDEX('Player Data'!$I:$I,AL121)/INDEX('Player Data'!$E:$E,AL121)*M121*L121*AM121</f>
        <v>42.059659090909093</v>
      </c>
      <c r="R121" s="5">
        <f>INDEX('Player Data'!$J:$J,AL121)/INDEX('Player Data'!$E:$E,AL121)*M121*L121*AM121</f>
        <v>104.14772727272728</v>
      </c>
      <c r="S121" s="5">
        <f>INDEX('Player Data'!$K:$K,AL121)/INDEX('Player Data'!$E:$E,AL121)*M121*L121*AM121</f>
        <v>106.15056818181817</v>
      </c>
      <c r="T121" s="5">
        <f>INDEX('Player Data'!$L:$L,AL121)/INDEX('Player Data'!$E:$E,AL121)*M121*L121*AM121</f>
        <v>59.08380681818182</v>
      </c>
      <c r="U121" s="7">
        <f>INDEX('Player Data'!$M:$M,AL121)</f>
        <v>0.47299999999999998</v>
      </c>
      <c r="V121" s="7">
        <f>INDEX('Player Data'!$N:$N,AL121)</f>
        <v>0.80800000000000005</v>
      </c>
      <c r="W121" s="5">
        <f t="shared" si="9"/>
        <v>253.69865625</v>
      </c>
      <c r="X121" s="5">
        <f>INDEX('Player Data'!$O:$O,AL121)/INDEX('Player Data'!$E:$E,AL121)*M121*L121*AM121</f>
        <v>536.3607954545455</v>
      </c>
      <c r="Y121" s="5">
        <f t="shared" si="10"/>
        <v>81.481176136363644</v>
      </c>
      <c r="Z121" s="5">
        <f>INDEX('Player Data'!$P:$P,AL121)/INDEX('Player Data'!$E:$E,AL121)*M121*L121*AM121</f>
        <v>100.84303977272728</v>
      </c>
      <c r="AB121" s="3">
        <f>(N121-Pool!$D$2)/Pool!$E$2</f>
        <v>-1.3419103437648907</v>
      </c>
      <c r="AC121" s="3">
        <f>(O121-Pool!$D$3)/Pool!$E$3</f>
        <v>-0.8149544419323449</v>
      </c>
      <c r="AD121" s="3">
        <f>(P121-Pool!$D$4)/Pool!$E$4</f>
        <v>-1.2236345926247247</v>
      </c>
      <c r="AE121" s="3">
        <f>(Q121-Pool!$D$5)/Pool!$E$5</f>
        <v>-1.4199225961059967</v>
      </c>
      <c r="AF121" s="3">
        <f>(R121-Pool!$D$6)/Pool!$E$6</f>
        <v>1.5574052799369209</v>
      </c>
      <c r="AG121" s="3">
        <f>(S121-Pool!$D$7)/Pool!$E$7</f>
        <v>-0.24312283549875</v>
      </c>
      <c r="AH121" s="3">
        <f>(AS121-Pool!$D$8)/Pool!$E$8</f>
        <v>-0.129893103151759</v>
      </c>
      <c r="AI121" s="3">
        <f>(AT121-Pool!$D$9)/Pool!$E$9</f>
        <v>3.5534004703217388E-2</v>
      </c>
      <c r="AJ121" s="3">
        <f>-(T121-Pool!$D$10)/Pool!$E$10</f>
        <v>1.4443656494591381</v>
      </c>
      <c r="AL121">
        <f>MATCH(B121,'Player Data'!$A:$A,0)</f>
        <v>191</v>
      </c>
      <c r="AM121" s="3">
        <f>1+IF(Settings!$F$10="ON",IFERROR(VLOOKUP(TRIM(F121),Settings!$D$12:$F$17,3,FALSE),0),0)</f>
        <v>1</v>
      </c>
      <c r="AN121" t="str">
        <f t="shared" si="11"/>
        <v>C</v>
      </c>
      <c r="AO121" s="6">
        <f>X121*(U121-Pool!$B$12)</f>
        <v>-4.0799730385663358</v>
      </c>
      <c r="AP121" s="6">
        <f>Z121*(V121-Pool!$B$13)</f>
        <v>1.8051249772947517</v>
      </c>
      <c r="AQ121" s="3">
        <f>Settings!$B$2*(N121-Pool!$B$2)/Pool!$C$2+Settings!$B$3*(O121-Pool!$B$3)/Pool!$C$3+Settings!$B$4*(P121-Pool!$B$4)/Pool!$C$4+Settings!$B$5*(Q121-Pool!$B$5)/Pool!$C$5+Settings!$B$6*(R121-Pool!$B$6)/Pool!$C$6+Settings!$B$7*(S121-Pool!$B$7)/Pool!$C$7+Settings!$B$8*(AO121-Pool!$B$8)/Pool!$C$8+Settings!$B$9*(AP121-Pool!$B$9)/Pool!$C$9+Settings!$B$10*-(T121-Pool!$B$10)/Pool!$C$10</f>
        <v>0.26605706885100167</v>
      </c>
      <c r="AR121">
        <f>IF(RANK(AQ121,$AQ$2:$AQ$266)&lt;=Settings!$F$5,1,0)</f>
        <v>1</v>
      </c>
      <c r="AS121" s="6">
        <f>X121*(U121-Pool!$D$12)</f>
        <v>-5.9394412247605262</v>
      </c>
      <c r="AT121" s="6">
        <f>Z121*(V121-Pool!$D$13)</f>
        <v>0.79278453812009919</v>
      </c>
    </row>
    <row r="122" spans="1:46" x14ac:dyDescent="0.2">
      <c r="A122">
        <f t="shared" si="6"/>
        <v>121</v>
      </c>
      <c r="B122" t="s">
        <v>163</v>
      </c>
      <c r="C122" t="str">
        <f>INDEX('Player Data'!$C:$C,AL122)</f>
        <v>PF,SF,SG</v>
      </c>
      <c r="D122">
        <f t="shared" si="7"/>
        <v>31</v>
      </c>
      <c r="E122" t="str">
        <f>INDEX('Player Data'!$B:$B,AL122)</f>
        <v>PHO</v>
      </c>
      <c r="F122" s="2"/>
      <c r="G122" s="3">
        <f>Settings!$B$2*AB122+Settings!$B$3*AC122+Settings!$B$4*AD122+Settings!$B$5*AE122+Settings!$B$6*AF122+Settings!$B$7*AG122+Settings!$B$8*AH122+Settings!$B$9*AI122+Settings!$B$10*AJ122</f>
        <v>-2.181322873996832</v>
      </c>
      <c r="H122" s="3">
        <f>G122-LARGE($G$2:$G$266,Settings!$F$4)</f>
        <v>1.0349418924503331</v>
      </c>
      <c r="I122">
        <f>IF(INDEX('Player Data'!$R:$R,AL122)="","",INDEX('Player Data'!$R:$R,AL122))</f>
        <v>153</v>
      </c>
      <c r="J122" s="4">
        <f t="shared" si="8"/>
        <v>32</v>
      </c>
      <c r="L122" s="5">
        <f>IF(Settings!$F$7="Yes",INDEX('Minutes &amp; Health'!$O:$O,AL122),Settings!$F$8)</f>
        <v>74</v>
      </c>
      <c r="M122" s="6">
        <f>INDEX('Minutes &amp; Health'!$P:$P,AL122)</f>
        <v>31</v>
      </c>
      <c r="N122" s="5">
        <f>INDEX('Player Data'!$F:$F,AL122)/INDEX('Player Data'!$E:$E,AL122)*M122*L122*AM122</f>
        <v>1282.677433435181</v>
      </c>
      <c r="O122" s="5">
        <f>INDEX('Player Data'!$G:$G,AL122)/INDEX('Player Data'!$E:$E,AL122)*M122*L122*AM122</f>
        <v>265.34701003928416</v>
      </c>
      <c r="P122" s="5">
        <f>INDEX('Player Data'!$H:$H,AL122)/INDEX('Player Data'!$E:$E,AL122)*M122*L122*AM122</f>
        <v>131.17154081187255</v>
      </c>
      <c r="Q122" s="5">
        <f>INDEX('Player Data'!$I:$I,AL122)/INDEX('Player Data'!$E:$E,AL122)*M122*L122*AM122</f>
        <v>74.09690091663029</v>
      </c>
      <c r="R122" s="5">
        <f>INDEX('Player Data'!$J:$J,AL122)/INDEX('Player Data'!$E:$E,AL122)*M122*L122*AM122</f>
        <v>16.020951549541685</v>
      </c>
      <c r="S122" s="5">
        <f>INDEX('Player Data'!$K:$K,AL122)/INDEX('Player Data'!$E:$E,AL122)*M122*L122*AM122</f>
        <v>175.22915757311219</v>
      </c>
      <c r="T122" s="5">
        <f>INDEX('Player Data'!$L:$L,AL122)/INDEX('Player Data'!$E:$E,AL122)*M122*L122*AM122</f>
        <v>107.14011348756003</v>
      </c>
      <c r="U122" s="7">
        <f>INDEX('Player Data'!$M:$M,AL122)</f>
        <v>0.437</v>
      </c>
      <c r="V122" s="7">
        <f>INDEX('Player Data'!$N:$N,AL122)</f>
        <v>0.84</v>
      </c>
      <c r="W122" s="5">
        <f t="shared" si="9"/>
        <v>458.5757066783064</v>
      </c>
      <c r="X122" s="5">
        <f>INDEX('Player Data'!$O:$O,AL122)/INDEX('Player Data'!$E:$E,AL122)*M122*L122*AM122</f>
        <v>1049.3723264949804</v>
      </c>
      <c r="Y122" s="5">
        <f t="shared" si="10"/>
        <v>190.25681012658228</v>
      </c>
      <c r="Z122" s="5">
        <f>INDEX('Player Data'!$P:$P,AL122)/INDEX('Player Data'!$E:$E,AL122)*M122*L122*AM122</f>
        <v>226.49620253164557</v>
      </c>
      <c r="AB122" s="3">
        <f>(N122-Pool!$D$2)/Pool!$E$2</f>
        <v>0.10672671311645278</v>
      </c>
      <c r="AC122" s="3">
        <f>(O122-Pool!$D$3)/Pool!$E$3</f>
        <v>-0.95501628415616413</v>
      </c>
      <c r="AD122" s="3">
        <f>(P122-Pool!$D$4)/Pool!$E$4</f>
        <v>-1.0069990146950545</v>
      </c>
      <c r="AE122" s="3">
        <f>(Q122-Pool!$D$5)/Pool!$E$5</f>
        <v>-5.5370266016312175E-3</v>
      </c>
      <c r="AF122" s="3">
        <f>(R122-Pool!$D$6)/Pool!$E$6</f>
        <v>-0.99304757005269795</v>
      </c>
      <c r="AG122" s="3">
        <f>(S122-Pool!$D$7)/Pool!$E$7</f>
        <v>0.72980155951125236</v>
      </c>
      <c r="AH122" s="3">
        <f>(AS122-Pool!$D$8)/Pool!$E$8</f>
        <v>-1.080307670260569</v>
      </c>
      <c r="AI122" s="3">
        <f>(AT122-Pool!$D$9)/Pool!$E$9</f>
        <v>0.40467306669653297</v>
      </c>
      <c r="AJ122" s="3">
        <f>-(T122-Pool!$D$10)/Pool!$E$10</f>
        <v>0.6183833524450465</v>
      </c>
      <c r="AL122">
        <f>MATCH(B122,'Player Data'!$A:$A,0)</f>
        <v>73</v>
      </c>
      <c r="AM122" s="3">
        <f>1+IF(Settings!$F$10="ON",IFERROR(VLOOKUP(TRIM(F122),Settings!$D$12:$F$17,3,FALSE),0),0)</f>
        <v>1</v>
      </c>
      <c r="AN122" t="str">
        <f t="shared" si="11"/>
        <v>PF</v>
      </c>
      <c r="AO122" s="6">
        <f>X122*(U122-Pool!$B$12)</f>
        <v>-45.759737354262263</v>
      </c>
      <c r="AP122" s="6">
        <f>Z122*(V122-Pool!$B$13)</f>
        <v>11.302238141071772</v>
      </c>
      <c r="AQ122" s="3">
        <f>Settings!$B$2*(N122-Pool!$B$2)/Pool!$C$2+Settings!$B$3*(O122-Pool!$B$3)/Pool!$C$3+Settings!$B$4*(P122-Pool!$B$4)/Pool!$C$4+Settings!$B$5*(Q122-Pool!$B$5)/Pool!$C$5+Settings!$B$6*(R122-Pool!$B$6)/Pool!$C$6+Settings!$B$7*(S122-Pool!$B$7)/Pool!$C$7+Settings!$B$8*(AO122-Pool!$B$8)/Pool!$C$8+Settings!$B$9*(AP122-Pool!$B$9)/Pool!$C$9+Settings!$B$10*-(T122-Pool!$B$10)/Pool!$C$10</f>
        <v>-0.31814513701014735</v>
      </c>
      <c r="AR122">
        <f>IF(RANK(AQ122,$AQ$2:$AQ$266)&lt;=Settings!$F$5,1,0)</f>
        <v>1</v>
      </c>
      <c r="AS122" s="6">
        <f>X122*(U122-Pool!$D$12)</f>
        <v>-49.397725949115411</v>
      </c>
      <c r="AT122" s="6">
        <f>Z122*(V122-Pool!$D$13)</f>
        <v>9.0284940566110379</v>
      </c>
    </row>
    <row r="123" spans="1:46" x14ac:dyDescent="0.2">
      <c r="A123">
        <f t="shared" si="6"/>
        <v>122</v>
      </c>
      <c r="B123" t="s">
        <v>164</v>
      </c>
      <c r="C123" t="str">
        <f>INDEX('Player Data'!$C:$C,AL123)</f>
        <v>C</v>
      </c>
      <c r="D123">
        <f t="shared" si="7"/>
        <v>28</v>
      </c>
      <c r="E123" t="str">
        <f>INDEX('Player Data'!$B:$B,AL123)</f>
        <v>ORL</v>
      </c>
      <c r="F123" s="2"/>
      <c r="G123" s="3">
        <f>Settings!$B$2*AB123+Settings!$B$3*AC123+Settings!$B$4*AD123+Settings!$B$5*AE123+Settings!$B$6*AF123+Settings!$B$7*AG123+Settings!$B$8*AH123+Settings!$B$9*AI123+Settings!$B$10*AJ123</f>
        <v>-2.2031335229712923</v>
      </c>
      <c r="H123" s="3">
        <f>G123-LARGE($G$2:$G$266,Settings!$F$4)</f>
        <v>1.0131312434758728</v>
      </c>
      <c r="I123">
        <f>IF(INDEX('Player Data'!$R:$R,AL123)="","",INDEX('Player Data'!$R:$R,AL123))</f>
        <v>141</v>
      </c>
      <c r="J123" s="4">
        <f t="shared" si="8"/>
        <v>19</v>
      </c>
      <c r="L123" s="5">
        <f>IF(Settings!$F$7="Yes",INDEX('Minutes &amp; Health'!$O:$O,AL123),Settings!$F$8)</f>
        <v>75</v>
      </c>
      <c r="M123" s="6">
        <f>INDEX('Minutes &amp; Health'!$P:$P,AL123)</f>
        <v>22.6</v>
      </c>
      <c r="N123" s="5">
        <f>INDEX('Player Data'!$F:$F,AL123)/INDEX('Player Data'!$E:$E,AL123)*M123*L123*AM123</f>
        <v>857.00000000000011</v>
      </c>
      <c r="O123" s="5">
        <f>INDEX('Player Data'!$G:$G,AL123)/INDEX('Player Data'!$E:$E,AL123)*M123*L123*AM123</f>
        <v>501</v>
      </c>
      <c r="P123" s="5">
        <f>INDEX('Player Data'!$H:$H,AL123)/INDEX('Player Data'!$E:$E,AL123)*M123*L123*AM123</f>
        <v>164.00000000000003</v>
      </c>
      <c r="Q123" s="5">
        <f>INDEX('Player Data'!$I:$I,AL123)/INDEX('Player Data'!$E:$E,AL123)*M123*L123*AM123</f>
        <v>44</v>
      </c>
      <c r="R123" s="5">
        <f>INDEX('Player Data'!$J:$J,AL123)/INDEX('Player Data'!$E:$E,AL123)*M123*L123*AM123</f>
        <v>40</v>
      </c>
      <c r="S123" s="5">
        <f>INDEX('Player Data'!$K:$K,AL123)/INDEX('Player Data'!$E:$E,AL123)*M123*L123*AM123</f>
        <v>71.000000000000014</v>
      </c>
      <c r="T123" s="5">
        <f>INDEX('Player Data'!$L:$L,AL123)/INDEX('Player Data'!$E:$E,AL123)*M123*L123*AM123</f>
        <v>76</v>
      </c>
      <c r="U123" s="7">
        <f>INDEX('Player Data'!$M:$M,AL123)</f>
        <v>0.501</v>
      </c>
      <c r="V123" s="7">
        <f>INDEX('Player Data'!$N:$N,AL123)</f>
        <v>0.81399999999999995</v>
      </c>
      <c r="W123" s="5">
        <f t="shared" si="9"/>
        <v>348.14490000000006</v>
      </c>
      <c r="X123" s="5">
        <f>INDEX('Player Data'!$O:$O,AL123)/INDEX('Player Data'!$E:$E,AL123)*M123*L123*AM123</f>
        <v>694.90000000000009</v>
      </c>
      <c r="Y123" s="5">
        <f t="shared" si="10"/>
        <v>89.702800000000011</v>
      </c>
      <c r="Z123" s="5">
        <f>INDEX('Player Data'!$P:$P,AL123)/INDEX('Player Data'!$E:$E,AL123)*M123*L123*AM123</f>
        <v>110.20000000000002</v>
      </c>
      <c r="AB123" s="3">
        <f>(N123-Pool!$D$2)/Pool!$E$2</f>
        <v>-0.94255162351467547</v>
      </c>
      <c r="AC123" s="3">
        <f>(O123-Pool!$D$3)/Pool!$E$3</f>
        <v>0.41660422337351233</v>
      </c>
      <c r="AD123" s="3">
        <f>(P123-Pool!$D$4)/Pool!$E$4</f>
        <v>-0.78496938961251039</v>
      </c>
      <c r="AE123" s="3">
        <f>(Q123-Pool!$D$5)/Pool!$E$5</f>
        <v>-1.3342600975467787</v>
      </c>
      <c r="AF123" s="3">
        <f>(R123-Pool!$D$6)/Pool!$E$6</f>
        <v>-0.29907650440731737</v>
      </c>
      <c r="AG123" s="3">
        <f>(S123-Pool!$D$7)/Pool!$E$7</f>
        <v>-0.73819439940742693</v>
      </c>
      <c r="AH123" s="3">
        <f>(AS123-Pool!$D$8)/Pool!$E$8</f>
        <v>0.257233537787245</v>
      </c>
      <c r="AI123" s="3">
        <f>(AT123-Pool!$D$9)/Pool!$E$9</f>
        <v>6.8467264522061463E-2</v>
      </c>
      <c r="AJ123" s="3">
        <f>-(T123-Pool!$D$10)/Pool!$E$10</f>
        <v>1.1536134658345973</v>
      </c>
      <c r="AL123">
        <f>MATCH(B123,'Player Data'!$A:$A,0)</f>
        <v>150</v>
      </c>
      <c r="AM123" s="3">
        <f>1+IF(Settings!$F$10="ON",IFERROR(VLOOKUP(TRIM(F123),Settings!$D$12:$F$17,3,FALSE),0),0)</f>
        <v>1</v>
      </c>
      <c r="AN123" t="str">
        <f t="shared" si="11"/>
        <v>C</v>
      </c>
      <c r="AO123" s="6">
        <f>X123*(U123-Pool!$B$12)</f>
        <v>14.171255746566946</v>
      </c>
      <c r="AP123" s="6">
        <f>Z123*(V123-Pool!$B$13)</f>
        <v>2.6338177725919678</v>
      </c>
      <c r="AQ123" s="3">
        <f>Settings!$B$2*(N123-Pool!$B$2)/Pool!$C$2+Settings!$B$3*(O123-Pool!$B$3)/Pool!$C$3+Settings!$B$4*(P123-Pool!$B$4)/Pool!$C$4+Settings!$B$5*(Q123-Pool!$B$5)/Pool!$C$5+Settings!$B$6*(R123-Pool!$B$6)/Pool!$C$6+Settings!$B$7*(S123-Pool!$B$7)/Pool!$C$7+Settings!$B$8*(AO123-Pool!$B$8)/Pool!$C$8+Settings!$B$9*(AP123-Pool!$B$9)/Pool!$C$9+Settings!$B$10*-(T123-Pool!$B$10)/Pool!$C$10</f>
        <v>5.7558195520514888E-2</v>
      </c>
      <c r="AR123">
        <f>IF(RANK(AQ123,$AQ$2:$AQ$266)&lt;=Settings!$F$5,1,0)</f>
        <v>1</v>
      </c>
      <c r="AS123" s="6">
        <f>X123*(U123-Pool!$D$12)</f>
        <v>11.762160127467308</v>
      </c>
      <c r="AT123" s="6">
        <f>Z123*(V123-Pool!$D$13)</f>
        <v>1.5275449286904712</v>
      </c>
    </row>
    <row r="124" spans="1:46" x14ac:dyDescent="0.2">
      <c r="A124">
        <f t="shared" si="6"/>
        <v>123</v>
      </c>
      <c r="B124" t="s">
        <v>165</v>
      </c>
      <c r="C124" t="str">
        <f>INDEX('Player Data'!$C:$C,AL124)</f>
        <v>SF,PF</v>
      </c>
      <c r="D124">
        <f t="shared" si="7"/>
        <v>15</v>
      </c>
      <c r="E124" t="str">
        <f>INDEX('Player Data'!$B:$B,AL124)</f>
        <v>LAC</v>
      </c>
      <c r="F124" s="2"/>
      <c r="G124" s="3">
        <f>Settings!$B$2*AB124+Settings!$B$3*AC124+Settings!$B$4*AD124+Settings!$B$5*AE124+Settings!$B$6*AF124+Settings!$B$7*AG124+Settings!$B$8*AH124+Settings!$B$9*AI124+Settings!$B$10*AJ124</f>
        <v>-2.211055564926891</v>
      </c>
      <c r="H124" s="3">
        <f>G124-LARGE($G$2:$G$266,Settings!$F$4)</f>
        <v>1.005209201520274</v>
      </c>
      <c r="I124">
        <f>IF(INDEX('Player Data'!$R:$R,AL124)="","",INDEX('Player Data'!$R:$R,AL124))</f>
        <v>129</v>
      </c>
      <c r="J124" s="4">
        <f t="shared" si="8"/>
        <v>6</v>
      </c>
      <c r="L124" s="5">
        <f>IF(Settings!$F$7="Yes",INDEX('Minutes &amp; Health'!$O:$O,AL124),Settings!$F$8)</f>
        <v>75</v>
      </c>
      <c r="M124" s="6">
        <f>INDEX('Minutes &amp; Health'!$P:$P,AL124)</f>
        <v>30.3</v>
      </c>
      <c r="N124" s="5">
        <f>INDEX('Player Data'!$F:$F,AL124)/INDEX('Player Data'!$E:$E,AL124)*M124*L124*AM124</f>
        <v>955.5283391915641</v>
      </c>
      <c r="O124" s="5">
        <f>INDEX('Player Data'!$G:$G,AL124)/INDEX('Player Data'!$E:$E,AL124)*M124*L124*AM124</f>
        <v>310.52174868189815</v>
      </c>
      <c r="P124" s="5">
        <f>INDEX('Player Data'!$H:$H,AL124)/INDEX('Player Data'!$E:$E,AL124)*M124*L124*AM124</f>
        <v>80.875439367311074</v>
      </c>
      <c r="Q124" s="5">
        <f>INDEX('Player Data'!$I:$I,AL124)/INDEX('Player Data'!$E:$E,AL124)*M124*L124*AM124</f>
        <v>53.916959578207383</v>
      </c>
      <c r="R124" s="5">
        <f>INDEX('Player Data'!$J:$J,AL124)/INDEX('Player Data'!$E:$E,AL124)*M124*L124*AM124</f>
        <v>28.955404217926187</v>
      </c>
      <c r="S124" s="5">
        <f>INDEX('Player Data'!$K:$K,AL124)/INDEX('Player Data'!$E:$E,AL124)*M124*L124*AM124</f>
        <v>141.78163444639719</v>
      </c>
      <c r="T124" s="5">
        <f>INDEX('Player Data'!$L:$L,AL124)/INDEX('Player Data'!$E:$E,AL124)*M124*L124*AM124</f>
        <v>51.920035149384887</v>
      </c>
      <c r="U124" s="7">
        <f>INDEX('Player Data'!$M:$M,AL124)</f>
        <v>0.51900000000000002</v>
      </c>
      <c r="V124" s="7">
        <f>INDEX('Player Data'!$N:$N,AL124)</f>
        <v>0.73299999999999998</v>
      </c>
      <c r="W124" s="5">
        <f t="shared" si="9"/>
        <v>367.40513949912133</v>
      </c>
      <c r="X124" s="5">
        <f>INDEX('Player Data'!$O:$O,AL124)/INDEX('Player Data'!$E:$E,AL124)*M124*L124*AM124</f>
        <v>707.90971001757475</v>
      </c>
      <c r="Y124" s="5">
        <f t="shared" si="10"/>
        <v>78.89588818101933</v>
      </c>
      <c r="Z124" s="5">
        <f>INDEX('Player Data'!$P:$P,AL124)/INDEX('Player Data'!$E:$E,AL124)*M124*L124*AM124</f>
        <v>107.63422671353251</v>
      </c>
      <c r="AB124" s="3">
        <f>(N124-Pool!$D$2)/Pool!$E$2</f>
        <v>-0.69968309505251447</v>
      </c>
      <c r="AC124" s="3">
        <f>(O124-Pool!$D$3)/Pool!$E$3</f>
        <v>-0.69207628091312423</v>
      </c>
      <c r="AD124" s="3">
        <f>(P124-Pool!$D$4)/Pool!$E$4</f>
        <v>-1.3471680272842363</v>
      </c>
      <c r="AE124" s="3">
        <f>(Q124-Pool!$D$5)/Pool!$E$5</f>
        <v>-0.89644448916586372</v>
      </c>
      <c r="AF124" s="3">
        <f>(R124-Pool!$D$6)/Pool!$E$6</f>
        <v>-0.61871512227589864</v>
      </c>
      <c r="AG124" s="3">
        <f>(S124-Pool!$D$7)/Pool!$E$7</f>
        <v>0.25871621324991845</v>
      </c>
      <c r="AH124" s="3">
        <f>(AS124-Pool!$D$8)/Pool!$E$8</f>
        <v>0.54071981071339981</v>
      </c>
      <c r="AI124" s="3">
        <f>(AT124-Pool!$D$9)/Pool!$E$9</f>
        <v>-0.32389971463142747</v>
      </c>
      <c r="AJ124" s="3">
        <f>-(T124-Pool!$D$10)/Pool!$E$10</f>
        <v>1.5674951404328545</v>
      </c>
      <c r="AL124">
        <f>MATCH(B124,'Player Data'!$A:$A,0)</f>
        <v>127</v>
      </c>
      <c r="AM124" s="3">
        <f>1+IF(Settings!$F$10="ON",IFERROR(VLOOKUP(TRIM(F124),Settings!$D$12:$F$17,3,FALSE),0),0)</f>
        <v>1</v>
      </c>
      <c r="AN124" t="str">
        <f t="shared" si="11"/>
        <v>SF</v>
      </c>
      <c r="AO124" s="6">
        <f>X124*(U124-Pool!$B$12)</f>
        <v>27.178940539615674</v>
      </c>
      <c r="AP124" s="6">
        <f>Z124*(V124-Pool!$B$13)</f>
        <v>-6.14587745220543</v>
      </c>
      <c r="AQ124" s="3">
        <f>Settings!$B$2*(N124-Pool!$B$2)/Pool!$C$2+Settings!$B$3*(O124-Pool!$B$3)/Pool!$C$3+Settings!$B$4*(P124-Pool!$B$4)/Pool!$C$4+Settings!$B$5*(Q124-Pool!$B$5)/Pool!$C$5+Settings!$B$6*(R124-Pool!$B$6)/Pool!$C$6+Settings!$B$7*(S124-Pool!$B$7)/Pool!$C$7+Settings!$B$8*(AO124-Pool!$B$8)/Pool!$C$8+Settings!$B$9*(AP124-Pool!$B$9)/Pool!$C$9+Settings!$B$10*-(T124-Pool!$B$10)/Pool!$C$10</f>
        <v>-0.10679423607696092</v>
      </c>
      <c r="AR124">
        <f>IF(RANK(AQ124,$AQ$2:$AQ$266)&lt;=Settings!$F$5,1,0)</f>
        <v>1</v>
      </c>
      <c r="AS124" s="6">
        <f>X124*(U124-Pool!$D$12)</f>
        <v>24.724742552680237</v>
      </c>
      <c r="AT124" s="6">
        <f>Z124*(V124-Pool!$D$13)</f>
        <v>-7.2263930791339064</v>
      </c>
    </row>
    <row r="125" spans="1:46" x14ac:dyDescent="0.2">
      <c r="A125">
        <f t="shared" si="6"/>
        <v>124</v>
      </c>
      <c r="B125" t="s">
        <v>166</v>
      </c>
      <c r="C125" t="str">
        <f>INDEX('Player Data'!$C:$C,AL125)</f>
        <v>SG,SF</v>
      </c>
      <c r="D125">
        <f t="shared" si="7"/>
        <v>4</v>
      </c>
      <c r="E125" t="str">
        <f>INDEX('Player Data'!$B:$B,AL125)</f>
        <v>SAS</v>
      </c>
      <c r="F125" s="2"/>
      <c r="G125" s="3">
        <f>Settings!$B$2*AB125+Settings!$B$3*AC125+Settings!$B$4*AD125+Settings!$B$5*AE125+Settings!$B$6*AF125+Settings!$B$7*AG125+Settings!$B$8*AH125+Settings!$B$9*AI125+Settings!$B$10*AJ125</f>
        <v>-2.2483904493213944</v>
      </c>
      <c r="H125" s="3">
        <f>G125-LARGE($G$2:$G$266,Settings!$F$4)</f>
        <v>0.96787431712577066</v>
      </c>
      <c r="I125">
        <f>IF(INDEX('Player Data'!$R:$R,AL125)="","",INDEX('Player Data'!$R:$R,AL125))</f>
        <v>163</v>
      </c>
      <c r="J125" s="4">
        <f t="shared" si="8"/>
        <v>39</v>
      </c>
      <c r="L125" s="5">
        <f>IF(Settings!$F$7="Yes",INDEX('Minutes &amp; Health'!$O:$O,AL125),Settings!$F$8)</f>
        <v>74</v>
      </c>
      <c r="M125" s="6">
        <f>INDEX('Minutes &amp; Health'!$P:$P,AL125)</f>
        <v>27.8</v>
      </c>
      <c r="N125" s="5">
        <f>INDEX('Player Data'!$F:$F,AL125)/INDEX('Player Data'!$E:$E,AL125)*M125*L125*AM125</f>
        <v>972.14939290917914</v>
      </c>
      <c r="O125" s="5">
        <f>INDEX('Player Data'!$G:$G,AL125)/INDEX('Player Data'!$E:$E,AL125)*M125*L125*AM125</f>
        <v>264.76833414278775</v>
      </c>
      <c r="P125" s="5">
        <f>INDEX('Player Data'!$H:$H,AL125)/INDEX('Player Data'!$E:$E,AL125)*M125*L125*AM125</f>
        <v>180.84176784847014</v>
      </c>
      <c r="Q125" s="5">
        <f>INDEX('Player Data'!$I:$I,AL125)/INDEX('Player Data'!$E:$E,AL125)*M125*L125*AM125</f>
        <v>66.941427877610494</v>
      </c>
      <c r="R125" s="5">
        <f>INDEX('Player Data'!$J:$J,AL125)/INDEX('Player Data'!$E:$E,AL125)*M125*L125*AM125</f>
        <v>28.974647887323947</v>
      </c>
      <c r="S125" s="5">
        <f>INDEX('Player Data'!$K:$K,AL125)/INDEX('Player Data'!$E:$E,AL125)*M125*L125*AM125</f>
        <v>150.86799417192813</v>
      </c>
      <c r="T125" s="5">
        <f>INDEX('Player Data'!$L:$L,AL125)/INDEX('Player Data'!$E:$E,AL125)*M125*L125*AM125</f>
        <v>72.936182612918884</v>
      </c>
      <c r="U125" s="7">
        <f>INDEX('Player Data'!$M:$M,AL125)</f>
        <v>0.44600000000000001</v>
      </c>
      <c r="V125" s="7">
        <f>INDEX('Player Data'!$N:$N,AL125)</f>
        <v>0.80700000000000005</v>
      </c>
      <c r="W125" s="5">
        <f t="shared" si="9"/>
        <v>352.43302966488591</v>
      </c>
      <c r="X125" s="5">
        <f>INDEX('Player Data'!$O:$O,AL125)/INDEX('Player Data'!$E:$E,AL125)*M125*L125*AM125</f>
        <v>790.20858669256927</v>
      </c>
      <c r="Y125" s="5">
        <f t="shared" si="10"/>
        <v>116.42892751821275</v>
      </c>
      <c r="Z125" s="5">
        <f>INDEX('Player Data'!$P:$P,AL125)/INDEX('Player Data'!$E:$E,AL125)*M125*L125*AM125</f>
        <v>144.2737639630889</v>
      </c>
      <c r="AB125" s="3">
        <f>(N125-Pool!$D$2)/Pool!$E$2</f>
        <v>-0.6587128433360081</v>
      </c>
      <c r="AC125" s="3">
        <f>(O125-Pool!$D$3)/Pool!$E$3</f>
        <v>-0.95838447280923367</v>
      </c>
      <c r="AD125" s="3">
        <f>(P125-Pool!$D$4)/Pool!$E$4</f>
        <v>-0.67106299578226269</v>
      </c>
      <c r="AE125" s="3">
        <f>(Q125-Pool!$D$5)/Pool!$E$5</f>
        <v>-0.32143806029304578</v>
      </c>
      <c r="AF125" s="3">
        <f>(R125-Pool!$D$6)/Pool!$E$6</f>
        <v>-0.61815819651687687</v>
      </c>
      <c r="AG125" s="3">
        <f>(S125-Pool!$D$7)/Pool!$E$7</f>
        <v>0.38669133718780807</v>
      </c>
      <c r="AH125" s="3">
        <f>(AS125-Pool!$D$8)/Pool!$E$8</f>
        <v>-0.65797003021092249</v>
      </c>
      <c r="AI125" s="3">
        <f>(AT125-Pool!$D$9)/Pool!$E$9</f>
        <v>4.4371059154171735E-2</v>
      </c>
      <c r="AJ125" s="3">
        <f>-(T125-Pool!$D$10)/Pool!$E$10</f>
        <v>1.2062737532849752</v>
      </c>
      <c r="AL125">
        <f>MATCH(B125,'Player Data'!$A:$A,0)</f>
        <v>121</v>
      </c>
      <c r="AM125" s="3">
        <f>1+IF(Settings!$F$10="ON",IFERROR(VLOOKUP(TRIM(F125),Settings!$D$12:$F$17,3,FALSE),0),0)</f>
        <v>1</v>
      </c>
      <c r="AN125" t="str">
        <f t="shared" si="11"/>
        <v>SG</v>
      </c>
      <c r="AO125" s="6">
        <f>X125*(U125-Pool!$B$12)</f>
        <v>-27.346566562013287</v>
      </c>
      <c r="AP125" s="6">
        <f>Z125*(V125-Pool!$B$13)</f>
        <v>2.4382760628275584</v>
      </c>
      <c r="AQ125" s="3">
        <f>Settings!$B$2*(N125-Pool!$B$2)/Pool!$C$2+Settings!$B$3*(O125-Pool!$B$3)/Pool!$C$3+Settings!$B$4*(P125-Pool!$B$4)/Pool!$C$4+Settings!$B$5*(Q125-Pool!$B$5)/Pool!$C$5+Settings!$B$6*(R125-Pool!$B$6)/Pool!$C$6+Settings!$B$7*(S125-Pool!$B$7)/Pool!$C$7+Settings!$B$8*(AO125-Pool!$B$8)/Pool!$C$8+Settings!$B$9*(AP125-Pool!$B$9)/Pool!$C$9+Settings!$B$10*-(T125-Pool!$B$10)/Pool!$C$10</f>
        <v>-0.29294147722326613</v>
      </c>
      <c r="AR125">
        <f>IF(RANK(AQ125,$AQ$2:$AQ$266)&lt;=Settings!$F$5,1,0)</f>
        <v>1</v>
      </c>
      <c r="AS125" s="6">
        <f>X125*(U125-Pool!$D$12)</f>
        <v>-30.086080224951818</v>
      </c>
      <c r="AT125" s="6">
        <f>Z125*(V125-Pool!$D$13)</f>
        <v>0.98994441890905061</v>
      </c>
    </row>
    <row r="126" spans="1:46" x14ac:dyDescent="0.2">
      <c r="A126">
        <f t="shared" si="6"/>
        <v>125</v>
      </c>
      <c r="B126" t="s">
        <v>167</v>
      </c>
      <c r="C126" t="str">
        <f>INDEX('Player Data'!$C:$C,AL126)</f>
        <v>C</v>
      </c>
      <c r="D126">
        <f t="shared" si="7"/>
        <v>29</v>
      </c>
      <c r="E126" t="str">
        <f>INDEX('Player Data'!$B:$B,AL126)</f>
        <v>CHI</v>
      </c>
      <c r="F126" s="2"/>
      <c r="G126" s="3">
        <f>Settings!$B$2*AB126+Settings!$B$3*AC126+Settings!$B$4*AD126+Settings!$B$5*AE126+Settings!$B$6*AF126+Settings!$B$7*AG126+Settings!$B$8*AH126+Settings!$B$9*AI126+Settings!$B$10*AJ126</f>
        <v>-2.3031652708953767</v>
      </c>
      <c r="H126" s="3">
        <f>G126-LARGE($G$2:$G$266,Settings!$F$4)</f>
        <v>0.91309949555178838</v>
      </c>
      <c r="I126">
        <f>IF(INDEX('Player Data'!$R:$R,AL126)="","",INDEX('Player Data'!$R:$R,AL126))</f>
        <v>108</v>
      </c>
      <c r="J126" s="4">
        <f t="shared" si="8"/>
        <v>-17</v>
      </c>
      <c r="L126" s="5">
        <f>IF(Settings!$F$7="Yes",INDEX('Minutes &amp; Health'!$O:$O,AL126),Settings!$F$8)</f>
        <v>74</v>
      </c>
      <c r="M126" s="6">
        <f>INDEX('Minutes &amp; Health'!$P:$P,AL126)</f>
        <v>27.4</v>
      </c>
      <c r="N126" s="5">
        <f>INDEX('Player Data'!$F:$F,AL126)/INDEX('Player Data'!$E:$E,AL126)*M126*L126*AM126</f>
        <v>852.57035942885284</v>
      </c>
      <c r="O126" s="5">
        <f>INDEX('Player Data'!$G:$G,AL126)/INDEX('Player Data'!$E:$E,AL126)*M126*L126*AM126</f>
        <v>499.16297390448045</v>
      </c>
      <c r="P126" s="5">
        <f>INDEX('Player Data'!$H:$H,AL126)/INDEX('Player Data'!$E:$E,AL126)*M126*L126*AM126</f>
        <v>237.60157557853273</v>
      </c>
      <c r="Q126" s="5">
        <f>INDEX('Player Data'!$I:$I,AL126)/INDEX('Player Data'!$E:$E,AL126)*M126*L126*AM126</f>
        <v>49.916297390448051</v>
      </c>
      <c r="R126" s="5">
        <f>INDEX('Player Data'!$J:$J,AL126)/INDEX('Player Data'!$E:$E,AL126)*M126*L126*AM126</f>
        <v>91.845987198424424</v>
      </c>
      <c r="S126" s="5">
        <f>INDEX('Player Data'!$K:$K,AL126)/INDEX('Player Data'!$E:$E,AL126)*M126*L126*AM126</f>
        <v>5.9899556868537669</v>
      </c>
      <c r="T126" s="5">
        <f>INDEX('Player Data'!$L:$L,AL126)/INDEX('Player Data'!$E:$E,AL126)*M126*L126*AM126</f>
        <v>94.840965041851291</v>
      </c>
      <c r="U126" s="7">
        <f>INDEX('Player Data'!$M:$M,AL126)</f>
        <v>0.58699999999999997</v>
      </c>
      <c r="V126" s="7">
        <f>INDEX('Player Data'!$N:$N,AL126)</f>
        <v>0.59099999999999997</v>
      </c>
      <c r="W126" s="5">
        <f t="shared" si="9"/>
        <v>355.88832533727225</v>
      </c>
      <c r="X126" s="5">
        <f>INDEX('Player Data'!$O:$O,AL126)/INDEX('Player Data'!$E:$E,AL126)*M126*L126*AM126</f>
        <v>606.28334810438207</v>
      </c>
      <c r="Y126" s="5">
        <f t="shared" si="10"/>
        <v>134.75842906942393</v>
      </c>
      <c r="Z126" s="5">
        <f>INDEX('Player Data'!$P:$P,AL126)/INDEX('Player Data'!$E:$E,AL126)*M126*L126*AM126</f>
        <v>228.01764647956671</v>
      </c>
      <c r="AB126" s="3">
        <f>(N126-Pool!$D$2)/Pool!$E$2</f>
        <v>-0.95347051543915173</v>
      </c>
      <c r="AC126" s="3">
        <f>(O126-Pool!$D$3)/Pool!$E$3</f>
        <v>0.40591179521505005</v>
      </c>
      <c r="AD126" s="3">
        <f>(P126-Pool!$D$4)/Pool!$E$4</f>
        <v>-0.28717781987913166</v>
      </c>
      <c r="AE126" s="3">
        <f>(Q126-Pool!$D$5)/Pool!$E$5</f>
        <v>-1.0730663999286572</v>
      </c>
      <c r="AF126" s="3">
        <f>(R126-Pool!$D$6)/Pool!$E$6</f>
        <v>1.2013839938423401</v>
      </c>
      <c r="AG126" s="3">
        <f>(S126-Pool!$D$7)/Pool!$E$7</f>
        <v>-1.6538161367689697</v>
      </c>
      <c r="AH126" s="3">
        <f>(AS126-Pool!$D$8)/Pool!$E$8</f>
        <v>1.3647181120842058</v>
      </c>
      <c r="AI126" s="3">
        <f>(AT126-Pool!$D$9)/Pool!$E$9</f>
        <v>-2.1374269840798279</v>
      </c>
      <c r="AJ126" s="3">
        <f>-(T126-Pool!$D$10)/Pool!$E$10</f>
        <v>0.82977868405876576</v>
      </c>
      <c r="AL126">
        <f>MATCH(B126,'Player Data'!$A:$A,0)</f>
        <v>146</v>
      </c>
      <c r="AM126" s="3">
        <f>1+IF(Settings!$F$10="ON",IFERROR(VLOOKUP(TRIM(F126),Settings!$D$12:$F$17,3,FALSE),0),0)</f>
        <v>1</v>
      </c>
      <c r="AN126" t="str">
        <f t="shared" si="11"/>
        <v>C</v>
      </c>
      <c r="AO126" s="6">
        <f>X126*(U126-Pool!$B$12)</f>
        <v>64.504443891606385</v>
      </c>
      <c r="AP126" s="6">
        <f>Z126*(V126-Pool!$B$13)</f>
        <v>-45.39823525784287</v>
      </c>
      <c r="AQ126" s="3">
        <f>Settings!$B$2*(N126-Pool!$B$2)/Pool!$C$2+Settings!$B$3*(O126-Pool!$B$3)/Pool!$C$3+Settings!$B$4*(P126-Pool!$B$4)/Pool!$C$4+Settings!$B$5*(Q126-Pool!$B$5)/Pool!$C$5+Settings!$B$6*(R126-Pool!$B$6)/Pool!$C$6+Settings!$B$7*(S126-Pool!$B$7)/Pool!$C$7+Settings!$B$8*(AO126-Pool!$B$8)/Pool!$C$8+Settings!$B$9*(AP126-Pool!$B$9)/Pool!$C$9+Settings!$B$10*-(T126-Pool!$B$10)/Pool!$C$10</f>
        <v>-9.8072513877591527E-2</v>
      </c>
      <c r="AR126">
        <f>IF(RANK(AQ126,$AQ$2:$AQ$266)&lt;=Settings!$F$5,1,0)</f>
        <v>1</v>
      </c>
      <c r="AS126" s="6">
        <f>X126*(U126-Pool!$D$12)</f>
        <v>62.402566559830113</v>
      </c>
      <c r="AT126" s="6">
        <f>Z126*(V126-Pool!$D$13)</f>
        <v>-47.687252773547741</v>
      </c>
    </row>
    <row r="127" spans="1:46" x14ac:dyDescent="0.2">
      <c r="A127">
        <f t="shared" si="6"/>
        <v>126</v>
      </c>
      <c r="B127" t="s">
        <v>168</v>
      </c>
      <c r="C127" t="str">
        <f>INDEX('Player Data'!$C:$C,AL127)</f>
        <v>C</v>
      </c>
      <c r="D127">
        <f t="shared" si="7"/>
        <v>30</v>
      </c>
      <c r="E127" t="str">
        <f>INDEX('Player Data'!$B:$B,AL127)</f>
        <v>BOS</v>
      </c>
      <c r="F127" s="2"/>
      <c r="G127" s="3">
        <f>Settings!$B$2*AB127+Settings!$B$3*AC127+Settings!$B$4*AD127+Settings!$B$5*AE127+Settings!$B$6*AF127+Settings!$B$7*AG127+Settings!$B$8*AH127+Settings!$B$9*AI127+Settings!$B$10*AJ127</f>
        <v>-2.3053745230974205</v>
      </c>
      <c r="H127" s="3">
        <f>G127-LARGE($G$2:$G$266,Settings!$F$4)</f>
        <v>0.91089024334974455</v>
      </c>
      <c r="I127">
        <f>IF(INDEX('Player Data'!$R:$R,AL127)="","",INDEX('Player Data'!$R:$R,AL127))</f>
        <v>148</v>
      </c>
      <c r="J127" s="4">
        <f t="shared" si="8"/>
        <v>22</v>
      </c>
      <c r="L127" s="5">
        <f>IF(Settings!$F$7="Yes",INDEX('Minutes &amp; Health'!$O:$O,AL127),Settings!$F$8)</f>
        <v>70</v>
      </c>
      <c r="M127" s="6">
        <f>INDEX('Minutes &amp; Health'!$P:$P,AL127)</f>
        <v>22</v>
      </c>
      <c r="N127" s="5">
        <f>INDEX('Player Data'!$F:$F,AL127)/INDEX('Player Data'!$E:$E,AL127)*M127*L127*AM127</f>
        <v>431.16007777057683</v>
      </c>
      <c r="O127" s="5">
        <f>INDEX('Player Data'!$G:$G,AL127)/INDEX('Player Data'!$E:$E,AL127)*M127*L127*AM127</f>
        <v>659.7148412184057</v>
      </c>
      <c r="P127" s="5">
        <f>INDEX('Player Data'!$H:$H,AL127)/INDEX('Player Data'!$E:$E,AL127)*M127*L127*AM127</f>
        <v>61.879455605962413</v>
      </c>
      <c r="Q127" s="5">
        <f>INDEX('Player Data'!$I:$I,AL127)/INDEX('Player Data'!$E:$E,AL127)*M127*L127*AM127</f>
        <v>64.873622812702536</v>
      </c>
      <c r="R127" s="5">
        <f>INDEX('Player Data'!$J:$J,AL127)/INDEX('Player Data'!$E:$E,AL127)*M127*L127*AM127</f>
        <v>90.823071937783538</v>
      </c>
      <c r="S127" s="5">
        <f>INDEX('Player Data'!$K:$K,AL127)/INDEX('Player Data'!$E:$E,AL127)*M127*L127*AM127</f>
        <v>0</v>
      </c>
      <c r="T127" s="5">
        <f>INDEX('Player Data'!$L:$L,AL127)/INDEX('Player Data'!$E:$E,AL127)*M127*L127*AM127</f>
        <v>54.893065456902136</v>
      </c>
      <c r="U127" s="7">
        <f>INDEX('Player Data'!$M:$M,AL127)</f>
        <v>0.69799999999999995</v>
      </c>
      <c r="V127" s="7">
        <f>INDEX('Player Data'!$N:$N,AL127)</f>
        <v>0.40899999999999997</v>
      </c>
      <c r="W127" s="5">
        <f t="shared" si="9"/>
        <v>192.20377705767982</v>
      </c>
      <c r="X127" s="5">
        <f>INDEX('Player Data'!$O:$O,AL127)/INDEX('Player Data'!$E:$E,AL127)*M127*L127*AM127</f>
        <v>275.3635774465327</v>
      </c>
      <c r="Y127" s="5">
        <f t="shared" si="10"/>
        <v>46.739449125081002</v>
      </c>
      <c r="Z127" s="5">
        <f>INDEX('Player Data'!$P:$P,AL127)/INDEX('Player Data'!$E:$E,AL127)*M127*L127*AM127</f>
        <v>114.27738172391444</v>
      </c>
      <c r="AB127" s="3">
        <f>(N127-Pool!$D$2)/Pool!$E$2</f>
        <v>-1.9922304887112197</v>
      </c>
      <c r="AC127" s="3">
        <f>(O127-Pool!$D$3)/Pool!$E$3</f>
        <v>1.3404054919284853</v>
      </c>
      <c r="AD127" s="3">
        <f>(P127-Pool!$D$4)/Pool!$E$4</f>
        <v>-1.4756440891193794</v>
      </c>
      <c r="AE127" s="3">
        <f>(Q127-Pool!$D$5)/Pool!$E$5</f>
        <v>-0.41272786795700545</v>
      </c>
      <c r="AF127" s="3">
        <f>(R127-Pool!$D$6)/Pool!$E$6</f>
        <v>1.1717800837890073</v>
      </c>
      <c r="AG127" s="3">
        <f>(S127-Pool!$D$7)/Pool!$E$7</f>
        <v>-1.7381805406185855</v>
      </c>
      <c r="AH127" s="3">
        <f>(AS127-Pool!$D$8)/Pool!$E$8</f>
        <v>1.2882833538462342</v>
      </c>
      <c r="AI127" s="3">
        <f>(AT127-Pool!$D$9)/Pool!$E$9</f>
        <v>-2.0034557496099406</v>
      </c>
      <c r="AJ127" s="3">
        <f>-(T127-Pool!$D$10)/Pool!$E$10</f>
        <v>1.5163952833549827</v>
      </c>
      <c r="AL127">
        <f>MATCH(B127,'Player Data'!$A:$A,0)</f>
        <v>239</v>
      </c>
      <c r="AM127" s="3">
        <f>1+IF(Settings!$F$10="ON",IFERROR(VLOOKUP(TRIM(F127),Settings!$D$12:$F$17,3,FALSE),0),0)</f>
        <v>1</v>
      </c>
      <c r="AN127" t="str">
        <f t="shared" si="11"/>
        <v>C</v>
      </c>
      <c r="AO127" s="6">
        <f>X127*(U127-Pool!$B$12)</f>
        <v>59.86217761246327</v>
      </c>
      <c r="AP127" s="6">
        <f>Z127*(V127-Pool!$B$13)</f>
        <v>-43.551071004812187</v>
      </c>
      <c r="AQ127" s="3">
        <f>Settings!$B$2*(N127-Pool!$B$2)/Pool!$C$2+Settings!$B$3*(O127-Pool!$B$3)/Pool!$C$3+Settings!$B$4*(P127-Pool!$B$4)/Pool!$C$4+Settings!$B$5*(Q127-Pool!$B$5)/Pool!$C$5+Settings!$B$6*(R127-Pool!$B$6)/Pool!$C$6+Settings!$B$7*(S127-Pool!$B$7)/Pool!$C$7+Settings!$B$8*(AO127-Pool!$B$8)/Pool!$C$8+Settings!$B$9*(AP127-Pool!$B$9)/Pool!$C$9+Settings!$B$10*-(T127-Pool!$B$10)/Pool!$C$10</f>
        <v>-0.16530246475475829</v>
      </c>
      <c r="AR127">
        <f>IF(RANK(AQ127,$AQ$2:$AQ$266)&lt;=Settings!$F$5,1,0)</f>
        <v>1</v>
      </c>
      <c r="AS127" s="6">
        <f>X127*(U127-Pool!$D$12)</f>
        <v>58.907540703431692</v>
      </c>
      <c r="AT127" s="6">
        <f>Z127*(V127-Pool!$D$13)</f>
        <v>-44.698275760468555</v>
      </c>
    </row>
    <row r="128" spans="1:46" x14ac:dyDescent="0.2">
      <c r="A128">
        <f t="shared" si="6"/>
        <v>127</v>
      </c>
      <c r="B128" t="s">
        <v>169</v>
      </c>
      <c r="C128" t="str">
        <f>INDEX('Player Data'!$C:$C,AL128)</f>
        <v>PG</v>
      </c>
      <c r="D128">
        <f t="shared" si="7"/>
        <v>47</v>
      </c>
      <c r="E128" t="str">
        <f>INDEX('Player Data'!$B:$B,AL128)</f>
        <v>POR</v>
      </c>
      <c r="F128" s="2"/>
      <c r="G128" s="3">
        <f>Settings!$B$2*AB128+Settings!$B$3*AC128+Settings!$B$4*AD128+Settings!$B$5*AE128+Settings!$B$6*AF128+Settings!$B$7*AG128+Settings!$B$8*AH128+Settings!$B$9*AI128+Settings!$B$10*AJ128</f>
        <v>-2.3065817055631577</v>
      </c>
      <c r="H128" s="3">
        <f>G128-LARGE($G$2:$G$266,Settings!$F$4)</f>
        <v>0.90968306088400741</v>
      </c>
      <c r="I128">
        <f>IF(INDEX('Player Data'!$R:$R,AL128)="","",INDEX('Player Data'!$R:$R,AL128))</f>
        <v>99</v>
      </c>
      <c r="J128" s="4">
        <f t="shared" si="8"/>
        <v>-28</v>
      </c>
      <c r="L128" s="5">
        <f>IF(Settings!$F$7="Yes",INDEX('Minutes &amp; Health'!$O:$O,AL128),Settings!$F$8)</f>
        <v>72</v>
      </c>
      <c r="M128" s="6">
        <f>INDEX('Minutes &amp; Health'!$P:$P,AL128)</f>
        <v>29.4</v>
      </c>
      <c r="N128" s="5">
        <f>INDEX('Player Data'!$F:$F,AL128)/INDEX('Player Data'!$E:$E,AL128)*M128*L128*AM128</f>
        <v>1476.5580340264651</v>
      </c>
      <c r="O128" s="5">
        <f>INDEX('Player Data'!$G:$G,AL128)/INDEX('Player Data'!$E:$E,AL128)*M128*L128*AM128</f>
        <v>270.10207939508501</v>
      </c>
      <c r="P128" s="5">
        <f>INDEX('Player Data'!$H:$H,AL128)/INDEX('Player Data'!$E:$E,AL128)*M128*L128*AM128</f>
        <v>479.18109640831756</v>
      </c>
      <c r="Q128" s="5">
        <f>INDEX('Player Data'!$I:$I,AL128)/INDEX('Player Data'!$E:$E,AL128)*M128*L128*AM128</f>
        <v>79.029867674858224</v>
      </c>
      <c r="R128" s="5">
        <f>INDEX('Player Data'!$J:$J,AL128)/INDEX('Player Data'!$E:$E,AL128)*M128*L128*AM128</f>
        <v>22.008317580340265</v>
      </c>
      <c r="S128" s="5">
        <f>INDEX('Player Data'!$K:$K,AL128)/INDEX('Player Data'!$E:$E,AL128)*M128*L128*AM128</f>
        <v>103.03894139886579</v>
      </c>
      <c r="T128" s="5">
        <f>INDEX('Player Data'!$L:$L,AL128)/INDEX('Player Data'!$E:$E,AL128)*M128*L128*AM128</f>
        <v>254.09603024574665</v>
      </c>
      <c r="U128" s="7">
        <f>INDEX('Player Data'!$M:$M,AL128)</f>
        <v>0.437</v>
      </c>
      <c r="V128" s="7">
        <f>INDEX('Player Data'!$N:$N,AL128)</f>
        <v>0.84199999999999997</v>
      </c>
      <c r="W128" s="5">
        <f t="shared" si="9"/>
        <v>523.94251304347824</v>
      </c>
      <c r="X128" s="5">
        <f>INDEX('Player Data'!$O:$O,AL128)/INDEX('Player Data'!$E:$E,AL128)*M128*L128*AM128</f>
        <v>1198.9531190926275</v>
      </c>
      <c r="Y128" s="5">
        <f t="shared" si="10"/>
        <v>325.64026888468811</v>
      </c>
      <c r="Z128" s="5">
        <f>INDEX('Player Data'!$P:$P,AL128)/INDEX('Player Data'!$E:$E,AL128)*M128*L128*AM128</f>
        <v>386.74616257088849</v>
      </c>
      <c r="AB128" s="3">
        <f>(N128-Pool!$D$2)/Pool!$E$2</f>
        <v>0.58463486166866929</v>
      </c>
      <c r="AC128" s="3">
        <f>(O128-Pool!$D$3)/Pool!$E$3</f>
        <v>-0.92733935697510161</v>
      </c>
      <c r="AD128" s="3">
        <f>(P128-Pool!$D$4)/Pool!$E$4</f>
        <v>1.3467036282290401</v>
      </c>
      <c r="AE128" s="3">
        <f>(Q128-Pool!$D$5)/Pool!$E$5</f>
        <v>0.21224442398756152</v>
      </c>
      <c r="AF128" s="3">
        <f>(R128-Pool!$D$6)/Pool!$E$6</f>
        <v>-0.8197688516170285</v>
      </c>
      <c r="AG128" s="3">
        <f>(S128-Pool!$D$7)/Pool!$E$7</f>
        <v>-0.2869479574645788</v>
      </c>
      <c r="AH128" s="3">
        <f>(AS128-Pool!$D$8)/Pool!$E$8</f>
        <v>-1.2342980828976471</v>
      </c>
      <c r="AI128" s="3">
        <f>(AT128-Pool!$D$9)/Pool!$E$9</f>
        <v>0.72565551717913168</v>
      </c>
      <c r="AJ128" s="3">
        <f>-(T128-Pool!$D$10)/Pool!$E$10</f>
        <v>-1.9074658876732047</v>
      </c>
      <c r="AL128">
        <f>MATCH(B128,'Player Data'!$A:$A,0)</f>
        <v>41</v>
      </c>
      <c r="AM128" s="3">
        <f>1+IF(Settings!$F$10="ON",IFERROR(VLOOKUP(TRIM(F128),Settings!$D$12:$F$17,3,FALSE),0),0)</f>
        <v>1</v>
      </c>
      <c r="AN128" t="str">
        <f t="shared" si="11"/>
        <v>PG</v>
      </c>
      <c r="AO128" s="6">
        <f>X128*(U128-Pool!$B$12)</f>
        <v>-52.282472526222648</v>
      </c>
      <c r="AP128" s="6">
        <f>Z128*(V128-Pool!$B$13)</f>
        <v>20.072258400087868</v>
      </c>
      <c r="AQ128" s="3">
        <f>Settings!$B$2*(N128-Pool!$B$2)/Pool!$C$2+Settings!$B$3*(O128-Pool!$B$3)/Pool!$C$3+Settings!$B$4*(P128-Pool!$B$4)/Pool!$C$4+Settings!$B$5*(Q128-Pool!$B$5)/Pool!$C$5+Settings!$B$6*(R128-Pool!$B$6)/Pool!$C$6+Settings!$B$7*(S128-Pool!$B$7)/Pool!$C$7+Settings!$B$8*(AO128-Pool!$B$8)/Pool!$C$8+Settings!$B$9*(AP128-Pool!$B$9)/Pool!$C$9+Settings!$B$10*-(T128-Pool!$B$10)/Pool!$C$10</f>
        <v>-0.26278430103104755</v>
      </c>
      <c r="AR128">
        <f>IF(RANK(AQ128,$AQ$2:$AQ$266)&lt;=Settings!$F$5,1,0)</f>
        <v>1</v>
      </c>
      <c r="AS128" s="6">
        <f>X128*(U128-Pool!$D$12)</f>
        <v>-56.439031321318197</v>
      </c>
      <c r="AT128" s="6">
        <f>Z128*(V128-Pool!$D$13)</f>
        <v>16.189801257299418</v>
      </c>
    </row>
    <row r="129" spans="1:46" x14ac:dyDescent="0.2">
      <c r="A129">
        <f t="shared" si="6"/>
        <v>128</v>
      </c>
      <c r="B129" t="s">
        <v>170</v>
      </c>
      <c r="C129" t="str">
        <f>INDEX('Player Data'!$C:$C,AL129)</f>
        <v>PF</v>
      </c>
      <c r="D129">
        <f t="shared" si="7"/>
        <v>32</v>
      </c>
      <c r="E129" t="str">
        <f>INDEX('Player Data'!$B:$B,AL129)</f>
        <v>BKN</v>
      </c>
      <c r="F129" s="2"/>
      <c r="G129" s="3">
        <f>Settings!$B$2*AB129+Settings!$B$3*AC129+Settings!$B$4*AD129+Settings!$B$5*AE129+Settings!$B$6*AF129+Settings!$B$7*AG129+Settings!$B$8*AH129+Settings!$B$9*AI129+Settings!$B$10*AJ129</f>
        <v>-2.3890060490046592</v>
      </c>
      <c r="H129" s="3">
        <f>G129-LARGE($G$2:$G$266,Settings!$F$4)</f>
        <v>0.8272587174425059</v>
      </c>
      <c r="I129">
        <f>IF(INDEX('Player Data'!$R:$R,AL129)="","",INDEX('Player Data'!$R:$R,AL129))</f>
        <v>66</v>
      </c>
      <c r="J129" s="4">
        <f t="shared" si="8"/>
        <v>-62</v>
      </c>
      <c r="L129" s="5">
        <f>IF(Settings!$F$7="Yes",INDEX('Minutes &amp; Health'!$O:$O,AL129),Settings!$F$8)</f>
        <v>75</v>
      </c>
      <c r="M129" s="6">
        <f>INDEX('Minutes &amp; Health'!$P:$P,AL129)</f>
        <v>33.6</v>
      </c>
      <c r="N129" s="5">
        <f>INDEX('Player Data'!$F:$F,AL129)/INDEX('Player Data'!$E:$E,AL129)*M129*L129*AM129</f>
        <v>1468.1652104845114</v>
      </c>
      <c r="O129" s="5">
        <f>INDEX('Player Data'!$G:$G,AL129)/INDEX('Player Data'!$E:$E,AL129)*M129*L129*AM129</f>
        <v>512.40667196187451</v>
      </c>
      <c r="P129" s="5">
        <f>INDEX('Player Data'!$H:$H,AL129)/INDEX('Player Data'!$E:$E,AL129)*M129*L129*AM129</f>
        <v>349.27720413026213</v>
      </c>
      <c r="Q129" s="5">
        <f>INDEX('Player Data'!$I:$I,AL129)/INDEX('Player Data'!$E:$E,AL129)*M129*L129*AM129</f>
        <v>55.043685464654487</v>
      </c>
      <c r="R129" s="5">
        <f>INDEX('Player Data'!$J:$J,AL129)/INDEX('Player Data'!$E:$E,AL129)*M129*L129*AM129</f>
        <v>15.011914217633043</v>
      </c>
      <c r="S129" s="5">
        <f>INDEX('Player Data'!$K:$K,AL129)/INDEX('Player Data'!$E:$E,AL129)*M129*L129*AM129</f>
        <v>106.08419380460683</v>
      </c>
      <c r="T129" s="5">
        <f>INDEX('Player Data'!$L:$L,AL129)/INDEX('Player Data'!$E:$E,AL129)*M129*L129*AM129</f>
        <v>220.17474185861795</v>
      </c>
      <c r="U129" s="7">
        <f>INDEX('Player Data'!$M:$M,AL129)</f>
        <v>0.46400000000000002</v>
      </c>
      <c r="V129" s="7">
        <f>INDEX('Player Data'!$N:$N,AL129)</f>
        <v>0.80100000000000005</v>
      </c>
      <c r="W129" s="5">
        <f t="shared" si="9"/>
        <v>510.57321683876091</v>
      </c>
      <c r="X129" s="5">
        <f>INDEX('Player Data'!$O:$O,AL129)/INDEX('Player Data'!$E:$E,AL129)*M129*L129*AM129</f>
        <v>1100.373312152502</v>
      </c>
      <c r="Y129" s="5">
        <f t="shared" si="10"/>
        <v>340.9358840349484</v>
      </c>
      <c r="Z129" s="5">
        <f>INDEX('Player Data'!$P:$P,AL129)/INDEX('Player Data'!$E:$E,AL129)*M129*L129*AM129</f>
        <v>425.63780778395551</v>
      </c>
      <c r="AB129" s="3">
        <f>(N129-Pool!$D$2)/Pool!$E$2</f>
        <v>0.5639468776835358</v>
      </c>
      <c r="AC129" s="3">
        <f>(O129-Pool!$D$3)/Pool!$E$3</f>
        <v>0.48299686786395152</v>
      </c>
      <c r="AD129" s="3">
        <f>(P129-Pool!$D$4)/Pool!$E$4</f>
        <v>0.46812104431992957</v>
      </c>
      <c r="AE129" s="3">
        <f>(Q129-Pool!$D$5)/Pool!$E$5</f>
        <v>-0.84670160420569984</v>
      </c>
      <c r="AF129" s="3">
        <f>(R129-Pool!$D$6)/Pool!$E$6</f>
        <v>-1.022249842776211</v>
      </c>
      <c r="AG129" s="3">
        <f>(S129-Pool!$D$7)/Pool!$E$7</f>
        <v>-0.24405767292611433</v>
      </c>
      <c r="AH129" s="3">
        <f>(AS129-Pool!$D$8)/Pool!$E$8</f>
        <v>-0.48306510801081354</v>
      </c>
      <c r="AI129" s="3">
        <f>(AT129-Pool!$D$9)/Pool!$E$9</f>
        <v>1.6436879069411416E-2</v>
      </c>
      <c r="AJ129" s="3">
        <f>-(T129-Pool!$D$10)/Pool!$E$10</f>
        <v>-1.3244334900226487</v>
      </c>
      <c r="AL129">
        <f>MATCH(B129,'Player Data'!$A:$A,0)</f>
        <v>54</v>
      </c>
      <c r="AM129" s="3">
        <f>1+IF(Settings!$F$10="ON",IFERROR(VLOOKUP(TRIM(F129),Settings!$D$12:$F$17,3,FALSE),0),0)</f>
        <v>1</v>
      </c>
      <c r="AN129" t="str">
        <f t="shared" si="11"/>
        <v>PF</v>
      </c>
      <c r="AO129" s="6">
        <f>X129*(U129-Pool!$B$12)</f>
        <v>-18.273646161370788</v>
      </c>
      <c r="AP129" s="6">
        <f>Z129*(V129-Pool!$B$13)</f>
        <v>4.6395979981594886</v>
      </c>
      <c r="AQ129" s="3">
        <f>Settings!$B$2*(N129-Pool!$B$2)/Pool!$C$2+Settings!$B$3*(O129-Pool!$B$3)/Pool!$C$3+Settings!$B$4*(P129-Pool!$B$4)/Pool!$C$4+Settings!$B$5*(Q129-Pool!$B$5)/Pool!$C$5+Settings!$B$6*(R129-Pool!$B$6)/Pool!$C$6+Settings!$B$7*(S129-Pool!$B$7)/Pool!$C$7+Settings!$B$8*(AO129-Pool!$B$8)/Pool!$C$8+Settings!$B$9*(AP129-Pool!$B$9)/Pool!$C$9+Settings!$B$10*-(T129-Pool!$B$10)/Pool!$C$10</f>
        <v>-0.25836934273911916</v>
      </c>
      <c r="AR129">
        <f>IF(RANK(AQ129,$AQ$2:$AQ$266)&lt;=Settings!$F$5,1,0)</f>
        <v>1</v>
      </c>
      <c r="AS129" s="6">
        <f>X129*(U129-Pool!$D$12)</f>
        <v>-22.088446169545708</v>
      </c>
      <c r="AT129" s="6">
        <f>Z129*(V129-Pool!$D$13)</f>
        <v>0.36671643655191249</v>
      </c>
    </row>
    <row r="130" spans="1:46" x14ac:dyDescent="0.2">
      <c r="A130">
        <f t="shared" ref="A130:A193" si="12">RANK(H130,$H$2:$H$266)</f>
        <v>129</v>
      </c>
      <c r="B130" t="s">
        <v>171</v>
      </c>
      <c r="C130" t="str">
        <f>INDEX('Player Data'!$C:$C,AL130)</f>
        <v>C</v>
      </c>
      <c r="D130">
        <f t="shared" ref="D130:D193" si="13">SUMPRODUCT(($AN$2:$AN$266=AN130)*($H$2:$H$266&gt;H130))+1</f>
        <v>31</v>
      </c>
      <c r="E130" t="str">
        <f>INDEX('Player Data'!$B:$B,AL130)</f>
        <v>DAL</v>
      </c>
      <c r="F130" s="2"/>
      <c r="G130" s="3">
        <f>Settings!$B$2*AB130+Settings!$B$3*AC130+Settings!$B$4*AD130+Settings!$B$5*AE130+Settings!$B$6*AF130+Settings!$B$7*AG130+Settings!$B$8*AH130+Settings!$B$9*AI130+Settings!$B$10*AJ130</f>
        <v>-2.4934459847334578</v>
      </c>
      <c r="H130" s="3">
        <f>G130-LARGE($G$2:$G$266,Settings!$F$4)</f>
        <v>0.72281878171370728</v>
      </c>
      <c r="I130">
        <f>IF(INDEX('Player Data'!$R:$R,AL130)="","",INDEX('Player Data'!$R:$R,AL130))</f>
        <v>109</v>
      </c>
      <c r="J130" s="4">
        <f t="shared" ref="J130:J193" si="14">IF(I130="","",I130-A130)</f>
        <v>-20</v>
      </c>
      <c r="L130" s="5">
        <f>IF(Settings!$F$7="Yes",INDEX('Minutes &amp; Health'!$O:$O,AL130),Settings!$F$8)</f>
        <v>73</v>
      </c>
      <c r="M130" s="6">
        <f>INDEX('Minutes &amp; Health'!$P:$P,AL130)</f>
        <v>19.2</v>
      </c>
      <c r="N130" s="5">
        <f>INDEX('Player Data'!$F:$F,AL130)/INDEX('Player Data'!$E:$E,AL130)*M130*L130*AM130</f>
        <v>670.33043478260868</v>
      </c>
      <c r="O130" s="5">
        <f>INDEX('Player Data'!$G:$G,AL130)/INDEX('Player Data'!$E:$E,AL130)*M130*L130*AM130</f>
        <v>418.58189593727724</v>
      </c>
      <c r="P130" s="5">
        <f>INDEX('Player Data'!$H:$H,AL130)/INDEX('Player Data'!$E:$E,AL130)*M130*L130*AM130</f>
        <v>80.919173200285087</v>
      </c>
      <c r="Q130" s="5">
        <f>INDEX('Player Data'!$I:$I,AL130)/INDEX('Player Data'!$E:$E,AL130)*M130*L130*AM130</f>
        <v>39.960085531004992</v>
      </c>
      <c r="R130" s="5">
        <f>INDEX('Player Data'!$J:$J,AL130)/INDEX('Player Data'!$E:$E,AL130)*M130*L130*AM130</f>
        <v>94.905203136136834</v>
      </c>
      <c r="S130" s="5">
        <f>INDEX('Player Data'!$K:$K,AL130)/INDEX('Player Data'!$E:$E,AL130)*M130*L130*AM130</f>
        <v>0</v>
      </c>
      <c r="T130" s="5">
        <f>INDEX('Player Data'!$L:$L,AL130)/INDEX('Player Data'!$E:$E,AL130)*M130*L130*AM130</f>
        <v>65.934141126158224</v>
      </c>
      <c r="U130" s="7">
        <f>INDEX('Player Data'!$M:$M,AL130)</f>
        <v>0.69599999999999995</v>
      </c>
      <c r="V130" s="7">
        <f>INDEX('Player Data'!$N:$N,AL130)</f>
        <v>0.68700000000000006</v>
      </c>
      <c r="W130" s="5">
        <f t="shared" ref="W130:W193" si="15">X130*U130</f>
        <v>275.4800344404847</v>
      </c>
      <c r="X130" s="5">
        <f>INDEX('Player Data'!$O:$O,AL130)/INDEX('Player Data'!$E:$E,AL130)*M130*L130*AM130</f>
        <v>395.80464718460445</v>
      </c>
      <c r="Y130" s="5">
        <f t="shared" ref="Y130:Y193" si="16">Z130*V130</f>
        <v>119.35008615823236</v>
      </c>
      <c r="Z130" s="5">
        <f>INDEX('Player Data'!$P:$P,AL130)/INDEX('Player Data'!$E:$E,AL130)*M130*L130*AM130</f>
        <v>173.72647184604418</v>
      </c>
      <c r="AB130" s="3">
        <f>(N130-Pool!$D$2)/Pool!$E$2</f>
        <v>-1.4026848500057287</v>
      </c>
      <c r="AC130" s="3">
        <f>(O130-Pool!$D$3)/Pool!$E$3</f>
        <v>-6.3111148551073484E-2</v>
      </c>
      <c r="AD130" s="3">
        <f>(P130-Pool!$D$4)/Pool!$E$4</f>
        <v>-1.3468722410433105</v>
      </c>
      <c r="AE130" s="3">
        <f>(Q130-Pool!$D$5)/Pool!$E$5</f>
        <v>-1.5126149246589844</v>
      </c>
      <c r="AF130" s="3">
        <f>(R130-Pool!$D$6)/Pool!$E$6</f>
        <v>1.2899199233943335</v>
      </c>
      <c r="AG130" s="3">
        <f>(S130-Pool!$D$7)/Pool!$E$7</f>
        <v>-1.7381805406185855</v>
      </c>
      <c r="AH130" s="3">
        <f>(AS130-Pool!$D$8)/Pool!$E$8</f>
        <v>1.8344524838105212</v>
      </c>
      <c r="AI130" s="3">
        <f>(AT130-Pool!$D$9)/Pool!$E$9</f>
        <v>-0.88097814492887228</v>
      </c>
      <c r="AJ130" s="3">
        <f>-(T130-Pool!$D$10)/Pool!$E$10</f>
        <v>1.3266234578682419</v>
      </c>
      <c r="AL130">
        <f>MATCH(B130,'Player Data'!$A:$A,0)</f>
        <v>194</v>
      </c>
      <c r="AM130" s="3">
        <f>1+IF(Settings!$F$10="ON",IFERROR(VLOOKUP(TRIM(F130),Settings!$D$12:$F$17,3,FALSE),0),0)</f>
        <v>1</v>
      </c>
      <c r="AN130" t="str">
        <f t="shared" ref="AN130:AN193" si="17">IFERROR(LEFT(C130,FIND(",",C130)-1),C130)</f>
        <v>C</v>
      </c>
      <c r="AO130" s="6">
        <f>X130*(U130-Pool!$B$12)</f>
        <v>85.253641531164391</v>
      </c>
      <c r="AP130" s="6">
        <f>Z130*(V130-Pool!$B$13)</f>
        <v>-17.911139700148052</v>
      </c>
      <c r="AQ130" s="3">
        <f>Settings!$B$2*(N130-Pool!$B$2)/Pool!$C$2+Settings!$B$3*(O130-Pool!$B$3)/Pool!$C$3+Settings!$B$4*(P130-Pool!$B$4)/Pool!$C$4+Settings!$B$5*(Q130-Pool!$B$5)/Pool!$C$5+Settings!$B$6*(R130-Pool!$B$6)/Pool!$C$6+Settings!$B$7*(S130-Pool!$B$7)/Pool!$C$7+Settings!$B$8*(AO130-Pool!$B$8)/Pool!$C$8+Settings!$B$9*(AP130-Pool!$B$9)/Pool!$C$9+Settings!$B$10*-(T130-Pool!$B$10)/Pool!$C$10</f>
        <v>5.0295157434388171E-2</v>
      </c>
      <c r="AR130">
        <f>IF(RANK(AQ130,$AQ$2:$AQ$266)&lt;=Settings!$F$5,1,0)</f>
        <v>1</v>
      </c>
      <c r="AS130" s="6">
        <f>X130*(U130-Pool!$D$12)</f>
        <v>83.881456696581409</v>
      </c>
      <c r="AT130" s="6">
        <f>Z130*(V130-Pool!$D$13)</f>
        <v>-19.655140408588128</v>
      </c>
    </row>
    <row r="131" spans="1:46" x14ac:dyDescent="0.2">
      <c r="A131">
        <f t="shared" si="12"/>
        <v>130</v>
      </c>
      <c r="B131" t="s">
        <v>172</v>
      </c>
      <c r="C131" t="str">
        <f>INDEX('Player Data'!$C:$C,AL131)</f>
        <v>PF,C</v>
      </c>
      <c r="D131">
        <f t="shared" si="13"/>
        <v>33</v>
      </c>
      <c r="E131" t="str">
        <f>INDEX('Player Data'!$B:$B,AL131)</f>
        <v>GSW</v>
      </c>
      <c r="F131" s="2"/>
      <c r="G131" s="3">
        <f>Settings!$B$2*AB131+Settings!$B$3*AC131+Settings!$B$4*AD131+Settings!$B$5*AE131+Settings!$B$6*AF131+Settings!$B$7*AG131+Settings!$B$8*AH131+Settings!$B$9*AI131+Settings!$B$10*AJ131</f>
        <v>-2.5256946416492081</v>
      </c>
      <c r="H131" s="3">
        <f>G131-LARGE($G$2:$G$266,Settings!$F$4)</f>
        <v>0.69057012479795699</v>
      </c>
      <c r="I131">
        <f>IF(INDEX('Player Data'!$R:$R,AL131)="","",INDEX('Player Data'!$R:$R,AL131))</f>
        <v>128</v>
      </c>
      <c r="J131" s="4">
        <f t="shared" si="14"/>
        <v>-2</v>
      </c>
      <c r="L131" s="5">
        <f>IF(Settings!$F$7="Yes",INDEX('Minutes &amp; Health'!$O:$O,AL131),Settings!$F$8)</f>
        <v>54</v>
      </c>
      <c r="M131" s="6">
        <f>INDEX('Minutes &amp; Health'!$P:$P,AL131)</f>
        <v>26.9</v>
      </c>
      <c r="N131" s="5">
        <f>INDEX('Player Data'!$F:$F,AL131)/INDEX('Player Data'!$E:$E,AL131)*M131*L131*AM131</f>
        <v>935.02991040661607</v>
      </c>
      <c r="O131" s="5">
        <f>INDEX('Player Data'!$G:$G,AL131)/INDEX('Player Data'!$E:$E,AL131)*M131*L131*AM131</f>
        <v>314.3462439696761</v>
      </c>
      <c r="P131" s="5">
        <f>INDEX('Player Data'!$H:$H,AL131)/INDEX('Player Data'!$E:$E,AL131)*M131*L131*AM131</f>
        <v>113.12460372157132</v>
      </c>
      <c r="Q131" s="5">
        <f>INDEX('Player Data'!$I:$I,AL131)/INDEX('Player Data'!$E:$E,AL131)*M131*L131*AM131</f>
        <v>42.046312887663682</v>
      </c>
      <c r="R131" s="5">
        <f>INDEX('Player Data'!$J:$J,AL131)/INDEX('Player Data'!$E:$E,AL131)*M131*L131*AM131</f>
        <v>68.074982770503098</v>
      </c>
      <c r="S131" s="5">
        <f>INDEX('Player Data'!$K:$K,AL131)/INDEX('Player Data'!$E:$E,AL131)*M131*L131*AM131</f>
        <v>102.11247415575464</v>
      </c>
      <c r="T131" s="5">
        <f>INDEX('Player Data'!$L:$L,AL131)/INDEX('Player Data'!$E:$E,AL131)*M131*L131*AM131</f>
        <v>73.080496209510684</v>
      </c>
      <c r="U131" s="7">
        <f>INDEX('Player Data'!$M:$M,AL131)</f>
        <v>0.46800000000000003</v>
      </c>
      <c r="V131" s="7">
        <f>INDEX('Player Data'!$N:$N,AL131)</f>
        <v>0.82499999999999996</v>
      </c>
      <c r="W131" s="5">
        <f t="shared" si="15"/>
        <v>318.12240330806338</v>
      </c>
      <c r="X131" s="5">
        <f>INDEX('Player Data'!$O:$O,AL131)/INDEX('Player Data'!$E:$E,AL131)*M131*L131*AM131</f>
        <v>679.74872501722939</v>
      </c>
      <c r="Y131" s="5">
        <f t="shared" si="16"/>
        <v>196.64910372157129</v>
      </c>
      <c r="Z131" s="5">
        <f>INDEX('Player Data'!$P:$P,AL131)/INDEX('Player Data'!$E:$E,AL131)*M131*L131*AM131</f>
        <v>238.36254996554098</v>
      </c>
      <c r="AB131" s="3">
        <f>(N131-Pool!$D$2)/Pool!$E$2</f>
        <v>-0.75021092568109549</v>
      </c>
      <c r="AC131" s="3">
        <f>(O131-Pool!$D$3)/Pool!$E$3</f>
        <v>-0.66981576909640017</v>
      </c>
      <c r="AD131" s="3">
        <f>(P131-Pool!$D$4)/Pool!$E$4</f>
        <v>-1.129056362957594</v>
      </c>
      <c r="AE131" s="3">
        <f>(Q131-Pool!$D$5)/Pool!$E$5</f>
        <v>-1.4205118065436702</v>
      </c>
      <c r="AF131" s="3">
        <f>(R131-Pool!$D$6)/Pool!$E$6</f>
        <v>0.51343387320315659</v>
      </c>
      <c r="AG131" s="3">
        <f>(S131-Pool!$D$7)/Pool!$E$7</f>
        <v>-0.29999661103355424</v>
      </c>
      <c r="AH131" s="3">
        <f>(AS131-Pool!$D$8)/Pool!$E$8</f>
        <v>-0.23894716159896537</v>
      </c>
      <c r="AI131" s="3">
        <f>(AT131-Pool!$D$9)/Pool!$E$9</f>
        <v>0.26561680233749474</v>
      </c>
      <c r="AJ131" s="3">
        <f>-(T131-Pool!$D$10)/Pool!$E$10</f>
        <v>1.2037933197214195</v>
      </c>
      <c r="AL131">
        <f>MATCH(B131,'Player Data'!$A:$A,0)</f>
        <v>74</v>
      </c>
      <c r="AM131" s="3">
        <f>1+IF(Settings!$F$10="ON",IFERROR(VLOOKUP(TRIM(F131),Settings!$D$12:$F$17,3,FALSE),0),0)</f>
        <v>1</v>
      </c>
      <c r="AN131" t="str">
        <f t="shared" si="17"/>
        <v>PF</v>
      </c>
      <c r="AO131" s="6">
        <f>X131*(U131-Pool!$B$12)</f>
        <v>-8.5694356193058301</v>
      </c>
      <c r="AP131" s="6">
        <f>Z131*(V131-Pool!$B$13)</f>
        <v>8.3189346958966581</v>
      </c>
      <c r="AQ131" s="3">
        <f>Settings!$B$2*(N131-Pool!$B$2)/Pool!$C$2+Settings!$B$3*(O131-Pool!$B$3)/Pool!$C$3+Settings!$B$4*(P131-Pool!$B$4)/Pool!$C$4+Settings!$B$5*(Q131-Pool!$B$5)/Pool!$C$5+Settings!$B$6*(R131-Pool!$B$6)/Pool!$C$6+Settings!$B$7*(S131-Pool!$B$7)/Pool!$C$7+Settings!$B$8*(AO131-Pool!$B$8)/Pool!$C$8+Settings!$B$9*(AP131-Pool!$B$9)/Pool!$C$9+Settings!$B$10*-(T131-Pool!$B$10)/Pool!$C$10</f>
        <v>-0.18792007740914207</v>
      </c>
      <c r="AR131">
        <f>IF(RANK(AQ131,$AQ$2:$AQ$266)&lt;=Settings!$F$5,1,0)</f>
        <v>1</v>
      </c>
      <c r="AS131" s="6">
        <f>X131*(U131-Pool!$D$12)</f>
        <v>-10.926004442917245</v>
      </c>
      <c r="AT131" s="6">
        <f>Z131*(V131-Pool!$D$13)</f>
        <v>5.9260670368223245</v>
      </c>
    </row>
    <row r="132" spans="1:46" x14ac:dyDescent="0.2">
      <c r="A132">
        <f t="shared" si="12"/>
        <v>131</v>
      </c>
      <c r="B132" t="s">
        <v>173</v>
      </c>
      <c r="C132" t="str">
        <f>INDEX('Player Data'!$C:$C,AL132)</f>
        <v>SG,SF</v>
      </c>
      <c r="D132">
        <f t="shared" si="13"/>
        <v>5</v>
      </c>
      <c r="E132" t="str">
        <f>INDEX('Player Data'!$B:$B,AL132)</f>
        <v>LAL</v>
      </c>
      <c r="F132" s="2"/>
      <c r="G132" s="3">
        <f>Settings!$B$2*AB132+Settings!$B$3*AC132+Settings!$B$4*AD132+Settings!$B$5*AE132+Settings!$B$6*AF132+Settings!$B$7*AG132+Settings!$B$8*AH132+Settings!$B$9*AI132+Settings!$B$10*AJ132</f>
        <v>-2.5392418656012969</v>
      </c>
      <c r="H132" s="3">
        <f>G132-LARGE($G$2:$G$266,Settings!$F$4)</f>
        <v>0.67702290084586814</v>
      </c>
      <c r="I132">
        <f>IF(INDEX('Player Data'!$R:$R,AL132)="","",INDEX('Player Data'!$R:$R,AL132))</f>
        <v>180</v>
      </c>
      <c r="J132" s="4">
        <f t="shared" si="14"/>
        <v>49</v>
      </c>
      <c r="L132" s="5">
        <f>IF(Settings!$F$7="Yes",INDEX('Minutes &amp; Health'!$O:$O,AL132),Settings!$F$8)</f>
        <v>76</v>
      </c>
      <c r="M132" s="6">
        <f>INDEX('Minutes &amp; Health'!$P:$P,AL132)</f>
        <v>29.2</v>
      </c>
      <c r="N132" s="5">
        <f>INDEX('Player Data'!$F:$F,AL132)/INDEX('Player Data'!$E:$E,AL132)*M132*L132*AM132</f>
        <v>1059.0954484001802</v>
      </c>
      <c r="O132" s="5">
        <f>INDEX('Player Data'!$G:$G,AL132)/INDEX('Player Data'!$E:$E,AL132)*M132*L132*AM132</f>
        <v>300.02703920684991</v>
      </c>
      <c r="P132" s="5">
        <f>INDEX('Player Data'!$H:$H,AL132)/INDEX('Player Data'!$E:$E,AL132)*M132*L132*AM132</f>
        <v>241.02172149616948</v>
      </c>
      <c r="Q132" s="5">
        <f>INDEX('Player Data'!$I:$I,AL132)/INDEX('Player Data'!$E:$E,AL132)*M132*L132*AM132</f>
        <v>67.006038756196489</v>
      </c>
      <c r="R132" s="5">
        <f>INDEX('Player Data'!$J:$J,AL132)/INDEX('Player Data'!$E:$E,AL132)*M132*L132*AM132</f>
        <v>25.002253267237496</v>
      </c>
      <c r="S132" s="5">
        <f>INDEX('Player Data'!$K:$K,AL132)/INDEX('Player Data'!$E:$E,AL132)*M132*L132*AM132</f>
        <v>147.01324921135648</v>
      </c>
      <c r="T132" s="5">
        <f>INDEX('Player Data'!$L:$L,AL132)/INDEX('Player Data'!$E:$E,AL132)*M132*L132*AM132</f>
        <v>143.01288868859848</v>
      </c>
      <c r="U132" s="7">
        <f>INDEX('Player Data'!$M:$M,AL132)</f>
        <v>0.46200000000000002</v>
      </c>
      <c r="V132" s="7">
        <f>INDEX('Player Data'!$N:$N,AL132)</f>
        <v>0.80200000000000005</v>
      </c>
      <c r="W132" s="5">
        <f t="shared" si="15"/>
        <v>363.16472933753943</v>
      </c>
      <c r="X132" s="5">
        <f>INDEX('Player Data'!$O:$O,AL132)/INDEX('Player Data'!$E:$E,AL132)*M132*L132*AM132</f>
        <v>786.07084272194675</v>
      </c>
      <c r="Y132" s="5">
        <f t="shared" si="16"/>
        <v>185.75994116268592</v>
      </c>
      <c r="Z132" s="5">
        <f>INDEX('Player Data'!$P:$P,AL132)/INDEX('Player Data'!$E:$E,AL132)*M132*L132*AM132</f>
        <v>231.62087426768815</v>
      </c>
      <c r="AB132" s="3">
        <f>(N132-Pool!$D$2)/Pool!$E$2</f>
        <v>-0.4443941942452822</v>
      </c>
      <c r="AC132" s="3">
        <f>(O132-Pool!$D$3)/Pool!$E$3</f>
        <v>-0.7531608389276091</v>
      </c>
      <c r="AD132" s="3">
        <f>(P132-Pool!$D$4)/Pool!$E$4</f>
        <v>-0.26404625249521041</v>
      </c>
      <c r="AE132" s="3">
        <f>(Q132-Pool!$D$5)/Pool!$E$5</f>
        <v>-0.31858560829976396</v>
      </c>
      <c r="AF132" s="3">
        <f>(R132-Pool!$D$6)/Pool!$E$6</f>
        <v>-0.73312217990265971</v>
      </c>
      <c r="AG132" s="3">
        <f>(S132-Pool!$D$7)/Pool!$E$7</f>
        <v>0.33239990706843903</v>
      </c>
      <c r="AH132" s="3">
        <f>(AS132-Pool!$D$8)/Pool!$E$8</f>
        <v>-0.37946805748390167</v>
      </c>
      <c r="AI132" s="3">
        <f>(AT132-Pool!$D$9)/Pool!$E$9</f>
        <v>1.9326173386461261E-2</v>
      </c>
      <c r="AJ132" s="3">
        <f>-(T132-Pool!$D$10)/Pool!$E$10</f>
        <v>1.8091852982299445E-3</v>
      </c>
      <c r="AL132">
        <f>MATCH(B132,'Player Data'!$A:$A,0)</f>
        <v>108</v>
      </c>
      <c r="AM132" s="3">
        <f>1+IF(Settings!$F$10="ON",IFERROR(VLOOKUP(TRIM(F132),Settings!$D$12:$F$17,3,FALSE),0),0)</f>
        <v>1</v>
      </c>
      <c r="AN132" t="str">
        <f t="shared" si="17"/>
        <v>SG</v>
      </c>
      <c r="AO132" s="6">
        <f>X132*(U132-Pool!$B$12)</f>
        <v>-14.626239125859305</v>
      </c>
      <c r="AP132" s="6">
        <f>Z132*(V132-Pool!$B$13)</f>
        <v>2.7563677950811094</v>
      </c>
      <c r="AQ132" s="3">
        <f>Settings!$B$2*(N132-Pool!$B$2)/Pool!$C$2+Settings!$B$3*(O132-Pool!$B$3)/Pool!$C$3+Settings!$B$4*(P132-Pool!$B$4)/Pool!$C$4+Settings!$B$5*(Q132-Pool!$B$5)/Pool!$C$5+Settings!$B$6*(R132-Pool!$B$6)/Pool!$C$6+Settings!$B$7*(S132-Pool!$B$7)/Pool!$C$7+Settings!$B$8*(AO132-Pool!$B$8)/Pool!$C$8+Settings!$B$9*(AP132-Pool!$B$9)/Pool!$C$9+Settings!$B$10*-(T132-Pool!$B$10)/Pool!$C$10</f>
        <v>-0.48283700204217944</v>
      </c>
      <c r="AR132">
        <f>IF(RANK(AQ132,$AQ$2:$AQ$266)&lt;=Settings!$F$5,1,0)</f>
        <v>1</v>
      </c>
      <c r="AS132" s="6">
        <f>X132*(U132-Pool!$D$12)</f>
        <v>-17.351407960948386</v>
      </c>
      <c r="AT132" s="6">
        <f>Z132*(V132-Pool!$D$13)</f>
        <v>0.4311782916050092</v>
      </c>
    </row>
    <row r="133" spans="1:46" x14ac:dyDescent="0.2">
      <c r="A133">
        <f t="shared" si="12"/>
        <v>132</v>
      </c>
      <c r="B133" t="s">
        <v>174</v>
      </c>
      <c r="C133" t="str">
        <f>INDEX('Player Data'!$C:$C,AL133)</f>
        <v>PF,SF,SG</v>
      </c>
      <c r="D133">
        <f t="shared" si="13"/>
        <v>34</v>
      </c>
      <c r="E133" t="str">
        <f>INDEX('Player Data'!$B:$B,AL133)</f>
        <v>DEN</v>
      </c>
      <c r="F133" s="2"/>
      <c r="G133" s="3">
        <f>Settings!$B$2*AB133+Settings!$B$3*AC133+Settings!$B$4*AD133+Settings!$B$5*AE133+Settings!$B$6*AF133+Settings!$B$7*AG133+Settings!$B$8*AH133+Settings!$B$9*AI133+Settings!$B$10*AJ133</f>
        <v>-2.5478166000273514</v>
      </c>
      <c r="H133" s="3">
        <f>G133-LARGE($G$2:$G$266,Settings!$F$4)</f>
        <v>0.66844816641981364</v>
      </c>
      <c r="I133">
        <f>IF(INDEX('Player Data'!$R:$R,AL133)="","",INDEX('Player Data'!$R:$R,AL133))</f>
        <v>169</v>
      </c>
      <c r="J133" s="4">
        <f t="shared" si="14"/>
        <v>37</v>
      </c>
      <c r="L133" s="5">
        <f>IF(Settings!$F$7="Yes",INDEX('Minutes &amp; Health'!$O:$O,AL133),Settings!$F$8)</f>
        <v>72</v>
      </c>
      <c r="M133" s="6">
        <f>INDEX('Minutes &amp; Health'!$P:$P,AL133)</f>
        <v>30.4</v>
      </c>
      <c r="N133" s="5">
        <f>INDEX('Player Data'!$F:$F,AL133)/INDEX('Player Data'!$E:$E,AL133)*M133*L133*AM133</f>
        <v>852.92206486980353</v>
      </c>
      <c r="O133" s="5">
        <f>INDEX('Player Data'!$G:$G,AL133)/INDEX('Player Data'!$E:$E,AL133)*M133*L133*AM133</f>
        <v>321.97058017359524</v>
      </c>
      <c r="P133" s="5">
        <f>INDEX('Player Data'!$H:$H,AL133)/INDEX('Player Data'!$E:$E,AL133)*M133*L133*AM133</f>
        <v>165.98483325719505</v>
      </c>
      <c r="Q133" s="5">
        <f>INDEX('Player Data'!$I:$I,AL133)/INDEX('Player Data'!$E:$E,AL133)*M133*L133*AM133</f>
        <v>53.99506624029236</v>
      </c>
      <c r="R133" s="5">
        <f>INDEX('Player Data'!$J:$J,AL133)/INDEX('Player Data'!$E:$E,AL133)*M133*L133*AM133</f>
        <v>28.997350388305158</v>
      </c>
      <c r="S133" s="5">
        <f>INDEX('Player Data'!$K:$K,AL133)/INDEX('Player Data'!$E:$E,AL133)*M133*L133*AM133</f>
        <v>67.993787117405205</v>
      </c>
      <c r="T133" s="5">
        <f>INDEX('Player Data'!$L:$L,AL133)/INDEX('Player Data'!$E:$E,AL133)*M133*L133*AM133</f>
        <v>59.994518044769293</v>
      </c>
      <c r="U133" s="7">
        <f>INDEX('Player Data'!$M:$M,AL133)</f>
        <v>0.53600000000000003</v>
      </c>
      <c r="V133" s="7">
        <f>INDEX('Player Data'!$N:$N,AL133)</f>
        <v>0.79500000000000004</v>
      </c>
      <c r="W133" s="5">
        <f t="shared" si="15"/>
        <v>330.41380867976244</v>
      </c>
      <c r="X133" s="5">
        <f>INDEX('Player Data'!$O:$O,AL133)/INDEX('Player Data'!$E:$E,AL133)*M133*L133*AM133</f>
        <v>616.44367291000447</v>
      </c>
      <c r="Y133" s="5">
        <f t="shared" si="16"/>
        <v>124.08816153494746</v>
      </c>
      <c r="Z133" s="5">
        <f>INDEX('Player Data'!$P:$P,AL133)/INDEX('Player Data'!$E:$E,AL133)*M133*L133*AM133</f>
        <v>156.08573777980811</v>
      </c>
      <c r="AB133" s="3">
        <f>(N133-Pool!$D$2)/Pool!$E$2</f>
        <v>-0.9526035751903188</v>
      </c>
      <c r="AC133" s="3">
        <f>(O133-Pool!$D$3)/Pool!$E$3</f>
        <v>-0.625438246471545</v>
      </c>
      <c r="AD133" s="3">
        <f>(P133-Pool!$D$4)/Pool!$E$4</f>
        <v>-0.7715453120028688</v>
      </c>
      <c r="AE133" s="3">
        <f>(Q133-Pool!$D$5)/Pool!$E$5</f>
        <v>-0.89299622304058035</v>
      </c>
      <c r="AF133" s="3">
        <f>(R133-Pool!$D$6)/Pool!$E$6</f>
        <v>-0.61750116966148283</v>
      </c>
      <c r="AG133" s="3">
        <f>(S133-Pool!$D$7)/Pool!$E$7</f>
        <v>-0.78053483912750099</v>
      </c>
      <c r="AH133" s="3">
        <f>(AS133-Pool!$D$8)/Pool!$E$8</f>
        <v>0.70003890125193979</v>
      </c>
      <c r="AI133" s="3">
        <f>(AT133-Pool!$D$9)/Pool!$E$9</f>
        <v>-3.5948660753553456E-2</v>
      </c>
      <c r="AJ133" s="3">
        <f>-(T133-Pool!$D$10)/Pool!$E$10</f>
        <v>1.4287125249685584</v>
      </c>
      <c r="AL133">
        <f>MATCH(B133,'Player Data'!$A:$A,0)</f>
        <v>138</v>
      </c>
      <c r="AM133" s="3">
        <f>1+IF(Settings!$F$10="ON",IFERROR(VLOOKUP(TRIM(F133),Settings!$D$12:$F$17,3,FALSE),0),0)</f>
        <v>1</v>
      </c>
      <c r="AN133" t="str">
        <f t="shared" si="17"/>
        <v>PF</v>
      </c>
      <c r="AO133" s="6">
        <f>X133*(U133-Pool!$B$12)</f>
        <v>34.146806350325832</v>
      </c>
      <c r="AP133" s="6">
        <f>Z133*(V133-Pool!$B$13)</f>
        <v>0.76487361569171941</v>
      </c>
      <c r="AQ133" s="3">
        <f>Settings!$B$2*(N133-Pool!$B$2)/Pool!$C$2+Settings!$B$3*(O133-Pool!$B$3)/Pool!$C$3+Settings!$B$4*(P133-Pool!$B$4)/Pool!$C$4+Settings!$B$5*(Q133-Pool!$B$5)/Pool!$C$5+Settings!$B$6*(R133-Pool!$B$6)/Pool!$C$6+Settings!$B$7*(S133-Pool!$B$7)/Pool!$C$7+Settings!$B$8*(AO133-Pool!$B$8)/Pool!$C$8+Settings!$B$9*(AP133-Pool!$B$9)/Pool!$C$9+Settings!$B$10*-(T133-Pool!$B$10)/Pool!$C$10</f>
        <v>-0.32143673568608422</v>
      </c>
      <c r="AR133">
        <f>IF(RANK(AQ133,$AQ$2:$AQ$266)&lt;=Settings!$F$5,1,0)</f>
        <v>1</v>
      </c>
      <c r="AS133" s="6">
        <f>X133*(U133-Pool!$D$12)</f>
        <v>32.009704966199799</v>
      </c>
      <c r="AT133" s="6">
        <f>Z133*(V133-Pool!$D$13)</f>
        <v>-0.80203575841110764</v>
      </c>
    </row>
    <row r="134" spans="1:46" x14ac:dyDescent="0.2">
      <c r="A134">
        <f t="shared" si="12"/>
        <v>133</v>
      </c>
      <c r="B134" t="s">
        <v>175</v>
      </c>
      <c r="C134" t="str">
        <f>INDEX('Player Data'!$C:$C,AL134)</f>
        <v>PG,SG</v>
      </c>
      <c r="D134">
        <f t="shared" si="13"/>
        <v>48</v>
      </c>
      <c r="E134" t="str">
        <f>INDEX('Player Data'!$B:$B,AL134)</f>
        <v>BKN</v>
      </c>
      <c r="F134" s="2"/>
      <c r="G134" s="3">
        <f>Settings!$B$2*AB134+Settings!$B$3*AC134+Settings!$B$4*AD134+Settings!$B$5*AE134+Settings!$B$6*AF134+Settings!$B$7*AG134+Settings!$B$8*AH134+Settings!$B$9*AI134+Settings!$B$10*AJ134</f>
        <v>-2.60281917466473</v>
      </c>
      <c r="H134" s="3">
        <f>G134-LARGE($G$2:$G$266,Settings!$F$4)</f>
        <v>0.61344559178243507</v>
      </c>
      <c r="I134">
        <f>IF(INDEX('Player Data'!$R:$R,AL134)="","",INDEX('Player Data'!$R:$R,AL134))</f>
        <v>185</v>
      </c>
      <c r="J134" s="4">
        <f t="shared" si="14"/>
        <v>52</v>
      </c>
      <c r="L134" s="5">
        <f>IF(Settings!$F$7="Yes",INDEX('Minutes &amp; Health'!$O:$O,AL134),Settings!$F$8)</f>
        <v>75</v>
      </c>
      <c r="M134" s="6">
        <f>INDEX('Minutes &amp; Health'!$P:$P,AL134)</f>
        <v>28.6</v>
      </c>
      <c r="N134" s="5">
        <f>INDEX('Player Data'!$F:$F,AL134)/INDEX('Player Data'!$E:$E,AL134)*M134*L134*AM134</f>
        <v>880.76815642458109</v>
      </c>
      <c r="O134" s="5">
        <f>INDEX('Player Data'!$G:$G,AL134)/INDEX('Player Data'!$E:$E,AL134)*M134*L134*AM134</f>
        <v>260.63547486033519</v>
      </c>
      <c r="P134" s="5">
        <f>INDEX('Player Data'!$H:$H,AL134)/INDEX('Player Data'!$E:$E,AL134)*M134*L134*AM134</f>
        <v>272.61871508379886</v>
      </c>
      <c r="Q134" s="5">
        <f>INDEX('Player Data'!$I:$I,AL134)/INDEX('Player Data'!$E:$E,AL134)*M134*L134*AM134</f>
        <v>64.909217877094974</v>
      </c>
      <c r="R134" s="5">
        <f>INDEX('Player Data'!$J:$J,AL134)/INDEX('Player Data'!$E:$E,AL134)*M134*L134*AM134</f>
        <v>26.962290502793302</v>
      </c>
      <c r="S134" s="5">
        <f>INDEX('Player Data'!$K:$K,AL134)/INDEX('Player Data'!$E:$E,AL134)*M134*L134*AM134</f>
        <v>195.72625698324023</v>
      </c>
      <c r="T134" s="5">
        <f>INDEX('Player Data'!$L:$L,AL134)/INDEX('Player Data'!$E:$E,AL134)*M134*L134*AM134</f>
        <v>135.81005586592181</v>
      </c>
      <c r="U134" s="7">
        <f>INDEX('Player Data'!$M:$M,AL134)</f>
        <v>0.42199999999999999</v>
      </c>
      <c r="V134" s="7">
        <f>INDEX('Player Data'!$N:$N,AL134)</f>
        <v>0.83499999999999996</v>
      </c>
      <c r="W134" s="5">
        <f t="shared" si="15"/>
        <v>290.89974720670392</v>
      </c>
      <c r="X134" s="5">
        <f>INDEX('Player Data'!$O:$O,AL134)/INDEX('Player Data'!$E:$E,AL134)*M134*L134*AM134</f>
        <v>689.33589385474863</v>
      </c>
      <c r="Y134" s="5">
        <f t="shared" si="16"/>
        <v>103.22862430167598</v>
      </c>
      <c r="Z134" s="5">
        <f>INDEX('Player Data'!$P:$P,AL134)/INDEX('Player Data'!$E:$E,AL134)*M134*L134*AM134</f>
        <v>123.62709497206704</v>
      </c>
      <c r="AB134" s="3">
        <f>(N134-Pool!$D$2)/Pool!$E$2</f>
        <v>-0.88396404127731354</v>
      </c>
      <c r="AC134" s="3">
        <f>(O134-Pool!$D$3)/Pool!$E$3</f>
        <v>-0.98243982023975562</v>
      </c>
      <c r="AD134" s="3">
        <f>(P134-Pool!$D$4)/Pool!$E$4</f>
        <v>-5.0345432734103066E-2</v>
      </c>
      <c r="AE134" s="3">
        <f>(Q134-Pool!$D$5)/Pool!$E$5</f>
        <v>-0.41115641103521067</v>
      </c>
      <c r="AF134" s="3">
        <f>(R134-Pool!$D$6)/Pool!$E$6</f>
        <v>-0.67639727975186614</v>
      </c>
      <c r="AG134" s="3">
        <f>(S134-Pool!$D$7)/Pool!$E$7</f>
        <v>1.0184890995838645</v>
      </c>
      <c r="AH134" s="3">
        <f>(AS134-Pool!$D$8)/Pool!$E$8</f>
        <v>-0.93578974460910869</v>
      </c>
      <c r="AI134" s="3">
        <f>(AT134-Pool!$D$9)/Pool!$E$9</f>
        <v>0.19317440373736827</v>
      </c>
      <c r="AJ134" s="3">
        <f>-(T134-Pool!$D$10)/Pool!$E$10</f>
        <v>0.12561005166139497</v>
      </c>
      <c r="AL134">
        <f>MATCH(B134,'Player Data'!$A:$A,0)</f>
        <v>141</v>
      </c>
      <c r="AM134" s="3">
        <f>1+IF(Settings!$F$10="ON",IFERROR(VLOOKUP(TRIM(F134),Settings!$D$12:$F$17,3,FALSE),0),0)</f>
        <v>1</v>
      </c>
      <c r="AN134" t="str">
        <f t="shared" si="17"/>
        <v>PG</v>
      </c>
      <c r="AO134" s="6">
        <f>X134*(U134-Pool!$B$12)</f>
        <v>-40.399749966080819</v>
      </c>
      <c r="AP134" s="6">
        <f>Z134*(V134-Pool!$B$13)</f>
        <v>5.550898939162459</v>
      </c>
      <c r="AQ134" s="3">
        <f>Settings!$B$2*(N134-Pool!$B$2)/Pool!$C$2+Settings!$B$3*(O134-Pool!$B$3)/Pool!$C$3+Settings!$B$4*(P134-Pool!$B$4)/Pool!$C$4+Settings!$B$5*(Q134-Pool!$B$5)/Pool!$C$5+Settings!$B$6*(R134-Pool!$B$6)/Pool!$C$6+Settings!$B$7*(S134-Pool!$B$7)/Pool!$C$7+Settings!$B$8*(AO134-Pool!$B$8)/Pool!$C$8+Settings!$B$9*(AP134-Pool!$B$9)/Pool!$C$9+Settings!$B$10*-(T134-Pool!$B$10)/Pool!$C$10</f>
        <v>-0.57939188323070012</v>
      </c>
      <c r="AR134">
        <f>IF(RANK(AQ134,$AQ$2:$AQ$266)&lt;=Settings!$F$5,1,0)</f>
        <v>1</v>
      </c>
      <c r="AS134" s="6">
        <f>X134*(U134-Pool!$D$12)</f>
        <v>-42.789555811488228</v>
      </c>
      <c r="AT134" s="6">
        <f>Z134*(V134-Pool!$D$13)</f>
        <v>4.3098345295614706</v>
      </c>
    </row>
    <row r="135" spans="1:46" x14ac:dyDescent="0.2">
      <c r="A135">
        <f t="shared" si="12"/>
        <v>134</v>
      </c>
      <c r="B135" t="s">
        <v>176</v>
      </c>
      <c r="C135" t="str">
        <f>INDEX('Player Data'!$C:$C,AL135)</f>
        <v>PG,SG</v>
      </c>
      <c r="D135">
        <f t="shared" si="13"/>
        <v>49</v>
      </c>
      <c r="E135" t="str">
        <f>INDEX('Player Data'!$B:$B,AL135)</f>
        <v>LAC</v>
      </c>
      <c r="F135" s="2"/>
      <c r="G135" s="3">
        <f>Settings!$B$2*AB135+Settings!$B$3*AC135+Settings!$B$4*AD135+Settings!$B$5*AE135+Settings!$B$6*AF135+Settings!$B$7*AG135+Settings!$B$8*AH135+Settings!$B$9*AI135+Settings!$B$10*AJ135</f>
        <v>-2.6132438852229849</v>
      </c>
      <c r="H135" s="3">
        <f>G135-LARGE($G$2:$G$266,Settings!$F$4)</f>
        <v>0.60302088122418018</v>
      </c>
      <c r="I135">
        <f>IF(INDEX('Player Data'!$R:$R,AL135)="","",INDEX('Player Data'!$R:$R,AL135))</f>
        <v>195</v>
      </c>
      <c r="J135" s="4">
        <f t="shared" si="14"/>
        <v>61</v>
      </c>
      <c r="L135" s="5">
        <f>IF(Settings!$F$7="Yes",INDEX('Minutes &amp; Health'!$O:$O,AL135),Settings!$F$8)</f>
        <v>74</v>
      </c>
      <c r="M135" s="6">
        <f>INDEX('Minutes &amp; Health'!$P:$P,AL135)</f>
        <v>27.2</v>
      </c>
      <c r="N135" s="5">
        <f>INDEX('Player Data'!$F:$F,AL135)/INDEX('Player Data'!$E:$E,AL135)*M135*L135*AM135</f>
        <v>1058.3174603174605</v>
      </c>
      <c r="O135" s="5">
        <f>INDEX('Player Data'!$G:$G,AL135)/INDEX('Player Data'!$E:$E,AL135)*M135*L135*AM135</f>
        <v>225.64126984126983</v>
      </c>
      <c r="P135" s="5">
        <f>INDEX('Player Data'!$H:$H,AL135)/INDEX('Player Data'!$E:$E,AL135)*M135*L135*AM135</f>
        <v>313.50158730158728</v>
      </c>
      <c r="Q135" s="5">
        <f>INDEX('Player Data'!$I:$I,AL135)/INDEX('Player Data'!$E:$E,AL135)*M135*L135*AM135</f>
        <v>86.861904761904768</v>
      </c>
      <c r="R135" s="5">
        <f>INDEX('Player Data'!$J:$J,AL135)/INDEX('Player Data'!$E:$E,AL135)*M135*L135*AM135</f>
        <v>13.977777777777778</v>
      </c>
      <c r="S135" s="5">
        <f>INDEX('Player Data'!$K:$K,AL135)/INDEX('Player Data'!$E:$E,AL135)*M135*L135*AM135</f>
        <v>114.8174603174603</v>
      </c>
      <c r="T135" s="5">
        <f>INDEX('Player Data'!$L:$L,AL135)/INDEX('Player Data'!$E:$E,AL135)*M135*L135*AM135</f>
        <v>165.73650793650793</v>
      </c>
      <c r="U135" s="7">
        <f>INDEX('Player Data'!$M:$M,AL135)</f>
        <v>0.46400000000000002</v>
      </c>
      <c r="V135" s="7">
        <f>INDEX('Player Data'!$N:$N,AL135)</f>
        <v>0.81699999999999995</v>
      </c>
      <c r="W135" s="5">
        <f t="shared" si="15"/>
        <v>384.7403301587301</v>
      </c>
      <c r="X135" s="5">
        <f>INDEX('Player Data'!$O:$O,AL135)/INDEX('Player Data'!$E:$E,AL135)*M135*L135*AM135</f>
        <v>829.18174603174589</v>
      </c>
      <c r="Y135" s="5">
        <f t="shared" si="16"/>
        <v>174.07105746031746</v>
      </c>
      <c r="Z135" s="5">
        <f>INDEX('Player Data'!$P:$P,AL135)/INDEX('Player Data'!$E:$E,AL135)*M135*L135*AM135</f>
        <v>213.06126984126985</v>
      </c>
      <c r="AB135" s="3">
        <f>(N135-Pool!$D$2)/Pool!$E$2</f>
        <v>-0.44631190464577802</v>
      </c>
      <c r="AC135" s="3">
        <f>(O135-Pool!$D$3)/Pool!$E$3</f>
        <v>-1.1861239290509764</v>
      </c>
      <c r="AD135" s="3">
        <f>(P135-Pool!$D$4)/Pool!$E$4</f>
        <v>0.22615882653664326</v>
      </c>
      <c r="AE135" s="3">
        <f>(Q135-Pool!$D$5)/Pool!$E$5</f>
        <v>0.55801452167580934</v>
      </c>
      <c r="AF135" s="3">
        <f>(R135-Pool!$D$6)/Pool!$E$6</f>
        <v>-1.0521785019001035</v>
      </c>
      <c r="AG135" s="3">
        <f>(S135-Pool!$D$7)/Pool!$E$7</f>
        <v>-0.12105562390700197</v>
      </c>
      <c r="AH135" s="3">
        <f>(AS135-Pool!$D$8)/Pool!$E$8</f>
        <v>-0.36401170882987455</v>
      </c>
      <c r="AI135" s="3">
        <f>(AT135-Pool!$D$9)/Pool!$E$9</f>
        <v>0.16102432416487966</v>
      </c>
      <c r="AJ135" s="3">
        <f>-(T135-Pool!$D$10)/Pool!$E$10</f>
        <v>-0.3887598892665825</v>
      </c>
      <c r="AL135">
        <f>MATCH(B135,'Player Data'!$A:$A,0)</f>
        <v>102</v>
      </c>
      <c r="AM135" s="3">
        <f>1+IF(Settings!$F$10="ON",IFERROR(VLOOKUP(TRIM(F135),Settings!$D$12:$F$17,3,FALSE),0),0)</f>
        <v>1</v>
      </c>
      <c r="AN135" t="str">
        <f t="shared" si="17"/>
        <v>PG</v>
      </c>
      <c r="AO135" s="6">
        <f>X135*(U135-Pool!$B$12)</f>
        <v>-13.770030282551767</v>
      </c>
      <c r="AP135" s="6">
        <f>Z135*(V135-Pool!$B$13)</f>
        <v>5.7314211884616455</v>
      </c>
      <c r="AQ135" s="3">
        <f>Settings!$B$2*(N135-Pool!$B$2)/Pool!$C$2+Settings!$B$3*(O135-Pool!$B$3)/Pool!$C$3+Settings!$B$4*(P135-Pool!$B$4)/Pool!$C$4+Settings!$B$5*(Q135-Pool!$B$5)/Pool!$C$5+Settings!$B$6*(R135-Pool!$B$6)/Pool!$C$6+Settings!$B$7*(S135-Pool!$B$7)/Pool!$C$7+Settings!$B$8*(AO135-Pool!$B$8)/Pool!$C$8+Settings!$B$9*(AP135-Pool!$B$9)/Pool!$C$9+Settings!$B$10*-(T135-Pool!$B$10)/Pool!$C$10</f>
        <v>-0.66197580639599474</v>
      </c>
      <c r="AR135">
        <f>IF(RANK(AQ135,$AQ$2:$AQ$266)&lt;=Settings!$F$5,1,0)</f>
        <v>1</v>
      </c>
      <c r="AS135" s="6">
        <f>X135*(U135-Pool!$D$12)</f>
        <v>-16.644657008415155</v>
      </c>
      <c r="AT135" s="6">
        <f>Z135*(V135-Pool!$D$13)</f>
        <v>3.5925473507795611</v>
      </c>
    </row>
    <row r="136" spans="1:46" x14ac:dyDescent="0.2">
      <c r="A136">
        <f t="shared" si="12"/>
        <v>135</v>
      </c>
      <c r="B136" t="s">
        <v>177</v>
      </c>
      <c r="C136" t="str">
        <f>INDEX('Player Data'!$C:$C,AL136)</f>
        <v>PF,SF,SG</v>
      </c>
      <c r="D136">
        <f t="shared" si="13"/>
        <v>35</v>
      </c>
      <c r="E136" t="str">
        <f>INDEX('Player Data'!$B:$B,AL136)</f>
        <v>IND</v>
      </c>
      <c r="F136" s="2"/>
      <c r="G136" s="3">
        <f>Settings!$B$2*AB136+Settings!$B$3*AC136+Settings!$B$4*AD136+Settings!$B$5*AE136+Settings!$B$6*AF136+Settings!$B$7*AG136+Settings!$B$8*AH136+Settings!$B$9*AI136+Settings!$B$10*AJ136</f>
        <v>-2.6544696722829659</v>
      </c>
      <c r="H136" s="3">
        <f>G136-LARGE($G$2:$G$266,Settings!$F$4)</f>
        <v>0.56179509416419915</v>
      </c>
      <c r="I136">
        <f>IF(INDEX('Player Data'!$R:$R,AL136)="","",INDEX('Player Data'!$R:$R,AL136))</f>
        <v>41</v>
      </c>
      <c r="J136" s="4">
        <f t="shared" si="14"/>
        <v>-94</v>
      </c>
      <c r="L136" s="5">
        <f>IF(Settings!$F$7="Yes",INDEX('Minutes &amp; Health'!$O:$O,AL136),Settings!$F$8)</f>
        <v>71</v>
      </c>
      <c r="M136" s="6">
        <f>INDEX('Minutes &amp; Health'!$P:$P,AL136)</f>
        <v>27.9</v>
      </c>
      <c r="N136" s="5">
        <f>INDEX('Player Data'!$F:$F,AL136)/INDEX('Player Data'!$E:$E,AL136)*M136*L136*AM136</f>
        <v>900.49994954591318</v>
      </c>
      <c r="O136" s="5">
        <f>INDEX('Player Data'!$G:$G,AL136)/INDEX('Player Data'!$E:$E,AL136)*M136*L136*AM136</f>
        <v>289.83905146316857</v>
      </c>
      <c r="P136" s="5">
        <f>INDEX('Player Data'!$H:$H,AL136)/INDEX('Player Data'!$E:$E,AL136)*M136*L136*AM136</f>
        <v>104.94172552976791</v>
      </c>
      <c r="Q136" s="5">
        <f>INDEX('Player Data'!$I:$I,AL136)/INDEX('Player Data'!$E:$E,AL136)*M136*L136*AM136</f>
        <v>49.972250252270427</v>
      </c>
      <c r="R136" s="5">
        <f>INDEX('Player Data'!$J:$J,AL136)/INDEX('Player Data'!$E:$E,AL136)*M136*L136*AM136</f>
        <v>32.981685166498487</v>
      </c>
      <c r="S136" s="5">
        <f>INDEX('Player Data'!$K:$K,AL136)/INDEX('Player Data'!$E:$E,AL136)*M136*L136*AM136</f>
        <v>144.91952573158429</v>
      </c>
      <c r="T136" s="5">
        <f>INDEX('Player Data'!$L:$L,AL136)/INDEX('Player Data'!$E:$E,AL136)*M136*L136*AM136</f>
        <v>69.961150353178596</v>
      </c>
      <c r="U136" s="7">
        <f>INDEX('Player Data'!$M:$M,AL136)</f>
        <v>0.47199999999999998</v>
      </c>
      <c r="V136" s="7">
        <f>INDEX('Player Data'!$N:$N,AL136)</f>
        <v>0.85499999999999998</v>
      </c>
      <c r="W136" s="5">
        <f t="shared" si="15"/>
        <v>314.17753622603425</v>
      </c>
      <c r="X136" s="5">
        <f>INDEX('Player Data'!$O:$O,AL136)/INDEX('Player Data'!$E:$E,AL136)*M136*L136*AM136</f>
        <v>665.63037336024206</v>
      </c>
      <c r="Y136" s="5">
        <f t="shared" si="16"/>
        <v>127.23884386982846</v>
      </c>
      <c r="Z136" s="5">
        <f>INDEX('Player Data'!$P:$P,AL136)/INDEX('Player Data'!$E:$E,AL136)*M136*L136*AM136</f>
        <v>148.81736125126136</v>
      </c>
      <c r="AB136" s="3">
        <f>(N136-Pool!$D$2)/Pool!$E$2</f>
        <v>-0.83532593777715813</v>
      </c>
      <c r="AC136" s="3">
        <f>(O136-Pool!$D$3)/Pool!$E$3</f>
        <v>-0.81246012013776403</v>
      </c>
      <c r="AD136" s="3">
        <f>(P136-Pool!$D$4)/Pool!$E$4</f>
        <v>-1.1843998491264272</v>
      </c>
      <c r="AE136" s="3">
        <f>(Q136-Pool!$D$5)/Pool!$E$5</f>
        <v>-1.0705961835234952</v>
      </c>
      <c r="AF136" s="3">
        <f>(R136-Pool!$D$6)/Pool!$E$6</f>
        <v>-0.50219162943417128</v>
      </c>
      <c r="AG136" s="3">
        <f>(S136-Pool!$D$7)/Pool!$E$7</f>
        <v>0.30291125265575458</v>
      </c>
      <c r="AH136" s="3">
        <f>(AS136-Pool!$D$8)/Pool!$E$8</f>
        <v>-0.17575600444332715</v>
      </c>
      <c r="AI136" s="3">
        <f>(AT136-Pool!$D$9)/Pool!$E$9</f>
        <v>0.36594077998180535</v>
      </c>
      <c r="AJ136" s="3">
        <f>-(T136-Pool!$D$10)/Pool!$E$10</f>
        <v>1.2574080195218171</v>
      </c>
      <c r="AL136">
        <f>MATCH(B136,'Player Data'!$A:$A,0)</f>
        <v>129</v>
      </c>
      <c r="AM136" s="3">
        <f>1+IF(Settings!$F$10="ON",IFERROR(VLOOKUP(TRIM(F136),Settings!$D$12:$F$17,3,FALSE),0),0)</f>
        <v>1</v>
      </c>
      <c r="AN136" t="str">
        <f t="shared" si="17"/>
        <v>PF</v>
      </c>
      <c r="AO136" s="6">
        <f>X136*(U136-Pool!$B$12)</f>
        <v>-5.7289273182071012</v>
      </c>
      <c r="AP136" s="6">
        <f>Z136*(V136-Pool!$B$13)</f>
        <v>9.6582977544397544</v>
      </c>
      <c r="AQ136" s="3">
        <f>Settings!$B$2*(N136-Pool!$B$2)/Pool!$C$2+Settings!$B$3*(O136-Pool!$B$3)/Pool!$C$3+Settings!$B$4*(P136-Pool!$B$4)/Pool!$C$4+Settings!$B$5*(Q136-Pool!$B$5)/Pool!$C$5+Settings!$B$6*(R136-Pool!$B$6)/Pool!$C$6+Settings!$B$7*(S136-Pool!$B$7)/Pool!$C$7+Settings!$B$8*(AO136-Pool!$B$8)/Pool!$C$8+Settings!$B$9*(AP136-Pool!$B$9)/Pool!$C$9+Settings!$B$10*-(T136-Pool!$B$10)/Pool!$C$10</f>
        <v>-0.45723502586857179</v>
      </c>
      <c r="AR136">
        <f>IF(RANK(AQ136,$AQ$2:$AQ$266)&lt;=Settings!$F$5,1,0)</f>
        <v>1</v>
      </c>
      <c r="AS136" s="6">
        <f>X136*(U136-Pool!$D$12)</f>
        <v>-8.0365503091436619</v>
      </c>
      <c r="AT136" s="6">
        <f>Z136*(V136-Pool!$D$13)</f>
        <v>8.1643539662968401</v>
      </c>
    </row>
    <row r="137" spans="1:46" x14ac:dyDescent="0.2">
      <c r="A137">
        <f t="shared" si="12"/>
        <v>136</v>
      </c>
      <c r="B137" t="s">
        <v>178</v>
      </c>
      <c r="C137" t="str">
        <f>INDEX('Player Data'!$C:$C,AL137)</f>
        <v>PG,SG</v>
      </c>
      <c r="D137">
        <f t="shared" si="13"/>
        <v>50</v>
      </c>
      <c r="E137" t="str">
        <f>INDEX('Player Data'!$B:$B,AL137)</f>
        <v>LAL</v>
      </c>
      <c r="F137" s="2"/>
      <c r="G137" s="3">
        <f>Settings!$B$2*AB137+Settings!$B$3*AC137+Settings!$B$4*AD137+Settings!$B$5*AE137+Settings!$B$6*AF137+Settings!$B$7*AG137+Settings!$B$8*AH137+Settings!$B$9*AI137+Settings!$B$10*AJ137</f>
        <v>-2.6597699156106849</v>
      </c>
      <c r="H137" s="3">
        <f>G137-LARGE($G$2:$G$266,Settings!$F$4)</f>
        <v>0.5564948508364802</v>
      </c>
      <c r="I137">
        <f>IF(INDEX('Player Data'!$R:$R,AL137)="","",INDEX('Player Data'!$R:$R,AL137))</f>
        <v>170</v>
      </c>
      <c r="J137" s="4">
        <f t="shared" si="14"/>
        <v>34</v>
      </c>
      <c r="L137" s="5">
        <f>IF(Settings!$F$7="Yes",INDEX('Minutes &amp; Health'!$O:$O,AL137),Settings!$F$8)</f>
        <v>75</v>
      </c>
      <c r="M137" s="6">
        <f>INDEX('Minutes &amp; Health'!$P:$P,AL137)</f>
        <v>24.4</v>
      </c>
      <c r="N137" s="5">
        <f>INDEX('Player Data'!$F:$F,AL137)/INDEX('Player Data'!$E:$E,AL137)*M137*L137*AM137</f>
        <v>1170</v>
      </c>
      <c r="O137" s="5">
        <f>INDEX('Player Data'!$G:$G,AL137)/INDEX('Player Data'!$E:$E,AL137)*M137*L137*AM137</f>
        <v>167.99999999999997</v>
      </c>
      <c r="P137" s="5">
        <f>INDEX('Player Data'!$H:$H,AL137)/INDEX('Player Data'!$E:$E,AL137)*M137*L137*AM137</f>
        <v>260</v>
      </c>
      <c r="Q137" s="5">
        <f>INDEX('Player Data'!$I:$I,AL137)/INDEX('Player Data'!$E:$E,AL137)*M137*L137*AM137</f>
        <v>67</v>
      </c>
      <c r="R137" s="5">
        <f>INDEX('Player Data'!$J:$J,AL137)/INDEX('Player Data'!$E:$E,AL137)*M137*L137*AM137</f>
        <v>11</v>
      </c>
      <c r="S137" s="5">
        <f>INDEX('Player Data'!$K:$K,AL137)/INDEX('Player Data'!$E:$E,AL137)*M137*L137*AM137</f>
        <v>108.99999999999999</v>
      </c>
      <c r="T137" s="5">
        <f>INDEX('Player Data'!$L:$L,AL137)/INDEX('Player Data'!$E:$E,AL137)*M137*L137*AM137</f>
        <v>146</v>
      </c>
      <c r="U137" s="7">
        <f>INDEX('Player Data'!$M:$M,AL137)</f>
        <v>0.49199999999999999</v>
      </c>
      <c r="V137" s="7">
        <f>INDEX('Player Data'!$N:$N,AL137)</f>
        <v>0.86</v>
      </c>
      <c r="W137" s="5">
        <f t="shared" si="15"/>
        <v>413.08320000000003</v>
      </c>
      <c r="X137" s="5">
        <f>INDEX('Player Data'!$O:$O,AL137)/INDEX('Player Data'!$E:$E,AL137)*M137*L137*AM137</f>
        <v>839.6</v>
      </c>
      <c r="Y137" s="5">
        <f t="shared" si="16"/>
        <v>234.86600000000001</v>
      </c>
      <c r="Z137" s="5">
        <f>INDEX('Player Data'!$P:$P,AL137)/INDEX('Player Data'!$E:$E,AL137)*M137*L137*AM137</f>
        <v>273.10000000000002</v>
      </c>
      <c r="AB137" s="3">
        <f>(N137-Pool!$D$2)/Pool!$E$2</f>
        <v>-0.17101878298989556</v>
      </c>
      <c r="AC137" s="3">
        <f>(O137-Pool!$D$3)/Pool!$E$3</f>
        <v>-1.5216254977241239</v>
      </c>
      <c r="AD137" s="3">
        <f>(P137-Pool!$D$4)/Pool!$E$4</f>
        <v>-0.13568993711743879</v>
      </c>
      <c r="AE137" s="3">
        <f>(Q137-Pool!$D$5)/Pool!$E$5</f>
        <v>-0.31885220832945849</v>
      </c>
      <c r="AF137" s="3">
        <f>(R137-Pool!$D$6)/Pool!$E$6</f>
        <v>-1.1383575519974849</v>
      </c>
      <c r="AG137" s="3">
        <f>(S137-Pool!$D$7)/Pool!$E$7</f>
        <v>-0.20299054918173695</v>
      </c>
      <c r="AH137" s="3">
        <f>(AS137-Pool!$D$8)/Pool!$E$8</f>
        <v>0.14554232015975216</v>
      </c>
      <c r="AI137" s="3">
        <f>(AT137-Pool!$D$9)/Pool!$E$9</f>
        <v>0.73275498485991419</v>
      </c>
      <c r="AJ137" s="3">
        <f>-(T137-Pool!$D$10)/Pool!$E$10</f>
        <v>-4.953269329021312E-2</v>
      </c>
      <c r="AL137">
        <f>MATCH(B137,'Player Data'!$A:$A,0)</f>
        <v>89</v>
      </c>
      <c r="AM137" s="3">
        <f>1+IF(Settings!$F$10="ON",IFERROR(VLOOKUP(TRIM(F137),Settings!$D$12:$F$17,3,FALSE),0),0)</f>
        <v>1</v>
      </c>
      <c r="AN137" t="str">
        <f t="shared" si="17"/>
        <v>PG</v>
      </c>
      <c r="AO137" s="6">
        <f>X137*(U137-Pool!$B$12)</f>
        <v>9.5657561732876708</v>
      </c>
      <c r="AP137" s="6">
        <f>Z137*(V137-Pool!$B$13)</f>
        <v>19.08978360884635</v>
      </c>
      <c r="AQ137" s="3">
        <f>Settings!$B$2*(N137-Pool!$B$2)/Pool!$C$2+Settings!$B$3*(O137-Pool!$B$3)/Pool!$C$3+Settings!$B$4*(P137-Pool!$B$4)/Pool!$C$4+Settings!$B$5*(Q137-Pool!$B$5)/Pool!$C$5+Settings!$B$6*(R137-Pool!$B$6)/Pool!$C$6+Settings!$B$7*(S137-Pool!$B$7)/Pool!$C$7+Settings!$B$8*(AO137-Pool!$B$8)/Pool!$C$8+Settings!$B$9*(AP137-Pool!$B$9)/Pool!$C$9+Settings!$B$10*-(T137-Pool!$B$10)/Pool!$C$10</f>
        <v>-0.45055554734086956</v>
      </c>
      <c r="AR137">
        <f>IF(RANK(AQ137,$AQ$2:$AQ$266)&lt;=Settings!$F$5,1,0)</f>
        <v>1</v>
      </c>
      <c r="AS137" s="6">
        <f>X137*(U137-Pool!$D$12)</f>
        <v>6.6550112002036919</v>
      </c>
      <c r="AT137" s="6">
        <f>Z137*(V137-Pool!$D$13)</f>
        <v>16.348194555584111</v>
      </c>
    </row>
    <row r="138" spans="1:46" x14ac:dyDescent="0.2">
      <c r="A138">
        <f t="shared" si="12"/>
        <v>137</v>
      </c>
      <c r="B138" t="s">
        <v>179</v>
      </c>
      <c r="C138" t="str">
        <f>INDEX('Player Data'!$C:$C,AL138)</f>
        <v>SG,SF</v>
      </c>
      <c r="D138">
        <f t="shared" si="13"/>
        <v>6</v>
      </c>
      <c r="E138" t="str">
        <f>INDEX('Player Data'!$B:$B,AL138)</f>
        <v>DAL</v>
      </c>
      <c r="F138" s="2"/>
      <c r="G138" s="3">
        <f>Settings!$B$2*AB138+Settings!$B$3*AC138+Settings!$B$4*AD138+Settings!$B$5*AE138+Settings!$B$6*AF138+Settings!$B$7*AG138+Settings!$B$8*AH138+Settings!$B$9*AI138+Settings!$B$10*AJ138</f>
        <v>-2.6717450932606299</v>
      </c>
      <c r="H138" s="3">
        <f>G138-LARGE($G$2:$G$266,Settings!$F$4)</f>
        <v>0.54451967318653516</v>
      </c>
      <c r="I138" t="str">
        <f>IF(INDEX('Player Data'!$R:$R,AL138)="","",INDEX('Player Data'!$R:$R,AL138))</f>
        <v/>
      </c>
      <c r="J138" s="4" t="str">
        <f t="shared" si="14"/>
        <v/>
      </c>
      <c r="L138" s="5">
        <f>IF(Settings!$F$7="Yes",INDEX('Minutes &amp; Health'!$O:$O,AL138),Settings!$F$8)</f>
        <v>78</v>
      </c>
      <c r="M138" s="6">
        <f>INDEX('Minutes &amp; Health'!$P:$P,AL138)</f>
        <v>30.8</v>
      </c>
      <c r="N138" s="5">
        <f>INDEX('Player Data'!$F:$F,AL138)/INDEX('Player Data'!$E:$E,AL138)*M138*L138*AM138</f>
        <v>933.76679151061171</v>
      </c>
      <c r="O138" s="5">
        <f>INDEX('Player Data'!$G:$G,AL138)/INDEX('Player Data'!$E:$E,AL138)*M138*L138*AM138</f>
        <v>261.93458177278404</v>
      </c>
      <c r="P138" s="5">
        <f>INDEX('Player Data'!$H:$H,AL138)/INDEX('Player Data'!$E:$E,AL138)*M138*L138*AM138</f>
        <v>164.95880149812737</v>
      </c>
      <c r="Q138" s="5">
        <f>INDEX('Player Data'!$I:$I,AL138)/INDEX('Player Data'!$E:$E,AL138)*M138*L138*AM138</f>
        <v>53.986516853932578</v>
      </c>
      <c r="R138" s="5">
        <f>INDEX('Player Data'!$J:$J,AL138)/INDEX('Player Data'!$E:$E,AL138)*M138*L138*AM138</f>
        <v>30.992259675405748</v>
      </c>
      <c r="S138" s="5">
        <f>INDEX('Player Data'!$K:$K,AL138)/INDEX('Player Data'!$E:$E,AL138)*M138*L138*AM138</f>
        <v>166.95830212234705</v>
      </c>
      <c r="T138" s="5">
        <f>INDEX('Player Data'!$L:$L,AL138)/INDEX('Player Data'!$E:$E,AL138)*M138*L138*AM138</f>
        <v>94.97627965043695</v>
      </c>
      <c r="U138" s="7">
        <f>INDEX('Player Data'!$M:$M,AL138)</f>
        <v>0.44</v>
      </c>
      <c r="V138" s="7">
        <f>INDEX('Player Data'!$N:$N,AL138)</f>
        <v>0.88500000000000001</v>
      </c>
      <c r="W138" s="5">
        <f t="shared" si="15"/>
        <v>319.66816279650442</v>
      </c>
      <c r="X138" s="5">
        <f>INDEX('Player Data'!$O:$O,AL138)/INDEX('Player Data'!$E:$E,AL138)*M138*L138*AM138</f>
        <v>726.51855181023734</v>
      </c>
      <c r="Y138" s="5">
        <f t="shared" si="16"/>
        <v>127.4081797752809</v>
      </c>
      <c r="Z138" s="5">
        <f>INDEX('Player Data'!$P:$P,AL138)/INDEX('Player Data'!$E:$E,AL138)*M138*L138*AM138</f>
        <v>143.96404494382023</v>
      </c>
      <c r="AB138" s="3">
        <f>(N138-Pool!$D$2)/Pool!$E$2</f>
        <v>-0.75332446468989667</v>
      </c>
      <c r="AC138" s="3">
        <f>(O138-Pool!$D$3)/Pool!$E$3</f>
        <v>-0.97487835588963023</v>
      </c>
      <c r="AD138" s="3">
        <f>(P138-Pool!$D$4)/Pool!$E$4</f>
        <v>-0.77848470094838984</v>
      </c>
      <c r="AE138" s="3">
        <f>(Q138-Pool!$D$5)/Pool!$E$5</f>
        <v>-0.89337366279526254</v>
      </c>
      <c r="AF138" s="3">
        <f>(R138-Pool!$D$6)/Pool!$E$6</f>
        <v>-0.55976704702958147</v>
      </c>
      <c r="AG138" s="3">
        <f>(S138-Pool!$D$7)/Pool!$E$7</f>
        <v>0.61331225209257756</v>
      </c>
      <c r="AH138" s="3">
        <f>(AS138-Pool!$D$8)/Pool!$E$8</f>
        <v>-0.70027023976755653</v>
      </c>
      <c r="AI138" s="3">
        <f>(AT138-Pool!$D$9)/Pool!$E$9</f>
        <v>0.54758820244539119</v>
      </c>
      <c r="AJ138" s="3">
        <f>-(T138-Pool!$D$10)/Pool!$E$10</f>
        <v>0.82745292332171849</v>
      </c>
      <c r="AL138">
        <f>MATCH(B138,'Player Data'!$A:$A,0)</f>
        <v>137</v>
      </c>
      <c r="AM138" s="3">
        <f>1+IF(Settings!$F$10="ON",IFERROR(VLOOKUP(TRIM(F138),Settings!$D$12:$F$17,3,FALSE),0),0)</f>
        <v>1</v>
      </c>
      <c r="AN138" t="str">
        <f t="shared" si="17"/>
        <v>SG</v>
      </c>
      <c r="AO138" s="6">
        <f>X138*(U138-Pool!$B$12)</f>
        <v>-29.50157150453396</v>
      </c>
      <c r="AP138" s="6">
        <f>Z138*(V138-Pool!$B$13)</f>
        <v>13.662237210859361</v>
      </c>
      <c r="AQ138" s="3">
        <f>Settings!$B$2*(N138-Pool!$B$2)/Pool!$C$2+Settings!$B$3*(O138-Pool!$B$3)/Pool!$C$3+Settings!$B$4*(P138-Pool!$B$4)/Pool!$C$4+Settings!$B$5*(Q138-Pool!$B$5)/Pool!$C$5+Settings!$B$6*(R138-Pool!$B$6)/Pool!$C$6+Settings!$B$7*(S138-Pool!$B$7)/Pool!$C$7+Settings!$B$8*(AO138-Pool!$B$8)/Pool!$C$8+Settings!$B$9*(AP138-Pool!$B$9)/Pool!$C$9+Settings!$B$10*-(T138-Pool!$B$10)/Pool!$C$10</f>
        <v>-0.53106348984026996</v>
      </c>
      <c r="AR138">
        <f>IF(RANK(AQ138,$AQ$2:$AQ$266)&lt;=Settings!$F$5,1,0)</f>
        <v>1</v>
      </c>
      <c r="AS138" s="6">
        <f>X138*(U138-Pool!$D$12)</f>
        <v>-32.020283060672476</v>
      </c>
      <c r="AT138" s="6">
        <f>Z138*(V138-Pool!$D$13)</f>
        <v>12.217014766035742</v>
      </c>
    </row>
    <row r="139" spans="1:46" x14ac:dyDescent="0.2">
      <c r="A139">
        <f t="shared" si="12"/>
        <v>138</v>
      </c>
      <c r="B139" t="s">
        <v>180</v>
      </c>
      <c r="C139" t="str">
        <f>INDEX('Player Data'!$C:$C,AL139)</f>
        <v>PF,C</v>
      </c>
      <c r="D139">
        <f t="shared" si="13"/>
        <v>36</v>
      </c>
      <c r="E139" t="str">
        <f>INDEX('Player Data'!$B:$B,AL139)</f>
        <v>DEN</v>
      </c>
      <c r="F139" s="2"/>
      <c r="G139" s="3">
        <f>Settings!$B$2*AB139+Settings!$B$3*AC139+Settings!$B$4*AD139+Settings!$B$5*AE139+Settings!$B$6*AF139+Settings!$B$7*AG139+Settings!$B$8*AH139+Settings!$B$9*AI139+Settings!$B$10*AJ139</f>
        <v>-2.6898163953986605</v>
      </c>
      <c r="H139" s="3">
        <f>G139-LARGE($G$2:$G$266,Settings!$F$4)</f>
        <v>0.52644837104850462</v>
      </c>
      <c r="I139">
        <f>IF(INDEX('Player Data'!$R:$R,AL139)="","",INDEX('Player Data'!$R:$R,AL139))</f>
        <v>138</v>
      </c>
      <c r="J139" s="4">
        <f t="shared" si="14"/>
        <v>0</v>
      </c>
      <c r="L139" s="5">
        <f>IF(Settings!$F$7="Yes",INDEX('Minutes &amp; Health'!$O:$O,AL139),Settings!$F$8)</f>
        <v>72</v>
      </c>
      <c r="M139" s="6">
        <f>INDEX('Minutes &amp; Health'!$P:$P,AL139)</f>
        <v>29.4</v>
      </c>
      <c r="N139" s="5">
        <f>INDEX('Player Data'!$F:$F,AL139)/INDEX('Player Data'!$E:$E,AL139)*M139*L139*AM139</f>
        <v>1079.8776781500706</v>
      </c>
      <c r="O139" s="5">
        <f>INDEX('Player Data'!$G:$G,AL139)/INDEX('Player Data'!$E:$E,AL139)*M139*L139*AM139</f>
        <v>383.60132137800855</v>
      </c>
      <c r="P139" s="5">
        <f>INDEX('Player Data'!$H:$H,AL139)/INDEX('Player Data'!$E:$E,AL139)*M139*L139*AM139</f>
        <v>208.78301085417647</v>
      </c>
      <c r="Q139" s="5">
        <f>INDEX('Player Data'!$I:$I,AL139)/INDEX('Player Data'!$E:$E,AL139)*M139*L139*AM139</f>
        <v>32.965738555922599</v>
      </c>
      <c r="R139" s="5">
        <f>INDEX('Player Data'!$J:$J,AL139)/INDEX('Player Data'!$E:$E,AL139)*M139*L139*AM139</f>
        <v>22.976120811703634</v>
      </c>
      <c r="S139" s="5">
        <f>INDEX('Player Data'!$K:$K,AL139)/INDEX('Player Data'!$E:$E,AL139)*M139*L139*AM139</f>
        <v>106.88890986314297</v>
      </c>
      <c r="T139" s="5">
        <f>INDEX('Player Data'!$L:$L,AL139)/INDEX('Player Data'!$E:$E,AL139)*M139*L139*AM139</f>
        <v>89.906559697970749</v>
      </c>
      <c r="U139" s="7">
        <f>INDEX('Player Data'!$M:$M,AL139)</f>
        <v>0.51500000000000001</v>
      </c>
      <c r="V139" s="7">
        <f>INDEX('Player Data'!$N:$N,AL139)</f>
        <v>0.79</v>
      </c>
      <c r="W139" s="5">
        <f t="shared" si="15"/>
        <v>382.81364001887687</v>
      </c>
      <c r="X139" s="5">
        <f>INDEX('Player Data'!$O:$O,AL139)/INDEX('Player Data'!$E:$E,AL139)*M139*L139*AM139</f>
        <v>743.32745634733374</v>
      </c>
      <c r="Y139" s="5">
        <f t="shared" si="16"/>
        <v>207.39645191127892</v>
      </c>
      <c r="Z139" s="5">
        <f>INDEX('Player Data'!$P:$P,AL139)/INDEX('Player Data'!$E:$E,AL139)*M139*L139*AM139</f>
        <v>262.52715431807457</v>
      </c>
      <c r="AB139" s="3">
        <f>(N139-Pool!$D$2)/Pool!$E$2</f>
        <v>-0.39316680526326464</v>
      </c>
      <c r="AC139" s="3">
        <f>(O139-Pool!$D$3)/Pool!$E$3</f>
        <v>-0.26671592113920084</v>
      </c>
      <c r="AD139" s="3">
        <f>(P139-Pool!$D$4)/Pool!$E$4</f>
        <v>-0.48208721494083817</v>
      </c>
      <c r="AE139" s="3">
        <f>(Q139-Pool!$D$5)/Pool!$E$5</f>
        <v>-1.8214025376338523</v>
      </c>
      <c r="AF139" s="3">
        <f>(R139-Pool!$D$6)/Pool!$E$6</f>
        <v>-0.79175992369013892</v>
      </c>
      <c r="AG139" s="3">
        <f>(S139-Pool!$D$7)/Pool!$E$7</f>
        <v>-0.23272380100856205</v>
      </c>
      <c r="AH139" s="3">
        <f>(AS139-Pool!$D$8)/Pool!$E$8</f>
        <v>0.50274775848008746</v>
      </c>
      <c r="AI139" s="3">
        <f>(AT139-Pool!$D$9)/Pool!$E$9</f>
        <v>-0.1192982176481539</v>
      </c>
      <c r="AJ139" s="3">
        <f>-(T139-Pool!$D$10)/Pool!$E$10</f>
        <v>0.91459026744526317</v>
      </c>
      <c r="AL139">
        <f>MATCH(B139,'Player Data'!$A:$A,0)</f>
        <v>97</v>
      </c>
      <c r="AM139" s="3">
        <f>1+IF(Settings!$F$10="ON",IFERROR(VLOOKUP(TRIM(F139),Settings!$D$12:$F$17,3,FALSE),0),0)</f>
        <v>1</v>
      </c>
      <c r="AN139" t="str">
        <f t="shared" si="17"/>
        <v>PF</v>
      </c>
      <c r="AO139" s="6">
        <f>X139*(U139-Pool!$B$12)</f>
        <v>25.565432406337344</v>
      </c>
      <c r="AP139" s="6">
        <f>Z139*(V139-Pool!$B$13)</f>
        <v>-2.6162730576244953E-2</v>
      </c>
      <c r="AQ139" s="3">
        <f>Settings!$B$2*(N139-Pool!$B$2)/Pool!$C$2+Settings!$B$3*(O139-Pool!$B$3)/Pool!$C$3+Settings!$B$4*(P139-Pool!$B$4)/Pool!$C$4+Settings!$B$5*(Q139-Pool!$B$5)/Pool!$C$5+Settings!$B$6*(R139-Pool!$B$6)/Pool!$C$6+Settings!$B$7*(S139-Pool!$B$7)/Pool!$C$7+Settings!$B$8*(AO139-Pool!$B$8)/Pool!$C$8+Settings!$B$9*(AP139-Pool!$B$9)/Pool!$C$9+Settings!$B$10*-(T139-Pool!$B$10)/Pool!$C$10</f>
        <v>-0.38184313837775624</v>
      </c>
      <c r="AR139">
        <f>IF(RANK(AQ139,$AQ$2:$AQ$266)&lt;=Settings!$F$5,1,0)</f>
        <v>1</v>
      </c>
      <c r="AS139" s="6">
        <f>X139*(U139-Pool!$D$12)</f>
        <v>22.988447345691437</v>
      </c>
      <c r="AT139" s="6">
        <f>Z139*(V139-Pool!$D$13)</f>
        <v>-2.6616133803840789</v>
      </c>
    </row>
    <row r="140" spans="1:46" x14ac:dyDescent="0.2">
      <c r="A140">
        <f t="shared" si="12"/>
        <v>139</v>
      </c>
      <c r="B140" t="s">
        <v>181</v>
      </c>
      <c r="C140" t="str">
        <f>INDEX('Player Data'!$C:$C,AL140)</f>
        <v>PG,SG</v>
      </c>
      <c r="D140">
        <f t="shared" si="13"/>
        <v>51</v>
      </c>
      <c r="E140" t="str">
        <f>INDEX('Player Data'!$B:$B,AL140)</f>
        <v>MIL</v>
      </c>
      <c r="F140" s="2"/>
      <c r="G140" s="3">
        <f>Settings!$B$2*AB140+Settings!$B$3*AC140+Settings!$B$4*AD140+Settings!$B$5*AE140+Settings!$B$6*AF140+Settings!$B$7*AG140+Settings!$B$8*AH140+Settings!$B$9*AI140+Settings!$B$10*AJ140</f>
        <v>-2.720444978854589</v>
      </c>
      <c r="H140" s="3">
        <f>G140-LARGE($G$2:$G$266,Settings!$F$4)</f>
        <v>0.49581978759257606</v>
      </c>
      <c r="I140">
        <f>IF(INDEX('Player Data'!$R:$R,AL140)="","",INDEX('Player Data'!$R:$R,AL140))</f>
        <v>161</v>
      </c>
      <c r="J140" s="4">
        <f t="shared" si="14"/>
        <v>22</v>
      </c>
      <c r="L140" s="5">
        <f>IF(Settings!$F$7="Yes",INDEX('Minutes &amp; Health'!$O:$O,AL140),Settings!$F$8)</f>
        <v>72</v>
      </c>
      <c r="M140" s="6">
        <f>INDEX('Minutes &amp; Health'!$P:$P,AL140)</f>
        <v>22.5</v>
      </c>
      <c r="N140" s="5">
        <f>INDEX('Player Data'!$F:$F,AL140)/INDEX('Player Data'!$E:$E,AL140)*M140*L140*AM140</f>
        <v>810.50092764378462</v>
      </c>
      <c r="O140" s="5">
        <f>INDEX('Player Data'!$G:$G,AL140)/INDEX('Player Data'!$E:$E,AL140)*M140*L140*AM140</f>
        <v>251.46567717996291</v>
      </c>
      <c r="P140" s="5">
        <f>INDEX('Player Data'!$H:$H,AL140)/INDEX('Player Data'!$E:$E,AL140)*M140*L140*AM140</f>
        <v>327.60667903525047</v>
      </c>
      <c r="Q140" s="5">
        <f>INDEX('Player Data'!$I:$I,AL140)/INDEX('Player Data'!$E:$E,AL140)*M140*L140*AM140</f>
        <v>94.174397031539897</v>
      </c>
      <c r="R140" s="5">
        <f>INDEX('Player Data'!$J:$J,AL140)/INDEX('Player Data'!$E:$E,AL140)*M140*L140*AM140</f>
        <v>21.038961038961041</v>
      </c>
      <c r="S140" s="5">
        <f>INDEX('Player Data'!$K:$K,AL140)/INDEX('Player Data'!$E:$E,AL140)*M140*L140*AM140</f>
        <v>59.109461966604819</v>
      </c>
      <c r="T140" s="5">
        <f>INDEX('Player Data'!$L:$L,AL140)/INDEX('Player Data'!$E:$E,AL140)*M140*L140*AM140</f>
        <v>140.25974025974025</v>
      </c>
      <c r="U140" s="7">
        <f>INDEX('Player Data'!$M:$M,AL140)</f>
        <v>0.45100000000000001</v>
      </c>
      <c r="V140" s="7">
        <f>INDEX('Player Data'!$N:$N,AL140)</f>
        <v>0.84099999999999997</v>
      </c>
      <c r="W140" s="5">
        <f t="shared" si="15"/>
        <v>295.63677551020407</v>
      </c>
      <c r="X140" s="5">
        <f>INDEX('Player Data'!$O:$O,AL140)/INDEX('Player Data'!$E:$E,AL140)*M140*L140*AM140</f>
        <v>655.51391465677182</v>
      </c>
      <c r="Y140" s="5">
        <f t="shared" si="16"/>
        <v>160.08645640074212</v>
      </c>
      <c r="Z140" s="5">
        <f>INDEX('Player Data'!$P:$P,AL140)/INDEX('Player Data'!$E:$E,AL140)*M140*L140*AM140</f>
        <v>190.35250463821893</v>
      </c>
      <c r="AB140" s="3">
        <f>(N140-Pool!$D$2)/Pool!$E$2</f>
        <v>-1.0571700304691745</v>
      </c>
      <c r="AC140" s="3">
        <f>(O140-Pool!$D$3)/Pool!$E$3</f>
        <v>-1.0358127163375024</v>
      </c>
      <c r="AD140" s="3">
        <f>(P140-Pool!$D$4)/Pool!$E$4</f>
        <v>0.32155618318482654</v>
      </c>
      <c r="AE140" s="3">
        <f>(Q140-Pool!$D$5)/Pool!$E$5</f>
        <v>0.88084766691181704</v>
      </c>
      <c r="AF140" s="3">
        <f>(R140-Pool!$D$6)/Pool!$E$6</f>
        <v>-0.84782273346313664</v>
      </c>
      <c r="AG140" s="3">
        <f>(S140-Pool!$D$7)/Pool!$E$7</f>
        <v>-0.90566444511079836</v>
      </c>
      <c r="AH140" s="3">
        <f>(AS140-Pool!$D$8)/Pool!$E$8</f>
        <v>-0.47413694566524955</v>
      </c>
      <c r="AI140" s="3">
        <f>(AT140-Pool!$D$9)/Pool!$E$9</f>
        <v>0.34862828597238055</v>
      </c>
      <c r="AJ140" s="3">
        <f>-(T140-Pool!$D$10)/Pool!$E$10</f>
        <v>4.9129756122248222E-2</v>
      </c>
      <c r="AL140">
        <f>MATCH(B140,'Player Data'!$A:$A,0)</f>
        <v>157</v>
      </c>
      <c r="AM140" s="3">
        <f>1+IF(Settings!$F$10="ON",IFERROR(VLOOKUP(TRIM(F140),Settings!$D$12:$F$17,3,FALSE),0),0)</f>
        <v>1</v>
      </c>
      <c r="AN140" t="str">
        <f t="shared" si="17"/>
        <v>PG</v>
      </c>
      <c r="AO140" s="6">
        <f>X140*(U140-Pool!$B$12)</f>
        <v>-19.407649495920506</v>
      </c>
      <c r="AP140" s="6">
        <f>Z140*(V140-Pool!$B$13)</f>
        <v>9.6890077320698094</v>
      </c>
      <c r="AQ140" s="3">
        <f>Settings!$B$2*(N140-Pool!$B$2)/Pool!$C$2+Settings!$B$3*(O140-Pool!$B$3)/Pool!$C$3+Settings!$B$4*(P140-Pool!$B$4)/Pool!$C$4+Settings!$B$5*(Q140-Pool!$B$5)/Pool!$C$5+Settings!$B$6*(R140-Pool!$B$6)/Pool!$C$6+Settings!$B$7*(S140-Pool!$B$7)/Pool!$C$7+Settings!$B$8*(AO140-Pool!$B$8)/Pool!$C$8+Settings!$B$9*(AP140-Pool!$B$9)/Pool!$C$9+Settings!$B$10*-(T140-Pool!$B$10)/Pool!$C$10</f>
        <v>-0.74952349561540155</v>
      </c>
      <c r="AR140">
        <f>IF(RANK(AQ140,$AQ$2:$AQ$266)&lt;=Settings!$F$5,1,0)</f>
        <v>1</v>
      </c>
      <c r="AS140" s="6">
        <f>X140*(U140-Pool!$D$12)</f>
        <v>-21.680200510539134</v>
      </c>
      <c r="AT140" s="6">
        <f>Z140*(V140-Pool!$D$13)</f>
        <v>7.7781020455916314</v>
      </c>
    </row>
    <row r="141" spans="1:46" x14ac:dyDescent="0.2">
      <c r="A141">
        <f t="shared" si="12"/>
        <v>140</v>
      </c>
      <c r="B141" t="s">
        <v>182</v>
      </c>
      <c r="C141" t="str">
        <f>INDEX('Player Data'!$C:$C,AL141)</f>
        <v>PF,SF,SG</v>
      </c>
      <c r="D141">
        <f t="shared" si="13"/>
        <v>37</v>
      </c>
      <c r="E141" t="str">
        <f>INDEX('Player Data'!$B:$B,AL141)</f>
        <v>WAS</v>
      </c>
      <c r="F141" s="2"/>
      <c r="G141" s="3">
        <f>Settings!$B$2*AB141+Settings!$B$3*AC141+Settings!$B$4*AD141+Settings!$B$5*AE141+Settings!$B$6*AF141+Settings!$B$7*AG141+Settings!$B$8*AH141+Settings!$B$9*AI141+Settings!$B$10*AJ141</f>
        <v>-2.7312057095073672</v>
      </c>
      <c r="H141" s="3">
        <f>G141-LARGE($G$2:$G$266,Settings!$F$4)</f>
        <v>0.48505905693979789</v>
      </c>
      <c r="I141">
        <f>IF(INDEX('Player Data'!$R:$R,AL141)="","",INDEX('Player Data'!$R:$R,AL141))</f>
        <v>143</v>
      </c>
      <c r="J141" s="4">
        <f t="shared" si="14"/>
        <v>3</v>
      </c>
      <c r="L141" s="5">
        <f>IF(Settings!$F$7="Yes",INDEX('Minutes &amp; Health'!$O:$O,AL141),Settings!$F$8)</f>
        <v>72</v>
      </c>
      <c r="M141" s="6">
        <f>INDEX('Minutes &amp; Health'!$P:$P,AL141)</f>
        <v>28.5</v>
      </c>
      <c r="N141" s="5">
        <f>INDEX('Player Data'!$F:$F,AL141)/INDEX('Player Data'!$E:$E,AL141)*M141*L141*AM141</f>
        <v>871.57525572333168</v>
      </c>
      <c r="O141" s="5">
        <f>INDEX('Player Data'!$G:$G,AL141)/INDEX('Player Data'!$E:$E,AL141)*M141*L141*AM141</f>
        <v>334.83682415976614</v>
      </c>
      <c r="P141" s="5">
        <f>INDEX('Player Data'!$H:$H,AL141)/INDEX('Player Data'!$E:$E,AL141)*M141*L141*AM141</f>
        <v>257.87433024841692</v>
      </c>
      <c r="Q141" s="5">
        <f>INDEX('Player Data'!$I:$I,AL141)/INDEX('Player Data'!$E:$E,AL141)*M141*L141*AM141</f>
        <v>68.966390647832441</v>
      </c>
      <c r="R141" s="5">
        <f>INDEX('Player Data'!$J:$J,AL141)/INDEX('Player Data'!$E:$E,AL141)*M141*L141*AM141</f>
        <v>58.971261568436439</v>
      </c>
      <c r="S141" s="5">
        <f>INDEX('Player Data'!$K:$K,AL141)/INDEX('Player Data'!$E:$E,AL141)*M141*L141*AM141</f>
        <v>126.93813930832928</v>
      </c>
      <c r="T141" s="5">
        <f>INDEX('Player Data'!$L:$L,AL141)/INDEX('Player Data'!$E:$E,AL141)*M141*L141*AM141</f>
        <v>152.92547491475889</v>
      </c>
      <c r="U141" s="7">
        <f>INDEX('Player Data'!$M:$M,AL141)</f>
        <v>0.42499999999999999</v>
      </c>
      <c r="V141" s="7">
        <f>INDEX('Player Data'!$N:$N,AL141)</f>
        <v>0.78800000000000003</v>
      </c>
      <c r="W141" s="5">
        <f t="shared" si="15"/>
        <v>306.74301509985384</v>
      </c>
      <c r="X141" s="5">
        <f>INDEX('Player Data'!$O:$O,AL141)/INDEX('Player Data'!$E:$E,AL141)*M141*L141*AM141</f>
        <v>721.74827082318552</v>
      </c>
      <c r="Y141" s="5">
        <f t="shared" si="16"/>
        <v>131.13809254749148</v>
      </c>
      <c r="Z141" s="5">
        <f>INDEX('Player Data'!$P:$P,AL141)/INDEX('Player Data'!$E:$E,AL141)*M141*L141*AM141</f>
        <v>166.41889917194351</v>
      </c>
      <c r="AB141" s="3">
        <f>(N141-Pool!$D$2)/Pool!$E$2</f>
        <v>-0.90662418437858261</v>
      </c>
      <c r="AC141" s="3">
        <f>(O141-Pool!$D$3)/Pool!$E$3</f>
        <v>-0.55055014889529819</v>
      </c>
      <c r="AD141" s="3">
        <f>(P141-Pool!$D$4)/Pool!$E$4</f>
        <v>-0.15006653808090956</v>
      </c>
      <c r="AE141" s="3">
        <f>(Q141-Pool!$D$5)/Pool!$E$5</f>
        <v>-0.23203966149936209</v>
      </c>
      <c r="AF141" s="3">
        <f>(R141-Pool!$D$6)/Pool!$E$6</f>
        <v>0.24996557432593849</v>
      </c>
      <c r="AG141" s="3">
        <f>(S141-Pool!$D$7)/Pool!$E$7</f>
        <v>4.9655798810437884E-2</v>
      </c>
      <c r="AH141" s="3">
        <f>(AS141-Pool!$D$8)/Pool!$E$8</f>
        <v>-0.93243731003763963</v>
      </c>
      <c r="AI141" s="3">
        <f>(AT141-Pool!$D$9)/Pool!$E$9</f>
        <v>-9.0542852978775637E-2</v>
      </c>
      <c r="AJ141" s="3">
        <f>-(T141-Pool!$D$10)/Pool!$E$10</f>
        <v>-0.16856638677317579</v>
      </c>
      <c r="AL141">
        <f>MATCH(B141,'Player Data'!$A:$A,0)</f>
        <v>135</v>
      </c>
      <c r="AM141" s="3">
        <f>1+IF(Settings!$F$10="ON",IFERROR(VLOOKUP(TRIM(F141),Settings!$D$12:$F$17,3,FALSE),0),0)</f>
        <v>1</v>
      </c>
      <c r="AN141" t="str">
        <f t="shared" si="17"/>
        <v>PF</v>
      </c>
      <c r="AO141" s="6">
        <f>X141*(U141-Pool!$B$12)</f>
        <v>-40.134089865512429</v>
      </c>
      <c r="AP141" s="6">
        <f>Z141*(V141-Pool!$B$13)</f>
        <v>-0.34942264585476845</v>
      </c>
      <c r="AQ141" s="3">
        <f>Settings!$B$2*(N141-Pool!$B$2)/Pool!$C$2+Settings!$B$3*(O141-Pool!$B$3)/Pool!$C$3+Settings!$B$4*(P141-Pool!$B$4)/Pool!$C$4+Settings!$B$5*(Q141-Pool!$B$5)/Pool!$C$5+Settings!$B$6*(R141-Pool!$B$6)/Pool!$C$6+Settings!$B$7*(S141-Pool!$B$7)/Pool!$C$7+Settings!$B$8*(AO141-Pool!$B$8)/Pool!$C$8+Settings!$B$9*(AP141-Pool!$B$9)/Pool!$C$9+Settings!$B$10*-(T141-Pool!$B$10)/Pool!$C$10</f>
        <v>-0.67483843283336331</v>
      </c>
      <c r="AR141">
        <f>IF(RANK(AQ141,$AQ$2:$AQ$266)&lt;=Settings!$F$5,1,0)</f>
        <v>1</v>
      </c>
      <c r="AS141" s="6">
        <f>X141*(U141-Pool!$D$12)</f>
        <v>-42.636263699636586</v>
      </c>
      <c r="AT141" s="6">
        <f>Z141*(V141-Pool!$D$13)</f>
        <v>-2.0200642871061505</v>
      </c>
    </row>
    <row r="142" spans="1:46" x14ac:dyDescent="0.2">
      <c r="A142">
        <f t="shared" si="12"/>
        <v>141</v>
      </c>
      <c r="B142" t="s">
        <v>183</v>
      </c>
      <c r="C142" t="str">
        <f>INDEX('Player Data'!$C:$C,AL142)</f>
        <v>PG,SG</v>
      </c>
      <c r="D142">
        <f t="shared" si="13"/>
        <v>52</v>
      </c>
      <c r="E142" t="str">
        <f>INDEX('Player Data'!$B:$B,AL142)</f>
        <v>SAS</v>
      </c>
      <c r="F142" s="2"/>
      <c r="G142" s="3">
        <f>Settings!$B$2*AB142+Settings!$B$3*AC142+Settings!$B$4*AD142+Settings!$B$5*AE142+Settings!$B$6*AF142+Settings!$B$7*AG142+Settings!$B$8*AH142+Settings!$B$9*AI142+Settings!$B$10*AJ142</f>
        <v>-2.7595296263897033</v>
      </c>
      <c r="H142" s="3">
        <f>G142-LARGE($G$2:$G$266,Settings!$F$4)</f>
        <v>0.45673514005746174</v>
      </c>
      <c r="I142">
        <f>IF(INDEX('Player Data'!$R:$R,AL142)="","",INDEX('Player Data'!$R:$R,AL142))</f>
        <v>56</v>
      </c>
      <c r="J142" s="4">
        <f t="shared" si="14"/>
        <v>-85</v>
      </c>
      <c r="L142" s="5">
        <f>IF(Settings!$F$7="Yes",INDEX('Minutes &amp; Health'!$O:$O,AL142),Settings!$F$8)</f>
        <v>75</v>
      </c>
      <c r="M142" s="6">
        <f>INDEX('Minutes &amp; Health'!$P:$P,AL142)</f>
        <v>31.7</v>
      </c>
      <c r="N142" s="5">
        <f>INDEX('Player Data'!$F:$F,AL142)/INDEX('Player Data'!$E:$E,AL142)*M142*L142*AM142</f>
        <v>1292.8156565656566</v>
      </c>
      <c r="O142" s="5">
        <f>INDEX('Player Data'!$G:$G,AL142)/INDEX('Player Data'!$E:$E,AL142)*M142*L142*AM142</f>
        <v>381.24053030303031</v>
      </c>
      <c r="P142" s="5">
        <f>INDEX('Player Data'!$H:$H,AL142)/INDEX('Player Data'!$E:$E,AL142)*M142*L142*AM142</f>
        <v>501.31628787878788</v>
      </c>
      <c r="Q142" s="5">
        <f>INDEX('Player Data'!$I:$I,AL142)/INDEX('Player Data'!$E:$E,AL142)*M142*L142*AM142</f>
        <v>82.051767676767682</v>
      </c>
      <c r="R142" s="5">
        <f>INDEX('Player Data'!$J:$J,AL142)/INDEX('Player Data'!$E:$E,AL142)*M142*L142*AM142</f>
        <v>22.013888888888889</v>
      </c>
      <c r="S142" s="5">
        <f>INDEX('Player Data'!$K:$K,AL142)/INDEX('Player Data'!$E:$E,AL142)*M142*L142*AM142</f>
        <v>94.059343434343447</v>
      </c>
      <c r="T142" s="5">
        <f>INDEX('Player Data'!$L:$L,AL142)/INDEX('Player Data'!$E:$E,AL142)*M142*L142*AM142</f>
        <v>228.14393939393938</v>
      </c>
      <c r="U142" s="7">
        <f>INDEX('Player Data'!$M:$M,AL142)</f>
        <v>0.45700000000000002</v>
      </c>
      <c r="V142" s="7">
        <f>INDEX('Player Data'!$N:$N,AL142)</f>
        <v>0.73699999999999999</v>
      </c>
      <c r="W142" s="5">
        <f t="shared" si="15"/>
        <v>445.58192424242424</v>
      </c>
      <c r="X142" s="5">
        <f>INDEX('Player Data'!$O:$O,AL142)/INDEX('Player Data'!$E:$E,AL142)*M142*L142*AM142</f>
        <v>975.0151515151515</v>
      </c>
      <c r="Y142" s="5">
        <f t="shared" si="16"/>
        <v>307.59676736111112</v>
      </c>
      <c r="Z142" s="5">
        <f>INDEX('Player Data'!$P:$P,AL142)/INDEX('Player Data'!$E:$E,AL142)*M142*L142*AM142</f>
        <v>417.36332070707073</v>
      </c>
      <c r="AB142" s="3">
        <f>(N142-Pool!$D$2)/Pool!$E$2</f>
        <v>0.13171703928172387</v>
      </c>
      <c r="AC142" s="3">
        <f>(O142-Pool!$D$3)/Pool!$E$3</f>
        <v>-0.28045692842696318</v>
      </c>
      <c r="AD142" s="3">
        <f>(P142-Pool!$D$4)/Pool!$E$4</f>
        <v>1.4964111803000877</v>
      </c>
      <c r="AE142" s="3">
        <f>(Q142-Pool!$D$5)/Pool!$E$5</f>
        <v>0.34565577626428756</v>
      </c>
      <c r="AF142" s="3">
        <f>(R142-Pool!$D$6)/Pool!$E$6</f>
        <v>-0.81960761390409276</v>
      </c>
      <c r="AG142" s="3">
        <f>(S142-Pool!$D$7)/Pool!$E$7</f>
        <v>-0.41341941546697697</v>
      </c>
      <c r="AH142" s="3">
        <f>(AS142-Pool!$D$8)/Pool!$E$8</f>
        <v>-0.57729495988781465</v>
      </c>
      <c r="AI142" s="3">
        <f>(AT142-Pool!$D$9)/Pool!$E$9</f>
        <v>-1.1811282230140363</v>
      </c>
      <c r="AJ142" s="3">
        <f>-(T142-Pool!$D$10)/Pool!$E$10</f>
        <v>-1.4614064815359185</v>
      </c>
      <c r="AL142">
        <f>MATCH(B142,'Player Data'!$A:$A,0)</f>
        <v>76</v>
      </c>
      <c r="AM142" s="3">
        <f>1+IF(Settings!$F$10="ON",IFERROR(VLOOKUP(TRIM(F142),Settings!$D$12:$F$17,3,FALSE),0),0)</f>
        <v>1</v>
      </c>
      <c r="AN142" t="str">
        <f t="shared" si="17"/>
        <v>PG</v>
      </c>
      <c r="AO142" s="6">
        <f>X142*(U142-Pool!$B$12)</f>
        <v>-23.016958120258632</v>
      </c>
      <c r="AP142" s="6">
        <f>Z142*(V142-Pool!$B$13)</f>
        <v>-22.161849272427332</v>
      </c>
      <c r="AQ142" s="3">
        <f>Settings!$B$2*(N142-Pool!$B$2)/Pool!$C$2+Settings!$B$3*(O142-Pool!$B$3)/Pool!$C$3+Settings!$B$4*(P142-Pool!$B$4)/Pool!$C$4+Settings!$B$5*(Q142-Pool!$B$5)/Pool!$C$5+Settings!$B$6*(R142-Pool!$B$6)/Pool!$C$6+Settings!$B$7*(S142-Pool!$B$7)/Pool!$C$7+Settings!$B$8*(AO142-Pool!$B$8)/Pool!$C$8+Settings!$B$9*(AP142-Pool!$B$9)/Pool!$C$9+Settings!$B$10*-(T142-Pool!$B$10)/Pool!$C$10</f>
        <v>-0.93351892836513906</v>
      </c>
      <c r="AR142">
        <f>IF(RANK(AQ142,$AQ$2:$AQ$266)&lt;=Settings!$F$5,1,0)</f>
        <v>1</v>
      </c>
      <c r="AS142" s="6">
        <f>X142*(U142-Pool!$D$12)</f>
        <v>-26.397163516820616</v>
      </c>
      <c r="AT142" s="6">
        <f>Z142*(V142-Pool!$D$13)</f>
        <v>-26.351665132125913</v>
      </c>
    </row>
    <row r="143" spans="1:46" x14ac:dyDescent="0.2">
      <c r="A143">
        <f t="shared" si="12"/>
        <v>142</v>
      </c>
      <c r="B143" t="s">
        <v>184</v>
      </c>
      <c r="C143" t="str">
        <f>INDEX('Player Data'!$C:$C,AL143)</f>
        <v>C</v>
      </c>
      <c r="D143">
        <f t="shared" si="13"/>
        <v>32</v>
      </c>
      <c r="E143" t="str">
        <f>INDEX('Player Data'!$B:$B,AL143)</f>
        <v>ORL</v>
      </c>
      <c r="F143" s="2"/>
      <c r="G143" s="3">
        <f>Settings!$B$2*AB143+Settings!$B$3*AC143+Settings!$B$4*AD143+Settings!$B$5*AE143+Settings!$B$6*AF143+Settings!$B$7*AG143+Settings!$B$8*AH143+Settings!$B$9*AI143+Settings!$B$10*AJ143</f>
        <v>-2.7846747009867863</v>
      </c>
      <c r="H143" s="3">
        <f>G143-LARGE($G$2:$G$266,Settings!$F$4)</f>
        <v>0.43159006546037881</v>
      </c>
      <c r="I143">
        <f>IF(INDEX('Player Data'!$R:$R,AL143)="","",INDEX('Player Data'!$R:$R,AL143))</f>
        <v>135</v>
      </c>
      <c r="J143" s="4">
        <f t="shared" si="14"/>
        <v>-7</v>
      </c>
      <c r="L143" s="5">
        <f>IF(Settings!$F$7="Yes",INDEX('Minutes &amp; Health'!$O:$O,AL143),Settings!$F$8)</f>
        <v>75</v>
      </c>
      <c r="M143" s="6">
        <f>INDEX('Minutes &amp; Health'!$P:$P,AL143)</f>
        <v>26.9</v>
      </c>
      <c r="N143" s="5">
        <f>INDEX('Player Data'!$F:$F,AL143)/INDEX('Player Data'!$E:$E,AL143)*M143*L143*AM143</f>
        <v>764.6734289955466</v>
      </c>
      <c r="O143" s="5">
        <f>INDEX('Player Data'!$G:$G,AL143)/INDEX('Player Data'!$E:$E,AL143)*M143*L143*AM143</f>
        <v>525.0890648193963</v>
      </c>
      <c r="P143" s="5">
        <f>INDEX('Player Data'!$H:$H,AL143)/INDEX('Player Data'!$E:$E,AL143)*M143*L143*AM143</f>
        <v>141.75408213755566</v>
      </c>
      <c r="Q143" s="5">
        <f>INDEX('Player Data'!$I:$I,AL143)/INDEX('Player Data'!$E:$E,AL143)*M143*L143*AM143</f>
        <v>53.906481939633842</v>
      </c>
      <c r="R143" s="5">
        <f>INDEX('Player Data'!$J:$J,AL143)/INDEX('Player Data'!$E:$E,AL143)*M143*L143*AM143</f>
        <v>42.925531914893618</v>
      </c>
      <c r="S143" s="5">
        <f>INDEX('Player Data'!$K:$K,AL143)/INDEX('Player Data'!$E:$E,AL143)*M143*L143*AM143</f>
        <v>56.901286491835712</v>
      </c>
      <c r="T143" s="5">
        <f>INDEX('Player Data'!$L:$L,AL143)/INDEX('Player Data'!$E:$E,AL143)*M143*L143*AM143</f>
        <v>85.851063829787236</v>
      </c>
      <c r="U143" s="7">
        <f>INDEX('Player Data'!$M:$M,AL143)</f>
        <v>0.5</v>
      </c>
      <c r="V143" s="7">
        <f>INDEX('Player Data'!$N:$N,AL143)</f>
        <v>0.76100000000000001</v>
      </c>
      <c r="W143" s="5">
        <f t="shared" si="15"/>
        <v>275.0228847105393</v>
      </c>
      <c r="X143" s="5">
        <f>INDEX('Player Data'!$O:$O,AL143)/INDEX('Player Data'!$E:$E,AL143)*M143*L143*AM143</f>
        <v>550.0457694210786</v>
      </c>
      <c r="Y143" s="5">
        <f t="shared" si="16"/>
        <v>157.78596969322115</v>
      </c>
      <c r="Z143" s="5">
        <f>INDEX('Player Data'!$P:$P,AL143)/INDEX('Player Data'!$E:$E,AL143)*M143*L143*AM143</f>
        <v>207.34030183077681</v>
      </c>
      <c r="AB143" s="3">
        <f>(N143-Pool!$D$2)/Pool!$E$2</f>
        <v>-1.1701330343229146</v>
      </c>
      <c r="AC143" s="3">
        <f>(O143-Pool!$D$3)/Pool!$E$3</f>
        <v>0.55681485816751042</v>
      </c>
      <c r="AD143" s="3">
        <f>(P143-Pool!$D$4)/Pool!$E$4</f>
        <v>-0.93542582054978352</v>
      </c>
      <c r="AE143" s="3">
        <f>(Q143-Pool!$D$5)/Pool!$E$5</f>
        <v>-0.89690705772533941</v>
      </c>
      <c r="AF143" s="3">
        <f>(R143-Pool!$D$6)/Pool!$E$6</f>
        <v>-0.21440948750075239</v>
      </c>
      <c r="AG143" s="3">
        <f>(S143-Pool!$D$7)/Pool!$E$7</f>
        <v>-0.93676507711265034</v>
      </c>
      <c r="AH143" s="3">
        <f>(AS143-Pool!$D$8)/Pool!$E$8</f>
        <v>0.19158307433073438</v>
      </c>
      <c r="AI143" s="3">
        <f>(AT143-Pool!$D$9)/Pool!$E$9</f>
        <v>-0.36372748482101874</v>
      </c>
      <c r="AJ143" s="3">
        <f>-(T143-Pool!$D$10)/Pool!$E$10</f>
        <v>0.98429532854742785</v>
      </c>
      <c r="AL143">
        <f>MATCH(B143,'Player Data'!$A:$A,0)</f>
        <v>172</v>
      </c>
      <c r="AM143" s="3">
        <f>1+IF(Settings!$F$10="ON",IFERROR(VLOOKUP(TRIM(F143),Settings!$D$12:$F$17,3,FALSE),0),0)</f>
        <v>1</v>
      </c>
      <c r="AN143" t="str">
        <f t="shared" si="17"/>
        <v>C</v>
      </c>
      <c r="AO143" s="6">
        <f>X143*(U143-Pool!$B$12)</f>
        <v>10.667164290707424</v>
      </c>
      <c r="AP143" s="6">
        <f>Z143*(V143-Pool!$B$13)</f>
        <v>-6.0335317144859415</v>
      </c>
      <c r="AQ143" s="3">
        <f>Settings!$B$2*(N143-Pool!$B$2)/Pool!$C$2+Settings!$B$3*(O143-Pool!$B$3)/Pool!$C$3+Settings!$B$4*(P143-Pool!$B$4)/Pool!$C$4+Settings!$B$5*(Q143-Pool!$B$5)/Pool!$C$5+Settings!$B$6*(R143-Pool!$B$6)/Pool!$C$6+Settings!$B$7*(S143-Pool!$B$7)/Pool!$C$7+Settings!$B$8*(AO143-Pool!$B$8)/Pool!$C$8+Settings!$B$9*(AP143-Pool!$B$9)/Pool!$C$9+Settings!$B$10*-(T143-Pool!$B$10)/Pool!$C$10</f>
        <v>-0.59354270928702113</v>
      </c>
      <c r="AR143">
        <f>IF(RANK(AQ143,$AQ$2:$AQ$266)&lt;=Settings!$F$5,1,0)</f>
        <v>1</v>
      </c>
      <c r="AS143" s="6">
        <f>X143*(U143-Pool!$D$12)</f>
        <v>8.7602527157806573</v>
      </c>
      <c r="AT143" s="6">
        <f>Z143*(V143-Pool!$D$13)</f>
        <v>-8.1149740498918224</v>
      </c>
    </row>
    <row r="144" spans="1:46" x14ac:dyDescent="0.2">
      <c r="A144">
        <f t="shared" si="12"/>
        <v>143</v>
      </c>
      <c r="B144" t="s">
        <v>185</v>
      </c>
      <c r="C144" t="str">
        <f>INDEX('Player Data'!$C:$C,AL144)</f>
        <v>PF,SF</v>
      </c>
      <c r="D144">
        <f t="shared" si="13"/>
        <v>38</v>
      </c>
      <c r="E144" t="str">
        <f>INDEX('Player Data'!$B:$B,AL144)</f>
        <v>GSW</v>
      </c>
      <c r="F144" s="2"/>
      <c r="G144" s="3">
        <f>Settings!$B$2*AB144+Settings!$B$3*AC144+Settings!$B$4*AD144+Settings!$B$5*AE144+Settings!$B$6*AF144+Settings!$B$7*AG144+Settings!$B$8*AH144+Settings!$B$9*AI144+Settings!$B$10*AJ144</f>
        <v>-2.844610411150422</v>
      </c>
      <c r="H144" s="3">
        <f>G144-LARGE($G$2:$G$266,Settings!$F$4)</f>
        <v>0.37165435529674307</v>
      </c>
      <c r="I144">
        <f>IF(INDEX('Player Data'!$R:$R,AL144)="","",INDEX('Player Data'!$R:$R,AL144))</f>
        <v>157</v>
      </c>
      <c r="J144" s="4">
        <f t="shared" si="14"/>
        <v>14</v>
      </c>
      <c r="L144" s="5">
        <f>IF(Settings!$F$7="Yes",INDEX('Minutes &amp; Health'!$O:$O,AL144),Settings!$F$8)</f>
        <v>75</v>
      </c>
      <c r="M144" s="6">
        <f>INDEX('Minutes &amp; Health'!$P:$P,AL144)</f>
        <v>25</v>
      </c>
      <c r="N144" s="5">
        <f>INDEX('Player Data'!$F:$F,AL144)/INDEX('Player Data'!$E:$E,AL144)*M144*L144*AM144</f>
        <v>790.84356647090226</v>
      </c>
      <c r="O144" s="5">
        <f>INDEX('Player Data'!$G:$G,AL144)/INDEX('Player Data'!$E:$E,AL144)*M144*L144*AM144</f>
        <v>394.42071542979181</v>
      </c>
      <c r="P144" s="5">
        <f>INDEX('Player Data'!$H:$H,AL144)/INDEX('Player Data'!$E:$E,AL144)*M144*L144*AM144</f>
        <v>138.14735718099305</v>
      </c>
      <c r="Q144" s="5">
        <f>INDEX('Player Data'!$I:$I,AL144)/INDEX('Player Data'!$E:$E,AL144)*M144*L144*AM144</f>
        <v>65.069407367859043</v>
      </c>
      <c r="R144" s="5">
        <f>INDEX('Player Data'!$J:$J,AL144)/INDEX('Player Data'!$E:$E,AL144)*M144*L144*AM144</f>
        <v>61.065136145221565</v>
      </c>
      <c r="S144" s="5">
        <f>INDEX('Player Data'!$K:$K,AL144)/INDEX('Player Data'!$E:$E,AL144)*M144*L144*AM144</f>
        <v>47.050186865990391</v>
      </c>
      <c r="T144" s="5">
        <f>INDEX('Player Data'!$L:$L,AL144)/INDEX('Player Data'!$E:$E,AL144)*M144*L144*AM144</f>
        <v>96.102509343299502</v>
      </c>
      <c r="U144" s="7">
        <f>INDEX('Player Data'!$M:$M,AL144)</f>
        <v>0.49099999999999999</v>
      </c>
      <c r="V144" s="7">
        <f>INDEX('Player Data'!$N:$N,AL144)</f>
        <v>0.755</v>
      </c>
      <c r="W144" s="5">
        <f t="shared" si="15"/>
        <v>313.78910838227443</v>
      </c>
      <c r="X144" s="5">
        <f>INDEX('Player Data'!$O:$O,AL144)/INDEX('Player Data'!$E:$E,AL144)*M144*L144*AM144</f>
        <v>639.08168713294185</v>
      </c>
      <c r="Y144" s="5">
        <f t="shared" si="16"/>
        <v>116.16741190603311</v>
      </c>
      <c r="Z144" s="5">
        <f>INDEX('Player Data'!$P:$P,AL144)/INDEX('Player Data'!$E:$E,AL144)*M144*L144*AM144</f>
        <v>153.86412172984518</v>
      </c>
      <c r="AB144" s="3">
        <f>(N144-Pool!$D$2)/Pool!$E$2</f>
        <v>-1.105624662107946</v>
      </c>
      <c r="AC144" s="3">
        <f>(O144-Pool!$D$3)/Pool!$E$3</f>
        <v>-0.20374153340516693</v>
      </c>
      <c r="AD144" s="3">
        <f>(P144-Pool!$D$4)/Pool!$E$4</f>
        <v>-0.95981928310288023</v>
      </c>
      <c r="AE144" s="3">
        <f>(Q144-Pool!$D$5)/Pool!$E$5</f>
        <v>-0.40408433830949153</v>
      </c>
      <c r="AF144" s="3">
        <f>(R144-Pool!$D$6)/Pool!$E$6</f>
        <v>0.31056382426823637</v>
      </c>
      <c r="AG144" s="3">
        <f>(S144-Pool!$D$7)/Pool!$E$7</f>
        <v>-1.07551103628921</v>
      </c>
      <c r="AH144" s="3">
        <f>(AS144-Pool!$D$8)/Pool!$E$8</f>
        <v>9.680657940470519E-2</v>
      </c>
      <c r="AI144" s="3">
        <f>(AT144-Pool!$D$9)/Pool!$E$9</f>
        <v>-0.3112954716552459</v>
      </c>
      <c r="AJ144" s="3">
        <f>-(T144-Pool!$D$10)/Pool!$E$10</f>
        <v>0.80809551004657709</v>
      </c>
      <c r="AL144">
        <f>MATCH(B144,'Player Data'!$A:$A,0)</f>
        <v>167</v>
      </c>
      <c r="AM144" s="3">
        <f>1+IF(Settings!$F$10="ON",IFERROR(VLOOKUP(TRIM(F144),Settings!$D$12:$F$17,3,FALSE),0),0)</f>
        <v>1</v>
      </c>
      <c r="AN144" t="str">
        <f t="shared" si="17"/>
        <v>PF</v>
      </c>
      <c r="AO144" s="6">
        <f>X144*(U144-Pool!$B$12)</f>
        <v>6.6421231650907808</v>
      </c>
      <c r="AP144" s="6">
        <f>Z144*(V144-Pool!$B$13)</f>
        <v>-5.4005779336368986</v>
      </c>
      <c r="AQ144" s="3">
        <f>Settings!$B$2*(N144-Pool!$B$2)/Pool!$C$2+Settings!$B$3*(O144-Pool!$B$3)/Pool!$C$3+Settings!$B$4*(P144-Pool!$B$4)/Pool!$C$4+Settings!$B$5*(Q144-Pool!$B$5)/Pool!$C$5+Settings!$B$6*(R144-Pool!$B$6)/Pool!$C$6+Settings!$B$7*(S144-Pool!$B$7)/Pool!$C$7+Settings!$B$8*(AO144-Pool!$B$8)/Pool!$C$8+Settings!$B$9*(AP144-Pool!$B$9)/Pool!$C$9+Settings!$B$10*-(T144-Pool!$B$10)/Pool!$C$10</f>
        <v>-0.70139831156395283</v>
      </c>
      <c r="AR144">
        <f>IF(RANK(AQ144,$AQ$2:$AQ$266)&lt;=Settings!$F$5,1,0)</f>
        <v>1</v>
      </c>
      <c r="AS144" s="6">
        <f>X144*(U144-Pool!$D$12)</f>
        <v>4.4265397822748698</v>
      </c>
      <c r="AT144" s="6">
        <f>Z144*(V144-Pool!$D$13)</f>
        <v>-6.9451850073254819</v>
      </c>
    </row>
    <row r="145" spans="1:46" x14ac:dyDescent="0.2">
      <c r="A145">
        <f t="shared" si="12"/>
        <v>144</v>
      </c>
      <c r="B145" t="s">
        <v>186</v>
      </c>
      <c r="C145" t="str">
        <f>INDEX('Player Data'!$C:$C,AL145)</f>
        <v>C,PF,SF</v>
      </c>
      <c r="D145">
        <f t="shared" si="13"/>
        <v>33</v>
      </c>
      <c r="E145" t="str">
        <f>INDEX('Player Data'!$B:$B,AL145)</f>
        <v>DAL</v>
      </c>
      <c r="F145" s="2"/>
      <c r="G145" s="3">
        <f>Settings!$B$2*AB145+Settings!$B$3*AC145+Settings!$B$4*AD145+Settings!$B$5*AE145+Settings!$B$6*AF145+Settings!$B$7*AG145+Settings!$B$8*AH145+Settings!$B$9*AI145+Settings!$B$10*AJ145</f>
        <v>-2.8476598195006249</v>
      </c>
      <c r="H145" s="3">
        <f>G145-LARGE($G$2:$G$266,Settings!$F$4)</f>
        <v>0.36860494694654022</v>
      </c>
      <c r="I145">
        <f>IF(INDEX('Player Data'!$R:$R,AL145)="","",INDEX('Player Data'!$R:$R,AL145))</f>
        <v>179</v>
      </c>
      <c r="J145" s="4">
        <f t="shared" si="14"/>
        <v>35</v>
      </c>
      <c r="L145" s="5">
        <f>IF(Settings!$F$7="Yes",INDEX('Minutes &amp; Health'!$O:$O,AL145),Settings!$F$8)</f>
        <v>71</v>
      </c>
      <c r="M145" s="6">
        <f>INDEX('Minutes &amp; Health'!$P:$P,AL145)</f>
        <v>30.4</v>
      </c>
      <c r="N145" s="5">
        <f>INDEX('Player Data'!$F:$F,AL145)/INDEX('Player Data'!$E:$E,AL145)*M145*L145*AM145</f>
        <v>956.17720111214078</v>
      </c>
      <c r="O145" s="5">
        <f>INDEX('Player Data'!$G:$G,AL145)/INDEX('Player Data'!$E:$E,AL145)*M145*L145*AM145</f>
        <v>465.08619091751621</v>
      </c>
      <c r="P145" s="5">
        <f>INDEX('Player Data'!$H:$H,AL145)/INDEX('Player Data'!$E:$E,AL145)*M145*L145*AM145</f>
        <v>137.02539388322521</v>
      </c>
      <c r="Q145" s="5">
        <f>INDEX('Player Data'!$I:$I,AL145)/INDEX('Player Data'!$E:$E,AL145)*M145*L145*AM145</f>
        <v>67.012418906394799</v>
      </c>
      <c r="R145" s="5">
        <f>INDEX('Player Data'!$J:$J,AL145)/INDEX('Player Data'!$E:$E,AL145)*M145*L145*AM145</f>
        <v>64.011862835959221</v>
      </c>
      <c r="S145" s="5">
        <f>INDEX('Player Data'!$K:$K,AL145)/INDEX('Player Data'!$E:$E,AL145)*M145*L145*AM145</f>
        <v>96.017794253938831</v>
      </c>
      <c r="T145" s="5">
        <f>INDEX('Player Data'!$L:$L,AL145)/INDEX('Player Data'!$E:$E,AL145)*M145*L145*AM145</f>
        <v>114.02113067655236</v>
      </c>
      <c r="U145" s="7">
        <f>INDEX('Player Data'!$M:$M,AL145)</f>
        <v>0.45</v>
      </c>
      <c r="V145" s="7">
        <f>INDEX('Player Data'!$N:$N,AL145)</f>
        <v>0.70099999999999996</v>
      </c>
      <c r="W145" s="5">
        <f t="shared" si="15"/>
        <v>351.20008526413341</v>
      </c>
      <c r="X145" s="5">
        <f>INDEX('Player Data'!$O:$O,AL145)/INDEX('Player Data'!$E:$E,AL145)*M145*L145*AM145</f>
        <v>780.4446339202965</v>
      </c>
      <c r="Y145" s="5">
        <f t="shared" si="16"/>
        <v>157.75423540315103</v>
      </c>
      <c r="Z145" s="5">
        <f>INDEX('Player Data'!$P:$P,AL145)/INDEX('Player Data'!$E:$E,AL145)*M145*L145*AM145</f>
        <v>225.04170528266911</v>
      </c>
      <c r="AB145" s="3">
        <f>(N145-Pool!$D$2)/Pool!$E$2</f>
        <v>-0.69808367562538698</v>
      </c>
      <c r="AC145" s="3">
        <f>(O145-Pool!$D$3)/Pool!$E$3</f>
        <v>0.20756755021586573</v>
      </c>
      <c r="AD145" s="3">
        <f>(P145-Pool!$D$4)/Pool!$E$4</f>
        <v>-0.9674074884746956</v>
      </c>
      <c r="AE145" s="3">
        <f>(Q145-Pool!$D$5)/Pool!$E$5</f>
        <v>-0.31830393634994847</v>
      </c>
      <c r="AF145" s="3">
        <f>(R145-Pool!$D$6)/Pool!$E$6</f>
        <v>0.39584423337045044</v>
      </c>
      <c r="AG145" s="3">
        <f>(S145-Pool!$D$7)/Pool!$E$7</f>
        <v>-0.38583598338473724</v>
      </c>
      <c r="AH145" s="3">
        <f>(AS145-Pool!$D$8)/Pool!$E$8</f>
        <v>-0.58156804475547186</v>
      </c>
      <c r="AI145" s="3">
        <f>(AT145-Pool!$D$9)/Pool!$E$9</f>
        <v>-0.99998626405877677</v>
      </c>
      <c r="AJ145" s="3">
        <f>-(T145-Pool!$D$10)/Pool!$E$10</f>
        <v>0.50011378956207619</v>
      </c>
      <c r="AL145">
        <f>MATCH(B145,'Player Data'!$A:$A,0)</f>
        <v>116</v>
      </c>
      <c r="AM145" s="3">
        <f>1+IF(Settings!$F$10="ON",IFERROR(VLOOKUP(TRIM(F145),Settings!$D$12:$F$17,3,FALSE),0),0)</f>
        <v>1</v>
      </c>
      <c r="AN145" t="str">
        <f t="shared" si="17"/>
        <v>C</v>
      </c>
      <c r="AO145" s="6">
        <f>X145*(U145-Pool!$B$12)</f>
        <v>-23.886889161536299</v>
      </c>
      <c r="AP145" s="6">
        <f>Z145*(V145-Pool!$B$13)</f>
        <v>-20.051138804492446</v>
      </c>
      <c r="AQ145" s="3">
        <f>Settings!$B$2*(N145-Pool!$B$2)/Pool!$C$2+Settings!$B$3*(O145-Pool!$B$3)/Pool!$C$3+Settings!$B$4*(P145-Pool!$B$4)/Pool!$C$4+Settings!$B$5*(Q145-Pool!$B$5)/Pool!$C$5+Settings!$B$6*(R145-Pool!$B$6)/Pool!$C$6+Settings!$B$7*(S145-Pool!$B$7)/Pool!$C$7+Settings!$B$8*(AO145-Pool!$B$8)/Pool!$C$8+Settings!$B$9*(AP145-Pool!$B$9)/Pool!$C$9+Settings!$B$10*-(T145-Pool!$B$10)/Pool!$C$10</f>
        <v>-0.91948929265386825</v>
      </c>
      <c r="AR145">
        <f>IF(RANK(AQ145,$AQ$2:$AQ$266)&lt;=Settings!$F$5,1,0)</f>
        <v>1</v>
      </c>
      <c r="AS145" s="6">
        <f>X145*(U145-Pool!$D$12)</f>
        <v>-26.592552923987309</v>
      </c>
      <c r="AT145" s="6">
        <f>Z145*(V145-Pool!$D$13)</f>
        <v>-22.310281520458879</v>
      </c>
    </row>
    <row r="146" spans="1:46" x14ac:dyDescent="0.2">
      <c r="A146">
        <f t="shared" si="12"/>
        <v>145</v>
      </c>
      <c r="B146" t="s">
        <v>187</v>
      </c>
      <c r="C146" t="str">
        <f>INDEX('Player Data'!$C:$C,AL146)</f>
        <v>PF,SF,SG</v>
      </c>
      <c r="D146">
        <f t="shared" si="13"/>
        <v>39</v>
      </c>
      <c r="E146" t="str">
        <f>INDEX('Player Data'!$B:$B,AL146)</f>
        <v>SAS</v>
      </c>
      <c r="F146" s="2"/>
      <c r="G146" s="3">
        <f>Settings!$B$2*AB146+Settings!$B$3*AC146+Settings!$B$4*AD146+Settings!$B$5*AE146+Settings!$B$6*AF146+Settings!$B$7*AG146+Settings!$B$8*AH146+Settings!$B$9*AI146+Settings!$B$10*AJ146</f>
        <v>-2.8621909260041885</v>
      </c>
      <c r="H146" s="3">
        <f>G146-LARGE($G$2:$G$266,Settings!$F$4)</f>
        <v>0.35407384044297663</v>
      </c>
      <c r="I146">
        <f>IF(INDEX('Player Data'!$R:$R,AL146)="","",INDEX('Player Data'!$R:$R,AL146))</f>
        <v>165</v>
      </c>
      <c r="J146" s="4">
        <f t="shared" si="14"/>
        <v>20</v>
      </c>
      <c r="L146" s="5">
        <f>IF(Settings!$F$7="Yes",INDEX('Minutes &amp; Health'!$O:$O,AL146),Settings!$F$8)</f>
        <v>80</v>
      </c>
      <c r="M146" s="6">
        <f>INDEX('Minutes &amp; Health'!$P:$P,AL146)</f>
        <v>23.4</v>
      </c>
      <c r="N146" s="5">
        <f>INDEX('Player Data'!$F:$F,AL146)/INDEX('Player Data'!$E:$E,AL146)*M146*L146*AM146</f>
        <v>718.61612386545642</v>
      </c>
      <c r="O146" s="5">
        <f>INDEX('Player Data'!$G:$G,AL146)/INDEX('Player Data'!$E:$E,AL146)*M146*L146*AM146</f>
        <v>358.80832888414307</v>
      </c>
      <c r="P146" s="5">
        <f>INDEX('Player Data'!$H:$H,AL146)/INDEX('Player Data'!$E:$E,AL146)*M146*L146*AM146</f>
        <v>100.94607581420181</v>
      </c>
      <c r="Q146" s="5">
        <f>INDEX('Player Data'!$I:$I,AL146)/INDEX('Player Data'!$E:$E,AL146)*M146*L146*AM146</f>
        <v>50.972770955686066</v>
      </c>
      <c r="R146" s="5">
        <f>INDEX('Player Data'!$J:$J,AL146)/INDEX('Player Data'!$E:$E,AL146)*M146*L146*AM146</f>
        <v>31.982915109450076</v>
      </c>
      <c r="S146" s="5">
        <f>INDEX('Player Data'!$K:$K,AL146)/INDEX('Player Data'!$E:$E,AL146)*M146*L146*AM146</f>
        <v>153.91777896422849</v>
      </c>
      <c r="T146" s="5">
        <f>INDEX('Player Data'!$L:$L,AL146)/INDEX('Player Data'!$E:$E,AL146)*M146*L146*AM146</f>
        <v>54.970635344367324</v>
      </c>
      <c r="U146" s="7">
        <f>INDEX('Player Data'!$M:$M,AL146)</f>
        <v>0.432</v>
      </c>
      <c r="V146" s="7">
        <f>INDEX('Player Data'!$N:$N,AL146)</f>
        <v>0.85499999999999998</v>
      </c>
      <c r="W146" s="5">
        <f t="shared" si="15"/>
        <v>234.53711308061929</v>
      </c>
      <c r="X146" s="5">
        <f>INDEX('Player Data'!$O:$O,AL146)/INDEX('Player Data'!$E:$E,AL146)*M146*L146*AM146</f>
        <v>542.90998398291504</v>
      </c>
      <c r="Y146" s="5">
        <f t="shared" si="16"/>
        <v>95.623419113721297</v>
      </c>
      <c r="Z146" s="5">
        <f>INDEX('Player Data'!$P:$P,AL146)/INDEX('Player Data'!$E:$E,AL146)*M146*L146*AM146</f>
        <v>111.84025627335825</v>
      </c>
      <c r="AB146" s="3">
        <f>(N146-Pool!$D$2)/Pool!$E$2</f>
        <v>-1.2836625022268602</v>
      </c>
      <c r="AC146" s="3">
        <f>(O146-Pool!$D$3)/Pool!$E$3</f>
        <v>-0.41102377377151517</v>
      </c>
      <c r="AD146" s="3">
        <f>(P146-Pool!$D$4)/Pool!$E$4</f>
        <v>-1.2114237372481442</v>
      </c>
      <c r="AE146" s="3">
        <f>(Q146-Pool!$D$5)/Pool!$E$5</f>
        <v>-1.0264250263246473</v>
      </c>
      <c r="AF146" s="3">
        <f>(R146-Pool!$D$6)/Pool!$E$6</f>
        <v>-0.53109675977145687</v>
      </c>
      <c r="AG146" s="3">
        <f>(S146-Pool!$D$7)/Pool!$E$7</f>
        <v>0.42964545727198988</v>
      </c>
      <c r="AH146" s="3">
        <f>(AS146-Pool!$D$8)/Pool!$E$8</f>
        <v>-0.61828096637838814</v>
      </c>
      <c r="AI146" s="3">
        <f>(AT146-Pool!$D$9)/Pool!$E$9</f>
        <v>0.27501435497795806</v>
      </c>
      <c r="AJ146" s="3">
        <f>-(T146-Pool!$D$10)/Pool!$E$10</f>
        <v>1.5150620274668758</v>
      </c>
      <c r="AL146">
        <f>MATCH(B146,'Player Data'!$A:$A,0)</f>
        <v>198</v>
      </c>
      <c r="AM146" s="3">
        <f>1+IF(Settings!$F$10="ON",IFERROR(VLOOKUP(TRIM(F146),Settings!$D$12:$F$17,3,FALSE),0),0)</f>
        <v>1</v>
      </c>
      <c r="AN146" t="str">
        <f t="shared" si="17"/>
        <v>PF</v>
      </c>
      <c r="AO146" s="6">
        <f>X146*(U146-Pool!$B$12)</f>
        <v>-26.389100550618448</v>
      </c>
      <c r="AP146" s="6">
        <f>Z146*(V146-Pool!$B$13)</f>
        <v>7.2584709669537109</v>
      </c>
      <c r="AQ146" s="3">
        <f>Settings!$B$2*(N146-Pool!$B$2)/Pool!$C$2+Settings!$B$3*(O146-Pool!$B$3)/Pool!$C$3+Settings!$B$4*(P146-Pool!$B$4)/Pool!$C$4+Settings!$B$5*(Q146-Pool!$B$5)/Pool!$C$5+Settings!$B$6*(R146-Pool!$B$6)/Pool!$C$6+Settings!$B$7*(S146-Pool!$B$7)/Pool!$C$7+Settings!$B$8*(AO146-Pool!$B$8)/Pool!$C$8+Settings!$B$9*(AP146-Pool!$B$9)/Pool!$C$9+Settings!$B$10*-(T146-Pool!$B$10)/Pool!$C$10</f>
        <v>-0.73717440310688098</v>
      </c>
      <c r="AR146">
        <f>IF(RANK(AQ146,$AQ$2:$AQ$266)&lt;=Settings!$F$5,1,0)</f>
        <v>1</v>
      </c>
      <c r="AS146" s="6">
        <f>X146*(U146-Pool!$D$12)</f>
        <v>-28.271273617216078</v>
      </c>
      <c r="AT146" s="6">
        <f>Z146*(V146-Pool!$D$13)</f>
        <v>6.1357319617794799</v>
      </c>
    </row>
    <row r="147" spans="1:46" x14ac:dyDescent="0.2">
      <c r="A147">
        <f t="shared" si="12"/>
        <v>146</v>
      </c>
      <c r="B147" t="s">
        <v>188</v>
      </c>
      <c r="C147" t="str">
        <f>INDEX('Player Data'!$C:$C,AL147)</f>
        <v>C,PF</v>
      </c>
      <c r="D147">
        <f t="shared" si="13"/>
        <v>34</v>
      </c>
      <c r="E147" t="str">
        <f>INDEX('Player Data'!$B:$B,AL147)</f>
        <v>DAL</v>
      </c>
      <c r="F147" s="2"/>
      <c r="G147" s="3">
        <f>Settings!$B$2*AB147+Settings!$B$3*AC147+Settings!$B$4*AD147+Settings!$B$5*AE147+Settings!$B$6*AF147+Settings!$B$7*AG147+Settings!$B$8*AH147+Settings!$B$9*AI147+Settings!$B$10*AJ147</f>
        <v>-2.9247354063307451</v>
      </c>
      <c r="H147" s="3">
        <f>G147-LARGE($G$2:$G$266,Settings!$F$4)</f>
        <v>0.29152936011641994</v>
      </c>
      <c r="I147">
        <f>IF(INDEX('Player Data'!$R:$R,AL147)="","",INDEX('Player Data'!$R:$R,AL147))</f>
        <v>192</v>
      </c>
      <c r="J147" s="4">
        <f t="shared" si="14"/>
        <v>46</v>
      </c>
      <c r="L147" s="5">
        <f>IF(Settings!$F$7="Yes",INDEX('Minutes &amp; Health'!$O:$O,AL147),Settings!$F$8)</f>
        <v>75</v>
      </c>
      <c r="M147" s="6">
        <f>INDEX('Minutes &amp; Health'!$P:$P,AL147)</f>
        <v>25.4</v>
      </c>
      <c r="N147" s="5">
        <f>INDEX('Player Data'!$F:$F,AL147)/INDEX('Player Data'!$E:$E,AL147)*M147*L147*AM147</f>
        <v>806.84708355228577</v>
      </c>
      <c r="O147" s="5">
        <f>INDEX('Player Data'!$G:$G,AL147)/INDEX('Player Data'!$E:$E,AL147)*M147*L147*AM147</f>
        <v>420.44140830267997</v>
      </c>
      <c r="P147" s="5">
        <f>INDEX('Player Data'!$H:$H,AL147)/INDEX('Player Data'!$E:$E,AL147)*M147*L147*AM147</f>
        <v>117.12296374146084</v>
      </c>
      <c r="Q147" s="5">
        <f>INDEX('Player Data'!$I:$I,AL147)/INDEX('Player Data'!$E:$E,AL147)*M147*L147*AM147</f>
        <v>51.053599579611138</v>
      </c>
      <c r="R147" s="5">
        <f>INDEX('Player Data'!$J:$J,AL147)/INDEX('Player Data'!$E:$E,AL147)*M147*L147*AM147</f>
        <v>73.076720966894371</v>
      </c>
      <c r="S147" s="5">
        <f>INDEX('Player Data'!$K:$K,AL147)/INDEX('Player Data'!$E:$E,AL147)*M147*L147*AM147</f>
        <v>27.028376248029428</v>
      </c>
      <c r="T147" s="5">
        <f>INDEX('Player Data'!$L:$L,AL147)/INDEX('Player Data'!$E:$E,AL147)*M147*L147*AM147</f>
        <v>77.080924855491332</v>
      </c>
      <c r="U147" s="7">
        <f>INDEX('Player Data'!$M:$M,AL147)</f>
        <v>0.51700000000000002</v>
      </c>
      <c r="V147" s="7">
        <f>INDEX('Player Data'!$N:$N,AL147)</f>
        <v>0.73799999999999999</v>
      </c>
      <c r="W147" s="5">
        <f t="shared" si="15"/>
        <v>316.06372543352603</v>
      </c>
      <c r="X147" s="5">
        <f>INDEX('Player Data'!$O:$O,AL147)/INDEX('Player Data'!$E:$E,AL147)*M147*L147*AM147</f>
        <v>611.34182869153972</v>
      </c>
      <c r="Y147" s="5">
        <f t="shared" si="16"/>
        <v>147.68124592748291</v>
      </c>
      <c r="Z147" s="5">
        <f>INDEX('Player Data'!$P:$P,AL147)/INDEX('Player Data'!$E:$E,AL147)*M147*L147*AM147</f>
        <v>200.11008933263267</v>
      </c>
      <c r="AB147" s="3">
        <f>(N147-Pool!$D$2)/Pool!$E$2</f>
        <v>-1.0661766142095861</v>
      </c>
      <c r="AC147" s="3">
        <f>(O147-Pool!$D$3)/Pool!$E$3</f>
        <v>-5.2287838841247214E-2</v>
      </c>
      <c r="AD147" s="3">
        <f>(P147-Pool!$D$4)/Pool!$E$4</f>
        <v>-1.10201414415976</v>
      </c>
      <c r="AE147" s="3">
        <f>(Q147-Pool!$D$5)/Pool!$E$5</f>
        <v>-1.0228565905677733</v>
      </c>
      <c r="AF147" s="3">
        <f>(R147-Pool!$D$6)/Pool!$E$6</f>
        <v>0.65818780676312283</v>
      </c>
      <c r="AG147" s="3">
        <f>(S147-Pool!$D$7)/Pool!$E$7</f>
        <v>-1.3575044607950606</v>
      </c>
      <c r="AH147" s="3">
        <f>(AS147-Pool!$D$8)/Pool!$E$8</f>
        <v>0.44021917468954042</v>
      </c>
      <c r="AI147" s="3">
        <f>(AT147-Pool!$D$9)/Pool!$E$9</f>
        <v>-0.55733748235619418</v>
      </c>
      <c r="AJ147" s="3">
        <f>-(T147-Pool!$D$10)/Pool!$E$10</f>
        <v>1.1350347431462124</v>
      </c>
      <c r="AL147">
        <f>MATCH(B147,'Player Data'!$A:$A,0)</f>
        <v>163</v>
      </c>
      <c r="AM147" s="3">
        <f>1+IF(Settings!$F$10="ON",IFERROR(VLOOKUP(TRIM(F147),Settings!$D$12:$F$17,3,FALSE),0),0)</f>
        <v>1</v>
      </c>
      <c r="AN147" t="str">
        <f t="shared" si="17"/>
        <v>C</v>
      </c>
      <c r="AO147" s="6">
        <f>X147*(U147-Pool!$B$12)</f>
        <v>22.248703973356953</v>
      </c>
      <c r="AP147" s="6">
        <f>Z147*(V147-Pool!$B$13)</f>
        <v>-10.425667063697006</v>
      </c>
      <c r="AQ147" s="3">
        <f>Settings!$B$2*(N147-Pool!$B$2)/Pool!$C$2+Settings!$B$3*(O147-Pool!$B$3)/Pool!$C$3+Settings!$B$4*(P147-Pool!$B$4)/Pool!$C$4+Settings!$B$5*(Q147-Pool!$B$5)/Pool!$C$5+Settings!$B$6*(R147-Pool!$B$6)/Pool!$C$6+Settings!$B$7*(S147-Pool!$B$7)/Pool!$C$7+Settings!$B$8*(AO147-Pool!$B$8)/Pool!$C$8+Settings!$B$9*(AP147-Pool!$B$9)/Pool!$C$9+Settings!$B$10*-(T147-Pool!$B$10)/Pool!$C$10</f>
        <v>-0.66628371469893655</v>
      </c>
      <c r="AR147">
        <f>IF(RANK(AQ147,$AQ$2:$AQ$266)&lt;=Settings!$F$5,1,0)</f>
        <v>1</v>
      </c>
      <c r="AS147" s="6">
        <f>X147*(U147-Pool!$D$12)</f>
        <v>20.129289782432863</v>
      </c>
      <c r="AT147" s="6">
        <f>Z147*(V147-Pool!$D$13)</f>
        <v>-12.434526933201488</v>
      </c>
    </row>
    <row r="148" spans="1:46" x14ac:dyDescent="0.2">
      <c r="A148">
        <f t="shared" si="12"/>
        <v>147</v>
      </c>
      <c r="B148" t="s">
        <v>189</v>
      </c>
      <c r="C148" t="str">
        <f>INDEX('Player Data'!$C:$C,AL148)</f>
        <v>PF,C</v>
      </c>
      <c r="D148">
        <f t="shared" si="13"/>
        <v>40</v>
      </c>
      <c r="E148" t="str">
        <f>INDEX('Player Data'!$B:$B,AL148)</f>
        <v>GSW</v>
      </c>
      <c r="F148" s="2"/>
      <c r="G148" s="3">
        <f>Settings!$B$2*AB148+Settings!$B$3*AC148+Settings!$B$4*AD148+Settings!$B$5*AE148+Settings!$B$6*AF148+Settings!$B$7*AG148+Settings!$B$8*AH148+Settings!$B$9*AI148+Settings!$B$10*AJ148</f>
        <v>-2.9252638906258315</v>
      </c>
      <c r="H148" s="3">
        <f>G148-LARGE($G$2:$G$266,Settings!$F$4)</f>
        <v>0.2910008758213336</v>
      </c>
      <c r="I148">
        <f>IF(INDEX('Player Data'!$R:$R,AL148)="","",INDEX('Player Data'!$R:$R,AL148))</f>
        <v>145</v>
      </c>
      <c r="J148" s="4">
        <f t="shared" si="14"/>
        <v>-2</v>
      </c>
      <c r="L148" s="5">
        <f>IF(Settings!$F$7="Yes",INDEX('Minutes &amp; Health'!$O:$O,AL148),Settings!$F$8)</f>
        <v>72</v>
      </c>
      <c r="M148" s="6">
        <f>INDEX('Minutes &amp; Health'!$P:$P,AL148)</f>
        <v>26.9</v>
      </c>
      <c r="N148" s="5">
        <f>INDEX('Player Data'!$F:$F,AL148)/INDEX('Player Data'!$E:$E,AL148)*M148*L148*AM148</f>
        <v>590.02515463917518</v>
      </c>
      <c r="O148" s="5">
        <f>INDEX('Player Data'!$G:$G,AL148)/INDEX('Player Data'!$E:$E,AL148)*M148*L148*AM148</f>
        <v>404.33195876288659</v>
      </c>
      <c r="P148" s="5">
        <f>INDEX('Player Data'!$H:$H,AL148)/INDEX('Player Data'!$E:$E,AL148)*M148*L148*AM148</f>
        <v>376.37814432989694</v>
      </c>
      <c r="Q148" s="5">
        <f>INDEX('Player Data'!$I:$I,AL148)/INDEX('Player Data'!$E:$E,AL148)*M148*L148*AM148</f>
        <v>81.86474226804124</v>
      </c>
      <c r="R148" s="5">
        <f>INDEX('Player Data'!$J:$J,AL148)/INDEX('Player Data'!$E:$E,AL148)*M148*L148*AM148</f>
        <v>51.914226804123707</v>
      </c>
      <c r="S148" s="5">
        <f>INDEX('Player Data'!$K:$K,AL148)/INDEX('Player Data'!$E:$E,AL148)*M148*L148*AM148</f>
        <v>89.851546391752578</v>
      </c>
      <c r="T148" s="5">
        <f>INDEX('Player Data'!$L:$L,AL148)/INDEX('Player Data'!$E:$E,AL148)*M148*L148*AM148</f>
        <v>179.70309278350516</v>
      </c>
      <c r="U148" s="7">
        <f>INDEX('Player Data'!$M:$M,AL148)</f>
        <v>0.42499999999999999</v>
      </c>
      <c r="V148" s="7">
        <f>INDEX('Player Data'!$N:$N,AL148)</f>
        <v>0.69599999999999995</v>
      </c>
      <c r="W148" s="5">
        <f t="shared" si="15"/>
        <v>216.22275463917526</v>
      </c>
      <c r="X148" s="5">
        <f>INDEX('Player Data'!$O:$O,AL148)/INDEX('Player Data'!$E:$E,AL148)*M148*L148*AM148</f>
        <v>508.7594226804124</v>
      </c>
      <c r="Y148" s="5">
        <f t="shared" si="16"/>
        <v>67.748065979381451</v>
      </c>
      <c r="Z148" s="5">
        <f>INDEX('Player Data'!$P:$P,AL148)/INDEX('Player Data'!$E:$E,AL148)*M148*L148*AM148</f>
        <v>97.339175257731966</v>
      </c>
      <c r="AB148" s="3">
        <f>(N148-Pool!$D$2)/Pool!$E$2</f>
        <v>-1.6006342458466281</v>
      </c>
      <c r="AC148" s="3">
        <f>(O148-Pool!$D$3)/Pool!$E$3</f>
        <v>-0.14605304571377026</v>
      </c>
      <c r="AD148" s="3">
        <f>(P148-Pool!$D$4)/Pool!$E$4</f>
        <v>0.65141358197535215</v>
      </c>
      <c r="AE148" s="3">
        <f>(Q148-Pool!$D$5)/Pool!$E$5</f>
        <v>0.33739894689450833</v>
      </c>
      <c r="AF148" s="3">
        <f>(R148-Pool!$D$6)/Pool!$E$6</f>
        <v>4.5729866399296389E-2</v>
      </c>
      <c r="AG148" s="3">
        <f>(S148-Pool!$D$7)/Pool!$E$7</f>
        <v>-0.47268334120810607</v>
      </c>
      <c r="AH148" s="3">
        <f>(AS148-Pool!$D$8)/Pool!$E$8</f>
        <v>-0.65727385394268922</v>
      </c>
      <c r="AI148" s="3">
        <f>(AT148-Pool!$D$9)/Pool!$E$9</f>
        <v>-0.45434701113499115</v>
      </c>
      <c r="AJ148" s="3">
        <f>-(T148-Pool!$D$10)/Pool!$E$10</f>
        <v>-0.62881478804880375</v>
      </c>
      <c r="AL148">
        <f>MATCH(B148,'Player Data'!$A:$A,0)</f>
        <v>208</v>
      </c>
      <c r="AM148" s="3">
        <f>1+IF(Settings!$F$10="ON",IFERROR(VLOOKUP(TRIM(F148),Settings!$D$12:$F$17,3,FALSE),0),0)</f>
        <v>1</v>
      </c>
      <c r="AN148" t="str">
        <f t="shared" si="17"/>
        <v>PF</v>
      </c>
      <c r="AO148" s="6">
        <f>X148*(U148-Pool!$B$12)</f>
        <v>-28.290468041570211</v>
      </c>
      <c r="AP148" s="6">
        <f>Z148*(V148-Pool!$B$13)</f>
        <v>-9.1595830273882441</v>
      </c>
      <c r="AQ148" s="3">
        <f>Settings!$B$2*(N148-Pool!$B$2)/Pool!$C$2+Settings!$B$3*(O148-Pool!$B$3)/Pool!$C$3+Settings!$B$4*(P148-Pool!$B$4)/Pool!$C$4+Settings!$B$5*(Q148-Pool!$B$5)/Pool!$C$5+Settings!$B$6*(R148-Pool!$B$6)/Pool!$C$6+Settings!$B$7*(S148-Pool!$B$7)/Pool!$C$7+Settings!$B$8*(AO148-Pool!$B$8)/Pool!$C$8+Settings!$B$9*(AP148-Pool!$B$9)/Pool!$C$9+Settings!$B$10*-(T148-Pool!$B$10)/Pool!$C$10</f>
        <v>-0.91646410584309179</v>
      </c>
      <c r="AR148">
        <f>IF(RANK(AQ148,$AQ$2:$AQ$266)&lt;=Settings!$F$5,1,0)</f>
        <v>1</v>
      </c>
      <c r="AS148" s="6">
        <f>X148*(U148-Pool!$D$12)</f>
        <v>-30.054247141232096</v>
      </c>
      <c r="AT148" s="6">
        <f>Z148*(V148-Pool!$D$13)</f>
        <v>-10.136748964188584</v>
      </c>
    </row>
    <row r="149" spans="1:46" x14ac:dyDescent="0.2">
      <c r="A149">
        <f t="shared" si="12"/>
        <v>148</v>
      </c>
      <c r="B149" t="s">
        <v>190</v>
      </c>
      <c r="C149" t="str">
        <f>INDEX('Player Data'!$C:$C,AL149)</f>
        <v>SF,PF</v>
      </c>
      <c r="D149">
        <f t="shared" si="13"/>
        <v>16</v>
      </c>
      <c r="E149" t="str">
        <f>INDEX('Player Data'!$B:$B,AL149)</f>
        <v>NOR</v>
      </c>
      <c r="F149" s="2"/>
      <c r="G149" s="3">
        <f>Settings!$B$2*AB149+Settings!$B$3*AC149+Settings!$B$4*AD149+Settings!$B$5*AE149+Settings!$B$6*AF149+Settings!$B$7*AG149+Settings!$B$8*AH149+Settings!$B$9*AI149+Settings!$B$10*AJ149</f>
        <v>-2.9571801615972615</v>
      </c>
      <c r="H149" s="3">
        <f>G149-LARGE($G$2:$G$266,Settings!$F$4)</f>
        <v>0.25908460484990359</v>
      </c>
      <c r="I149">
        <f>IF(INDEX('Player Data'!$R:$R,AL149)="","",INDEX('Player Data'!$R:$R,AL149))</f>
        <v>190</v>
      </c>
      <c r="J149" s="4">
        <f t="shared" si="14"/>
        <v>42</v>
      </c>
      <c r="L149" s="5">
        <f>IF(Settings!$F$7="Yes",INDEX('Minutes &amp; Health'!$O:$O,AL149),Settings!$F$8)</f>
        <v>75</v>
      </c>
      <c r="M149" s="6">
        <f>INDEX('Minutes &amp; Health'!$P:$P,AL149)</f>
        <v>25.1</v>
      </c>
      <c r="N149" s="5">
        <f>INDEX('Player Data'!$F:$F,AL149)/INDEX('Player Data'!$E:$E,AL149)*M149*L149*AM149</f>
        <v>1009.1958598726114</v>
      </c>
      <c r="O149" s="5">
        <f>INDEX('Player Data'!$G:$G,AL149)/INDEX('Player Data'!$E:$E,AL149)*M149*L149*AM149</f>
        <v>325.74044585987258</v>
      </c>
      <c r="P149" s="5">
        <f>INDEX('Player Data'!$H:$H,AL149)/INDEX('Player Data'!$E:$E,AL149)*M149*L149*AM149</f>
        <v>140.88773885350318</v>
      </c>
      <c r="Q149" s="5">
        <f>INDEX('Player Data'!$I:$I,AL149)/INDEX('Player Data'!$E:$E,AL149)*M149*L149*AM149</f>
        <v>52.957802547770704</v>
      </c>
      <c r="R149" s="5">
        <f>INDEX('Player Data'!$J:$J,AL149)/INDEX('Player Data'!$E:$E,AL149)*M149*L149*AM149</f>
        <v>6.994426751592357</v>
      </c>
      <c r="S149" s="5">
        <f>INDEX('Player Data'!$K:$K,AL149)/INDEX('Player Data'!$E:$E,AL149)*M149*L149*AM149</f>
        <v>119.90445859872612</v>
      </c>
      <c r="T149" s="5">
        <f>INDEX('Player Data'!$L:$L,AL149)/INDEX('Player Data'!$E:$E,AL149)*M149*L149*AM149</f>
        <v>55.955414012738856</v>
      </c>
      <c r="U149" s="7">
        <f>INDEX('Player Data'!$M:$M,AL149)</f>
        <v>0.45400000000000001</v>
      </c>
      <c r="V149" s="7">
        <f>INDEX('Player Data'!$N:$N,AL149)</f>
        <v>0.84</v>
      </c>
      <c r="W149" s="5">
        <f t="shared" si="15"/>
        <v>349.34703582802547</v>
      </c>
      <c r="X149" s="5">
        <f>INDEX('Player Data'!$O:$O,AL149)/INDEX('Player Data'!$E:$E,AL149)*M149*L149*AM149</f>
        <v>769.48686305732485</v>
      </c>
      <c r="Y149" s="5">
        <f t="shared" si="16"/>
        <v>190.61211783439492</v>
      </c>
      <c r="Z149" s="5">
        <f>INDEX('Player Data'!$P:$P,AL149)/INDEX('Player Data'!$E:$E,AL149)*M149*L149*AM149</f>
        <v>226.91918789808921</v>
      </c>
      <c r="AB149" s="3">
        <f>(N149-Pool!$D$2)/Pool!$E$2</f>
        <v>-0.56739474145835844</v>
      </c>
      <c r="AC149" s="3">
        <f>(O149-Pool!$D$3)/Pool!$E$3</f>
        <v>-0.6034957067787855</v>
      </c>
      <c r="AD149" s="3">
        <f>(P149-Pool!$D$4)/Pool!$E$4</f>
        <v>-0.9412851840200166</v>
      </c>
      <c r="AE149" s="3">
        <f>(Q149-Pool!$D$5)/Pool!$E$5</f>
        <v>-0.93878951593558801</v>
      </c>
      <c r="AF149" s="3">
        <f>(R149-Pool!$D$6)/Pool!$E$6</f>
        <v>-1.2542817489672338</v>
      </c>
      <c r="AG149" s="3">
        <f>(S149-Pool!$D$7)/Pool!$E$7</f>
        <v>-4.9408753743187851E-2</v>
      </c>
      <c r="AH149" s="3">
        <f>(AS149-Pool!$D$8)/Pool!$E$8</f>
        <v>-0.50608915740005334</v>
      </c>
      <c r="AI149" s="3">
        <f>(AT149-Pool!$D$9)/Pool!$E$9</f>
        <v>0.40542880027393191</v>
      </c>
      <c r="AJ149" s="3">
        <f>-(T149-Pool!$D$10)/Pool!$E$10</f>
        <v>1.4981358464320293</v>
      </c>
      <c r="AL149">
        <f>MATCH(B149,'Player Data'!$A:$A,0)</f>
        <v>113</v>
      </c>
      <c r="AM149" s="3">
        <f>1+IF(Settings!$F$10="ON",IFERROR(VLOOKUP(TRIM(F149),Settings!$D$12:$F$17,3,FALSE),0),0)</f>
        <v>1</v>
      </c>
      <c r="AN149" t="str">
        <f t="shared" si="17"/>
        <v>SF</v>
      </c>
      <c r="AO149" s="6">
        <f>X149*(U149-Pool!$B$12)</f>
        <v>-20.473559740253638</v>
      </c>
      <c r="AP149" s="6">
        <f>Z149*(V149-Pool!$B$13)</f>
        <v>11.323345255841463</v>
      </c>
      <c r="AQ149" s="3">
        <f>Settings!$B$2*(N149-Pool!$B$2)/Pool!$C$2+Settings!$B$3*(O149-Pool!$B$3)/Pool!$C$3+Settings!$B$4*(P149-Pool!$B$4)/Pool!$C$4+Settings!$B$5*(Q149-Pool!$B$5)/Pool!$C$5+Settings!$B$6*(R149-Pool!$B$6)/Pool!$C$6+Settings!$B$7*(S149-Pool!$B$7)/Pool!$C$7+Settings!$B$8*(AO149-Pool!$B$8)/Pool!$C$8+Settings!$B$9*(AP149-Pool!$B$9)/Pool!$C$9+Settings!$B$10*-(T149-Pool!$B$10)/Pool!$C$10</f>
        <v>-0.8965630763075696</v>
      </c>
      <c r="AR149">
        <f>IF(RANK(AQ149,$AQ$2:$AQ$266)&lt;=Settings!$F$5,1,0)</f>
        <v>1</v>
      </c>
      <c r="AS149" s="6">
        <f>X149*(U149-Pool!$D$12)</f>
        <v>-23.141234845658914</v>
      </c>
      <c r="AT149" s="6">
        <f>Z149*(V149-Pool!$D$13)</f>
        <v>9.0453549170770611</v>
      </c>
    </row>
    <row r="150" spans="1:46" x14ac:dyDescent="0.2">
      <c r="A150">
        <f t="shared" si="12"/>
        <v>149</v>
      </c>
      <c r="B150" t="s">
        <v>191</v>
      </c>
      <c r="C150" t="str">
        <f>INDEX('Player Data'!$C:$C,AL150)</f>
        <v>PF,C</v>
      </c>
      <c r="D150">
        <f t="shared" si="13"/>
        <v>41</v>
      </c>
      <c r="E150" t="str">
        <f>INDEX('Player Data'!$B:$B,AL150)</f>
        <v>GSW</v>
      </c>
      <c r="F150" s="2"/>
      <c r="G150" s="3">
        <f>Settings!$B$2*AB150+Settings!$B$3*AC150+Settings!$B$4*AD150+Settings!$B$5*AE150+Settings!$B$6*AF150+Settings!$B$7*AG150+Settings!$B$8*AH150+Settings!$B$9*AI150+Settings!$B$10*AJ150</f>
        <v>-2.975300478583061</v>
      </c>
      <c r="H150" s="3">
        <f>G150-LARGE($G$2:$G$266,Settings!$F$4)</f>
        <v>0.24096428786410407</v>
      </c>
      <c r="I150">
        <f>IF(INDEX('Player Data'!$R:$R,AL150)="","",INDEX('Player Data'!$R:$R,AL150))</f>
        <v>87</v>
      </c>
      <c r="J150" s="4">
        <f t="shared" si="14"/>
        <v>-62</v>
      </c>
      <c r="L150" s="5">
        <f>IF(Settings!$F$7="Yes",INDEX('Minutes &amp; Health'!$O:$O,AL150),Settings!$F$8)</f>
        <v>68</v>
      </c>
      <c r="M150" s="6">
        <f>INDEX('Minutes &amp; Health'!$P:$P,AL150)</f>
        <v>23.9</v>
      </c>
      <c r="N150" s="5">
        <f>INDEX('Player Data'!$F:$F,AL150)/INDEX('Player Data'!$E:$E,AL150)*M150*L150*AM150</f>
        <v>549.05405405405395</v>
      </c>
      <c r="O150" s="5">
        <f>INDEX('Player Data'!$G:$G,AL150)/INDEX('Player Data'!$E:$E,AL150)*M150*L150*AM150</f>
        <v>361.37739557739553</v>
      </c>
      <c r="P150" s="5">
        <f>INDEX('Player Data'!$H:$H,AL150)/INDEX('Player Data'!$E:$E,AL150)*M150*L150*AM150</f>
        <v>151.73857493857491</v>
      </c>
      <c r="Q150" s="5">
        <f>INDEX('Player Data'!$I:$I,AL150)/INDEX('Player Data'!$E:$E,AL150)*M150*L150*AM150</f>
        <v>44.922604422604422</v>
      </c>
      <c r="R150" s="5">
        <f>INDEX('Player Data'!$J:$J,AL150)/INDEX('Player Data'!$E:$E,AL150)*M150*L150*AM150</f>
        <v>58.898525798525796</v>
      </c>
      <c r="S150" s="5">
        <f>INDEX('Player Data'!$K:$K,AL150)/INDEX('Player Data'!$E:$E,AL150)*M150*L150*AM150</f>
        <v>109.81081081081081</v>
      </c>
      <c r="T150" s="5">
        <f>INDEX('Player Data'!$L:$L,AL150)/INDEX('Player Data'!$E:$E,AL150)*M150*L150*AM150</f>
        <v>56.901965601965593</v>
      </c>
      <c r="U150" s="7">
        <f>INDEX('Player Data'!$M:$M,AL150)</f>
        <v>0.436</v>
      </c>
      <c r="V150" s="7">
        <f>INDEX('Player Data'!$N:$N,AL150)</f>
        <v>0.875</v>
      </c>
      <c r="W150" s="5">
        <f t="shared" si="15"/>
        <v>192.29350427518426</v>
      </c>
      <c r="X150" s="5">
        <f>INDEX('Player Data'!$O:$O,AL150)/INDEX('Player Data'!$E:$E,AL150)*M150*L150*AM150</f>
        <v>441.04014742014738</v>
      </c>
      <c r="Y150" s="5">
        <f t="shared" si="16"/>
        <v>54.593442874692869</v>
      </c>
      <c r="Z150" s="5">
        <f>INDEX('Player Data'!$P:$P,AL150)/INDEX('Player Data'!$E:$E,AL150)*M150*L150*AM150</f>
        <v>62.392506142506136</v>
      </c>
      <c r="AB150" s="3">
        <f>(N150-Pool!$D$2)/Pool!$E$2</f>
        <v>-1.7016264171369317</v>
      </c>
      <c r="AC150" s="3">
        <f>(O150-Pool!$D$3)/Pool!$E$3</f>
        <v>-0.39607049623294477</v>
      </c>
      <c r="AD150" s="3">
        <f>(P150-Pool!$D$4)/Pool!$E$4</f>
        <v>-0.86789742451554641</v>
      </c>
      <c r="AE150" s="3">
        <f>(Q150-Pool!$D$5)/Pool!$E$5</f>
        <v>-1.2935288014885473</v>
      </c>
      <c r="AF150" s="3">
        <f>(R150-Pool!$D$6)/Pool!$E$6</f>
        <v>0.2478605483546322</v>
      </c>
      <c r="AG150" s="3">
        <f>(S150-Pool!$D$7)/Pool!$E$7</f>
        <v>-0.19157083687251153</v>
      </c>
      <c r="AH150" s="3">
        <f>(AS150-Pool!$D$8)/Pool!$E$8</f>
        <v>-0.46368731103938682</v>
      </c>
      <c r="AI150" s="3">
        <f>(AT150-Pool!$D$9)/Pool!$E$9</f>
        <v>0.20935355547316975</v>
      </c>
      <c r="AJ150" s="3">
        <f>-(T150-Pool!$D$10)/Pool!$E$10</f>
        <v>1.4818667048750058</v>
      </c>
      <c r="AL150">
        <f>MATCH(B150,'Player Data'!$A:$A,0)</f>
        <v>211</v>
      </c>
      <c r="AM150" s="3">
        <f>1+IF(Settings!$F$10="ON",IFERROR(VLOOKUP(TRIM(F150),Settings!$D$12:$F$17,3,FALSE),0),0)</f>
        <v>1</v>
      </c>
      <c r="AN150" t="str">
        <f t="shared" si="17"/>
        <v>PF</v>
      </c>
      <c r="AO150" s="6">
        <f>X150*(U150-Pool!$B$12)</f>
        <v>-19.673376277381539</v>
      </c>
      <c r="AP150" s="6">
        <f>Z150*(V150-Pool!$B$13)</f>
        <v>5.2971451574032784</v>
      </c>
      <c r="AQ150" s="3">
        <f>Settings!$B$2*(N150-Pool!$B$2)/Pool!$C$2+Settings!$B$3*(O150-Pool!$B$3)/Pool!$C$3+Settings!$B$4*(P150-Pool!$B$4)/Pool!$C$4+Settings!$B$5*(Q150-Pool!$B$5)/Pool!$C$5+Settings!$B$6*(R150-Pool!$B$6)/Pool!$C$6+Settings!$B$7*(S150-Pool!$B$7)/Pool!$C$7+Settings!$B$8*(AO150-Pool!$B$8)/Pool!$C$8+Settings!$B$9*(AP150-Pool!$B$9)/Pool!$C$9+Settings!$B$10*-(T150-Pool!$B$10)/Pool!$C$10</f>
        <v>-0.71322279480992135</v>
      </c>
      <c r="AR150">
        <f>IF(RANK(AQ150,$AQ$2:$AQ$266)&lt;=Settings!$F$5,1,0)</f>
        <v>1</v>
      </c>
      <c r="AS150" s="6">
        <f>X150*(U150-Pool!$D$12)</f>
        <v>-21.202384605194084</v>
      </c>
      <c r="AT150" s="6">
        <f>Z150*(V150-Pool!$D$13)</f>
        <v>4.6708009177625174</v>
      </c>
    </row>
    <row r="151" spans="1:46" x14ac:dyDescent="0.2">
      <c r="A151">
        <f t="shared" si="12"/>
        <v>150</v>
      </c>
      <c r="B151" t="s">
        <v>192</v>
      </c>
      <c r="C151" t="str">
        <f>INDEX('Player Data'!$C:$C,AL151)</f>
        <v>PF,SF</v>
      </c>
      <c r="D151">
        <f t="shared" si="13"/>
        <v>42</v>
      </c>
      <c r="E151" t="str">
        <f>INDEX('Player Data'!$B:$B,AL151)</f>
        <v>UTH</v>
      </c>
      <c r="F151" s="2"/>
      <c r="G151" s="3">
        <f>Settings!$B$2*AB151+Settings!$B$3*AC151+Settings!$B$4*AD151+Settings!$B$5*AE151+Settings!$B$6*AF151+Settings!$B$7*AG151+Settings!$B$8*AH151+Settings!$B$9*AI151+Settings!$B$10*AJ151</f>
        <v>-2.9986813216491064</v>
      </c>
      <c r="H151" s="3">
        <f>G151-LARGE($G$2:$G$266,Settings!$F$4)</f>
        <v>0.21758344479805869</v>
      </c>
      <c r="I151">
        <f>IF(INDEX('Player Data'!$R:$R,AL151)="","",INDEX('Player Data'!$R:$R,AL151))</f>
        <v>158</v>
      </c>
      <c r="J151" s="4">
        <f t="shared" si="14"/>
        <v>8</v>
      </c>
      <c r="L151" s="5">
        <f>IF(Settings!$F$7="Yes",INDEX('Minutes &amp; Health'!$O:$O,AL151),Settings!$F$8)</f>
        <v>75</v>
      </c>
      <c r="M151" s="6">
        <f>INDEX('Minutes &amp; Health'!$P:$P,AL151)</f>
        <v>27.9</v>
      </c>
      <c r="N151" s="5">
        <f>INDEX('Player Data'!$F:$F,AL151)/INDEX('Player Data'!$E:$E,AL151)*M151*L151*AM151</f>
        <v>1010.2757879656159</v>
      </c>
      <c r="O151" s="5">
        <f>INDEX('Player Data'!$G:$G,AL151)/INDEX('Player Data'!$E:$E,AL151)*M151*L151*AM151</f>
        <v>293.78939828080229</v>
      </c>
      <c r="P151" s="5">
        <f>INDEX('Player Data'!$H:$H,AL151)/INDEX('Player Data'!$E:$E,AL151)*M151*L151*AM151</f>
        <v>131.90544412607449</v>
      </c>
      <c r="Q151" s="5">
        <f>INDEX('Player Data'!$I:$I,AL151)/INDEX('Player Data'!$E:$E,AL151)*M151*L151*AM151</f>
        <v>60.956303724928361</v>
      </c>
      <c r="R151" s="5">
        <f>INDEX('Player Data'!$J:$J,AL151)/INDEX('Player Data'!$E:$E,AL151)*M151*L151*AM151</f>
        <v>47.965616045845266</v>
      </c>
      <c r="S151" s="5">
        <f>INDEX('Player Data'!$K:$K,AL151)/INDEX('Player Data'!$E:$E,AL151)*M151*L151*AM151</f>
        <v>143.89684813753581</v>
      </c>
      <c r="T151" s="5">
        <f>INDEX('Player Data'!$L:$L,AL151)/INDEX('Player Data'!$E:$E,AL151)*M151*L151*AM151</f>
        <v>105.92406876790831</v>
      </c>
      <c r="U151" s="7">
        <f>INDEX('Player Data'!$M:$M,AL151)</f>
        <v>0.44800000000000001</v>
      </c>
      <c r="V151" s="7">
        <f>INDEX('Player Data'!$N:$N,AL151)</f>
        <v>0.754</v>
      </c>
      <c r="W151" s="5">
        <f t="shared" si="15"/>
        <v>392.03257306590257</v>
      </c>
      <c r="X151" s="5">
        <f>INDEX('Player Data'!$O:$O,AL151)/INDEX('Player Data'!$E:$E,AL151)*M151*L151*AM151</f>
        <v>875.0727077363897</v>
      </c>
      <c r="Y151" s="5">
        <f t="shared" si="16"/>
        <v>82.27781948424068</v>
      </c>
      <c r="Z151" s="5">
        <f>INDEX('Player Data'!$P:$P,AL151)/INDEX('Player Data'!$E:$E,AL151)*M151*L151*AM151</f>
        <v>109.12177650429798</v>
      </c>
      <c r="AB151" s="3">
        <f>(N151-Pool!$D$2)/Pool!$E$2</f>
        <v>-0.56473276066232569</v>
      </c>
      <c r="AC151" s="3">
        <f>(O151-Pool!$D$3)/Pool!$E$3</f>
        <v>-0.78946708827415701</v>
      </c>
      <c r="AD151" s="3">
        <f>(P151-Pool!$D$4)/Pool!$E$4</f>
        <v>-1.0020353861322486</v>
      </c>
      <c r="AE151" s="3">
        <f>(Q151-Pool!$D$5)/Pool!$E$5</f>
        <v>-0.58567033344863562</v>
      </c>
      <c r="AF151" s="3">
        <f>(R151-Pool!$D$6)/Pool!$E$6</f>
        <v>-6.8545794763935894E-2</v>
      </c>
      <c r="AG151" s="3">
        <f>(S151-Pool!$D$7)/Pool!$E$7</f>
        <v>0.288507542501168</v>
      </c>
      <c r="AH151" s="3">
        <f>(AS151-Pool!$D$8)/Pool!$E$8</f>
        <v>-0.6903574962084108</v>
      </c>
      <c r="AI151" s="3">
        <f>(AT151-Pool!$D$9)/Pool!$E$9</f>
        <v>-0.22566449330236407</v>
      </c>
      <c r="AJ151" s="3">
        <f>-(T151-Pool!$D$10)/Pool!$E$10</f>
        <v>0.63928448864180332</v>
      </c>
      <c r="AL151">
        <f>MATCH(B151,'Player Data'!$A:$A,0)</f>
        <v>114</v>
      </c>
      <c r="AM151" s="3">
        <f>1+IF(Settings!$F$10="ON",IFERROR(VLOOKUP(TRIM(F151),Settings!$D$12:$F$17,3,FALSE),0),0)</f>
        <v>1</v>
      </c>
      <c r="AN151" t="str">
        <f t="shared" si="17"/>
        <v>PF</v>
      </c>
      <c r="AO151" s="6">
        <f>X151*(U151-Pool!$B$12)</f>
        <v>-28.533294237941714</v>
      </c>
      <c r="AP151" s="6">
        <f>Z151*(V151-Pool!$B$13)</f>
        <v>-3.9392587287893739</v>
      </c>
      <c r="AQ151" s="3">
        <f>Settings!$B$2*(N151-Pool!$B$2)/Pool!$C$2+Settings!$B$3*(O151-Pool!$B$3)/Pool!$C$3+Settings!$B$4*(P151-Pool!$B$4)/Pool!$C$4+Settings!$B$5*(Q151-Pool!$B$5)/Pool!$C$5+Settings!$B$6*(R151-Pool!$B$6)/Pool!$C$6+Settings!$B$7*(S151-Pool!$B$7)/Pool!$C$7+Settings!$B$8*(AO151-Pool!$B$8)/Pool!$C$8+Settings!$B$9*(AP151-Pool!$B$9)/Pool!$C$9+Settings!$B$10*-(T151-Pool!$B$10)/Pool!$C$10</f>
        <v>-1.0273688133313563</v>
      </c>
      <c r="AR151">
        <f>IF(RANK(AQ151,$AQ$2:$AQ$266)&lt;=Settings!$F$5,1,0)</f>
        <v>1</v>
      </c>
      <c r="AS151" s="6">
        <f>X151*(U151-Pool!$D$12)</f>
        <v>-31.567016826229807</v>
      </c>
      <c r="AT151" s="6">
        <f>Z151*(V151-Pool!$D$13)</f>
        <v>-5.034707531194031</v>
      </c>
    </row>
    <row r="152" spans="1:46" x14ac:dyDescent="0.2">
      <c r="A152">
        <f t="shared" si="12"/>
        <v>151</v>
      </c>
      <c r="B152" t="s">
        <v>193</v>
      </c>
      <c r="C152" t="str">
        <f>INDEX('Player Data'!$C:$C,AL152)</f>
        <v>C</v>
      </c>
      <c r="D152">
        <f t="shared" si="13"/>
        <v>35</v>
      </c>
      <c r="E152" t="str">
        <f>INDEX('Player Data'!$B:$B,AL152)</f>
        <v>BKN</v>
      </c>
      <c r="F152" s="2"/>
      <c r="G152" s="3">
        <f>Settings!$B$2*AB152+Settings!$B$3*AC152+Settings!$B$4*AD152+Settings!$B$5*AE152+Settings!$B$6*AF152+Settings!$B$7*AG152+Settings!$B$8*AH152+Settings!$B$9*AI152+Settings!$B$10*AJ152</f>
        <v>-3.0570429436524282</v>
      </c>
      <c r="H152" s="3">
        <f>G152-LARGE($G$2:$G$266,Settings!$F$4)</f>
        <v>0.15922182279473684</v>
      </c>
      <c r="I152">
        <f>IF(INDEX('Player Data'!$R:$R,AL152)="","",INDEX('Player Data'!$R:$R,AL152))</f>
        <v>103</v>
      </c>
      <c r="J152" s="4">
        <f t="shared" si="14"/>
        <v>-48</v>
      </c>
      <c r="L152" s="5">
        <f>IF(Settings!$F$7="Yes",INDEX('Minutes &amp; Health'!$O:$O,AL152),Settings!$F$8)</f>
        <v>74</v>
      </c>
      <c r="M152" s="6">
        <f>INDEX('Minutes &amp; Health'!$P:$P,AL152)</f>
        <v>20.3</v>
      </c>
      <c r="N152" s="5">
        <f>INDEX('Player Data'!$F:$F,AL152)/INDEX('Player Data'!$E:$E,AL152)*M152*L152*AM152</f>
        <v>647.65508982035942</v>
      </c>
      <c r="O152" s="5">
        <f>INDEX('Player Data'!$G:$G,AL152)/INDEX('Player Data'!$E:$E,AL152)*M152*L152*AM152</f>
        <v>510.72801064537595</v>
      </c>
      <c r="P152" s="5">
        <f>INDEX('Player Data'!$H:$H,AL152)/INDEX('Player Data'!$E:$E,AL152)*M152*L152*AM152</f>
        <v>152.91856287425151</v>
      </c>
      <c r="Q152" s="5">
        <f>INDEX('Player Data'!$I:$I,AL152)/INDEX('Player Data'!$E:$E,AL152)*M152*L152*AM152</f>
        <v>64.965402528276783</v>
      </c>
      <c r="R152" s="5">
        <f>INDEX('Player Data'!$J:$J,AL152)/INDEX('Player Data'!$E:$E,AL152)*M152*L152*AM152</f>
        <v>58.968596141051236</v>
      </c>
      <c r="S152" s="5">
        <f>INDEX('Player Data'!$K:$K,AL152)/INDEX('Player Data'!$E:$E,AL152)*M152*L152*AM152</f>
        <v>14.992015968063871</v>
      </c>
      <c r="T152" s="5">
        <f>INDEX('Player Data'!$L:$L,AL152)/INDEX('Player Data'!$E:$E,AL152)*M152*L152*AM152</f>
        <v>110.94091816367265</v>
      </c>
      <c r="U152" s="7">
        <f>INDEX('Player Data'!$M:$M,AL152)</f>
        <v>0.55800000000000005</v>
      </c>
      <c r="V152" s="7">
        <f>INDEX('Player Data'!$N:$N,AL152)</f>
        <v>0.69799999999999995</v>
      </c>
      <c r="W152" s="5">
        <f t="shared" si="15"/>
        <v>254.14525437125755</v>
      </c>
      <c r="X152" s="5">
        <f>INDEX('Player Data'!$O:$O,AL152)/INDEX('Player Data'!$E:$E,AL152)*M152*L152*AM152</f>
        <v>455.45744510978051</v>
      </c>
      <c r="Y152" s="5">
        <f t="shared" si="16"/>
        <v>124.31739449101795</v>
      </c>
      <c r="Z152" s="5">
        <f>INDEX('Player Data'!$P:$P,AL152)/INDEX('Player Data'!$E:$E,AL152)*M152*L152*AM152</f>
        <v>178.10514970059879</v>
      </c>
      <c r="AB152" s="3">
        <f>(N152-Pool!$D$2)/Pool!$E$2</f>
        <v>-1.4585786944421615</v>
      </c>
      <c r="AC152" s="3">
        <f>(O152-Pool!$D$3)/Pool!$E$3</f>
        <v>0.47322620343363797</v>
      </c>
      <c r="AD152" s="3">
        <f>(P152-Pool!$D$4)/Pool!$E$4</f>
        <v>-0.85991677950693302</v>
      </c>
      <c r="AE152" s="3">
        <f>(Q152-Pool!$D$5)/Pool!$E$5</f>
        <v>-0.4086759615542136</v>
      </c>
      <c r="AF152" s="3">
        <f>(R152-Pool!$D$6)/Pool!$E$6</f>
        <v>0.24988843492289955</v>
      </c>
      <c r="AG152" s="3">
        <f>(S152-Pool!$D$7)/Pool!$E$7</f>
        <v>-1.5270283124935116</v>
      </c>
      <c r="AH152" s="3">
        <f>(AS152-Pool!$D$8)/Pool!$E$8</f>
        <v>0.73635613072352901</v>
      </c>
      <c r="AI152" s="3">
        <f>(AT152-Pool!$D$9)/Pool!$E$9</f>
        <v>-0.81536983792859985</v>
      </c>
      <c r="AJ152" s="3">
        <f>-(T152-Pool!$D$10)/Pool!$E$10</f>
        <v>0.55305587319292482</v>
      </c>
      <c r="AL152">
        <f>MATCH(B152,'Player Data'!$A:$A,0)</f>
        <v>203</v>
      </c>
      <c r="AM152" s="3">
        <f>1+IF(Settings!$F$10="ON",IFERROR(VLOOKUP(TRIM(F152),Settings!$D$12:$F$17,3,FALSE),0),0)</f>
        <v>1</v>
      </c>
      <c r="AN152" t="str">
        <f t="shared" si="17"/>
        <v>C</v>
      </c>
      <c r="AO152" s="6">
        <f>X152*(U152-Pool!$B$12)</f>
        <v>35.24932294850413</v>
      </c>
      <c r="AP152" s="6">
        <f>Z152*(V152-Pool!$B$13)</f>
        <v>-16.403423239392961</v>
      </c>
      <c r="AQ152" s="3">
        <f>Settings!$B$2*(N152-Pool!$B$2)/Pool!$C$2+Settings!$B$3*(O152-Pool!$B$3)/Pool!$C$3+Settings!$B$4*(P152-Pool!$B$4)/Pool!$C$4+Settings!$B$5*(Q152-Pool!$B$5)/Pool!$C$5+Settings!$B$6*(R152-Pool!$B$6)/Pool!$C$6+Settings!$B$7*(S152-Pool!$B$7)/Pool!$C$7+Settings!$B$8*(AO152-Pool!$B$8)/Pool!$C$8+Settings!$B$9*(AP152-Pool!$B$9)/Pool!$C$9+Settings!$B$10*-(T152-Pool!$B$10)/Pool!$C$10</f>
        <v>-0.85697182478144196</v>
      </c>
      <c r="AR152">
        <f>IF(RANK(AQ152,$AQ$2:$AQ$266)&lt;=Settings!$F$5,1,0)</f>
        <v>1</v>
      </c>
      <c r="AS152" s="6">
        <f>X152*(U152-Pool!$D$12)</f>
        <v>33.670332394898885</v>
      </c>
      <c r="AT152" s="6">
        <f>Z152*(V152-Pool!$D$13)</f>
        <v>-18.19138050321132</v>
      </c>
    </row>
    <row r="153" spans="1:46" x14ac:dyDescent="0.2">
      <c r="A153">
        <f t="shared" si="12"/>
        <v>152</v>
      </c>
      <c r="B153" t="s">
        <v>194</v>
      </c>
      <c r="C153" t="str">
        <f>INDEX('Player Data'!$C:$C,AL153)</f>
        <v>C</v>
      </c>
      <c r="D153">
        <f t="shared" si="13"/>
        <v>36</v>
      </c>
      <c r="E153" t="str">
        <f>INDEX('Player Data'!$B:$B,AL153)</f>
        <v>POR</v>
      </c>
      <c r="F153" s="2"/>
      <c r="G153" s="3">
        <f>Settings!$B$2*AB153+Settings!$B$3*AC153+Settings!$B$4*AD153+Settings!$B$5*AE153+Settings!$B$6*AF153+Settings!$B$7*AG153+Settings!$B$8*AH153+Settings!$B$9*AI153+Settings!$B$10*AJ153</f>
        <v>-3.0772174215346952</v>
      </c>
      <c r="H153" s="3">
        <f>G153-LARGE($G$2:$G$266,Settings!$F$4)</f>
        <v>0.13904734491246984</v>
      </c>
      <c r="I153" t="str">
        <f>IF(INDEX('Player Data'!$R:$R,AL153)="","",INDEX('Player Data'!$R:$R,AL153))</f>
        <v/>
      </c>
      <c r="J153" s="4" t="str">
        <f t="shared" si="14"/>
        <v/>
      </c>
      <c r="L153" s="5">
        <f>IF(Settings!$F$7="Yes",INDEX('Minutes &amp; Health'!$O:$O,AL153),Settings!$F$8)</f>
        <v>69</v>
      </c>
      <c r="M153" s="6">
        <f>INDEX('Minutes &amp; Health'!$P:$P,AL153)</f>
        <v>16.3</v>
      </c>
      <c r="N153" s="5">
        <f>INDEX('Player Data'!$F:$F,AL153)/INDEX('Player Data'!$E:$E,AL153)*M153*L153*AM153</f>
        <v>412.99144385026739</v>
      </c>
      <c r="O153" s="5">
        <f>INDEX('Player Data'!$G:$G,AL153)/INDEX('Player Data'!$E:$E,AL153)*M153*L153*AM153</f>
        <v>438.05160427807488</v>
      </c>
      <c r="P153" s="5">
        <f>INDEX('Player Data'!$H:$H,AL153)/INDEX('Player Data'!$E:$E,AL153)*M153*L153*AM153</f>
        <v>67.16122994652406</v>
      </c>
      <c r="Q153" s="5">
        <f>INDEX('Player Data'!$I:$I,AL153)/INDEX('Player Data'!$E:$E,AL153)*M153*L153*AM153</f>
        <v>39.093850267379686</v>
      </c>
      <c r="R153" s="5">
        <f>INDEX('Player Data'!$J:$J,AL153)/INDEX('Player Data'!$E:$E,AL153)*M153*L153*AM153</f>
        <v>94.226203208556157</v>
      </c>
      <c r="S153" s="5">
        <f>INDEX('Player Data'!$K:$K,AL153)/INDEX('Player Data'!$E:$E,AL153)*M153*L153*AM153</f>
        <v>9.0216577540106968</v>
      </c>
      <c r="T153" s="5">
        <f>INDEX('Player Data'!$L:$L,AL153)/INDEX('Player Data'!$E:$E,AL153)*M153*L153*AM153</f>
        <v>53.127540106951869</v>
      </c>
      <c r="U153" s="7">
        <f>INDEX('Player Data'!$M:$M,AL153)</f>
        <v>0.68700000000000006</v>
      </c>
      <c r="V153" s="7">
        <f>INDEX('Player Data'!$N:$N,AL153)</f>
        <v>0.65500000000000003</v>
      </c>
      <c r="W153" s="5">
        <f t="shared" si="15"/>
        <v>178.77437294117649</v>
      </c>
      <c r="X153" s="5">
        <f>INDEX('Player Data'!$O:$O,AL153)/INDEX('Player Data'!$E:$E,AL153)*M153*L153*AM153</f>
        <v>260.22470588235296</v>
      </c>
      <c r="Y153" s="5">
        <f t="shared" si="16"/>
        <v>46.354279946524066</v>
      </c>
      <c r="Z153" s="5">
        <f>INDEX('Player Data'!$P:$P,AL153)/INDEX('Player Data'!$E:$E,AL153)*M153*L153*AM153</f>
        <v>70.769893048128338</v>
      </c>
      <c r="AB153" s="3">
        <f>(N153-Pool!$D$2)/Pool!$E$2</f>
        <v>-2.0370154655067192</v>
      </c>
      <c r="AC153" s="3">
        <f>(O153-Pool!$D$3)/Pool!$E$3</f>
        <v>5.0212477176363506E-2</v>
      </c>
      <c r="AD153" s="3">
        <f>(P153-Pool!$D$4)/Pool!$E$4</f>
        <v>-1.4399217187856046</v>
      </c>
      <c r="AE153" s="3">
        <f>(Q153-Pool!$D$5)/Pool!$E$5</f>
        <v>-1.5508576255547835</v>
      </c>
      <c r="AF153" s="3">
        <f>(R153-Pool!$D$6)/Pool!$E$6</f>
        <v>1.2702691726862798</v>
      </c>
      <c r="AG153" s="3">
        <f>(S153-Pool!$D$7)/Pool!$E$7</f>
        <v>-1.6111166994247703</v>
      </c>
      <c r="AH153" s="3">
        <f>(AS153-Pool!$D$8)/Pool!$E$8</f>
        <v>1.1548553620025162</v>
      </c>
      <c r="AI153" s="3">
        <f>(AT153-Pool!$D$9)/Pool!$E$9</f>
        <v>-0.46038370810624768</v>
      </c>
      <c r="AJ153" s="3">
        <f>-(T153-Pool!$D$10)/Pool!$E$10</f>
        <v>1.5467407839782705</v>
      </c>
      <c r="AL153">
        <f>MATCH(B153,'Player Data'!$A:$A,0)</f>
        <v>243</v>
      </c>
      <c r="AM153" s="3">
        <f>1+IF(Settings!$F$10="ON",IFERROR(VLOOKUP(TRIM(F153),Settings!$D$12:$F$17,3,FALSE),0),0)</f>
        <v>1</v>
      </c>
      <c r="AN153" t="str">
        <f t="shared" si="17"/>
        <v>C</v>
      </c>
      <c r="AO153" s="6">
        <f>X153*(U153-Pool!$B$12)</f>
        <v>53.708617655081817</v>
      </c>
      <c r="AP153" s="6">
        <f>Z153*(V153-Pool!$B$13)</f>
        <v>-9.5609882934310466</v>
      </c>
      <c r="AQ153" s="3">
        <f>Settings!$B$2*(N153-Pool!$B$2)/Pool!$C$2+Settings!$B$3*(O153-Pool!$B$3)/Pool!$C$3+Settings!$B$4*(P153-Pool!$B$4)/Pool!$C$4+Settings!$B$5*(Q153-Pool!$B$5)/Pool!$C$5+Settings!$B$6*(R153-Pool!$B$6)/Pool!$C$6+Settings!$B$7*(S153-Pool!$B$7)/Pool!$C$7+Settings!$B$8*(AO153-Pool!$B$8)/Pool!$C$8+Settings!$B$9*(AP153-Pool!$B$9)/Pool!$C$9+Settings!$B$10*-(T153-Pool!$B$10)/Pool!$C$10</f>
        <v>-0.55397343114584507</v>
      </c>
      <c r="AR153">
        <f>IF(RANK(AQ153,$AQ$2:$AQ$266)&lt;=Settings!$F$5,1,0)</f>
        <v>1</v>
      </c>
      <c r="AS153" s="6">
        <f>X153*(U153-Pool!$D$12)</f>
        <v>52.806464541075961</v>
      </c>
      <c r="AT153" s="6">
        <f>Z153*(V153-Pool!$D$13)</f>
        <v>-10.271431223058611</v>
      </c>
    </row>
    <row r="154" spans="1:46" x14ac:dyDescent="0.2">
      <c r="A154">
        <f t="shared" si="12"/>
        <v>153</v>
      </c>
      <c r="B154" t="s">
        <v>195</v>
      </c>
      <c r="C154" t="str">
        <f>INDEX('Player Data'!$C:$C,AL154)</f>
        <v>PF,SF,SG</v>
      </c>
      <c r="D154">
        <f t="shared" si="13"/>
        <v>43</v>
      </c>
      <c r="E154" t="str">
        <f>INDEX('Player Data'!$B:$B,AL154)</f>
        <v>LAL</v>
      </c>
      <c r="F154" s="2"/>
      <c r="G154" s="3">
        <f>Settings!$B$2*AB154+Settings!$B$3*AC154+Settings!$B$4*AD154+Settings!$B$5*AE154+Settings!$B$6*AF154+Settings!$B$7*AG154+Settings!$B$8*AH154+Settings!$B$9*AI154+Settings!$B$10*AJ154</f>
        <v>-3.1515079346269301</v>
      </c>
      <c r="H154" s="3">
        <f>G154-LARGE($G$2:$G$266,Settings!$F$4)</f>
        <v>6.475683182023495E-2</v>
      </c>
      <c r="I154" t="str">
        <f>IF(INDEX('Player Data'!$R:$R,AL154)="","",INDEX('Player Data'!$R:$R,AL154))</f>
        <v/>
      </c>
      <c r="J154" s="4" t="str">
        <f t="shared" si="14"/>
        <v/>
      </c>
      <c r="L154" s="5">
        <f>IF(Settings!$F$7="Yes",INDEX('Minutes &amp; Health'!$O:$O,AL154),Settings!$F$8)</f>
        <v>68</v>
      </c>
      <c r="M154" s="6">
        <f>INDEX('Minutes &amp; Health'!$P:$P,AL154)</f>
        <v>18</v>
      </c>
      <c r="N154" s="5">
        <f>INDEX('Player Data'!$F:$F,AL154)/INDEX('Player Data'!$E:$E,AL154)*M154*L154*AM154</f>
        <v>384.62847790507368</v>
      </c>
      <c r="O154" s="5">
        <f>INDEX('Player Data'!$G:$G,AL154)/INDEX('Player Data'!$E:$E,AL154)*M154*L154*AM154</f>
        <v>148.24222585924716</v>
      </c>
      <c r="P154" s="5">
        <f>INDEX('Player Data'!$H:$H,AL154)/INDEX('Player Data'!$E:$E,AL154)*M154*L154*AM154</f>
        <v>77.126022913256946</v>
      </c>
      <c r="Q154" s="5">
        <f>INDEX('Player Data'!$I:$I,AL154)/INDEX('Player Data'!$E:$E,AL154)*M154*L154*AM154</f>
        <v>118.19312602291326</v>
      </c>
      <c r="R154" s="5">
        <f>INDEX('Player Data'!$J:$J,AL154)/INDEX('Player Data'!$E:$E,AL154)*M154*L154*AM154</f>
        <v>33.054009819967263</v>
      </c>
      <c r="S154" s="5">
        <f>INDEX('Player Data'!$K:$K,AL154)/INDEX('Player Data'!$E:$E,AL154)*M154*L154*AM154</f>
        <v>78.127659574468083</v>
      </c>
      <c r="T154" s="5">
        <f>INDEX('Player Data'!$L:$L,AL154)/INDEX('Player Data'!$E:$E,AL154)*M154*L154*AM154</f>
        <v>53.086743044189845</v>
      </c>
      <c r="U154" s="7">
        <f>INDEX('Player Data'!$M:$M,AL154)</f>
        <v>0.44700000000000001</v>
      </c>
      <c r="V154" s="7">
        <f>INDEX('Player Data'!$N:$N,AL154)</f>
        <v>0.747</v>
      </c>
      <c r="W154" s="5">
        <f t="shared" si="15"/>
        <v>129.52874828150576</v>
      </c>
      <c r="X154" s="5">
        <f>INDEX('Player Data'!$O:$O,AL154)/INDEX('Player Data'!$E:$E,AL154)*M154*L154*AM154</f>
        <v>289.77348608837974</v>
      </c>
      <c r="Y154" s="5">
        <f t="shared" si="16"/>
        <v>47.437311947626846</v>
      </c>
      <c r="Z154" s="5">
        <f>INDEX('Player Data'!$P:$P,AL154)/INDEX('Player Data'!$E:$E,AL154)*M154*L154*AM154</f>
        <v>63.503764320785599</v>
      </c>
      <c r="AB154" s="3">
        <f>(N154-Pool!$D$2)/Pool!$E$2</f>
        <v>-2.1069290747124794</v>
      </c>
      <c r="AC154" s="3">
        <f>(O154-Pool!$D$3)/Pool!$E$3</f>
        <v>-1.6366258132266502</v>
      </c>
      <c r="AD154" s="3">
        <f>(P154-Pool!$D$4)/Pool!$E$4</f>
        <v>-1.3725265591849058</v>
      </c>
      <c r="AE154" s="3">
        <f>(Q154-Pool!$D$5)/Pool!$E$5</f>
        <v>1.941230575903699</v>
      </c>
      <c r="AF154" s="3">
        <f>(R154-Pool!$D$6)/Pool!$E$6</f>
        <v>-0.50009850147107227</v>
      </c>
      <c r="AG154" s="3">
        <f>(S154-Pool!$D$7)/Pool!$E$7</f>
        <v>-0.63780621921391867</v>
      </c>
      <c r="AH154" s="3">
        <f>(AS154-Pool!$D$8)/Pool!$E$8</f>
        <v>-0.23494371316426663</v>
      </c>
      <c r="AI154" s="3">
        <f>(AT154-Pool!$D$9)/Pool!$E$9</f>
        <v>-0.15125062538368791</v>
      </c>
      <c r="AJ154" s="3">
        <f>-(T154-Pool!$D$10)/Pool!$E$10</f>
        <v>1.5474419958263521</v>
      </c>
      <c r="AL154">
        <f>MATCH(B154,'Player Data'!$A:$A,0)</f>
        <v>247</v>
      </c>
      <c r="AM154" s="3">
        <f>1+IF(Settings!$F$10="ON",IFERROR(VLOOKUP(TRIM(F154),Settings!$D$12:$F$17,3,FALSE),0),0)</f>
        <v>1</v>
      </c>
      <c r="AN154" t="str">
        <f t="shared" si="17"/>
        <v>PF</v>
      </c>
      <c r="AO154" s="6">
        <f>X154*(U154-Pool!$B$12)</f>
        <v>-9.7383508075109013</v>
      </c>
      <c r="AP154" s="6">
        <f>Z154*(V154-Pool!$B$13)</f>
        <v>-2.7369904754220622</v>
      </c>
      <c r="AQ154" s="3">
        <f>Settings!$B$2*(N154-Pool!$B$2)/Pool!$C$2+Settings!$B$3*(O154-Pool!$B$3)/Pool!$C$3+Settings!$B$4*(P154-Pool!$B$4)/Pool!$C$4+Settings!$B$5*(Q154-Pool!$B$5)/Pool!$C$5+Settings!$B$6*(R154-Pool!$B$6)/Pool!$C$6+Settings!$B$7*(S154-Pool!$B$7)/Pool!$C$7+Settings!$B$8*(AO154-Pool!$B$8)/Pool!$C$8+Settings!$B$9*(AP154-Pool!$B$9)/Pool!$C$9+Settings!$B$10*-(T154-Pool!$B$10)/Pool!$C$10</f>
        <v>-1.3800621710594068</v>
      </c>
      <c r="AR154">
        <f>IF(RANK(AQ154,$AQ$2:$AQ$266)&lt;=Settings!$F$5,1,0)</f>
        <v>0</v>
      </c>
      <c r="AS154" s="6">
        <f>X154*(U154-Pool!$D$12)</f>
        <v>-10.74294432581101</v>
      </c>
      <c r="AT154" s="6">
        <f>Z154*(V154-Pool!$D$13)</f>
        <v>-3.3744903842569611</v>
      </c>
    </row>
    <row r="155" spans="1:46" x14ac:dyDescent="0.2">
      <c r="A155">
        <f t="shared" si="12"/>
        <v>154</v>
      </c>
      <c r="B155" t="s">
        <v>196</v>
      </c>
      <c r="C155" t="str">
        <f>INDEX('Player Data'!$C:$C,AL155)</f>
        <v>PF,C</v>
      </c>
      <c r="D155">
        <f t="shared" si="13"/>
        <v>44</v>
      </c>
      <c r="E155" t="str">
        <f>INDEX('Player Data'!$B:$B,AL155)</f>
        <v>CHA</v>
      </c>
      <c r="F155" s="2"/>
      <c r="G155" s="3">
        <f>Settings!$B$2*AB155+Settings!$B$3*AC155+Settings!$B$4*AD155+Settings!$B$5*AE155+Settings!$B$6*AF155+Settings!$B$7*AG155+Settings!$B$8*AH155+Settings!$B$9*AI155+Settings!$B$10*AJ155</f>
        <v>-3.1736590315489668</v>
      </c>
      <c r="H155" s="3">
        <f>G155-LARGE($G$2:$G$266,Settings!$F$4)</f>
        <v>4.26057348981983E-2</v>
      </c>
      <c r="I155">
        <f>IF(INDEX('Player Data'!$R:$R,AL155)="","",INDEX('Player Data'!$R:$R,AL155))</f>
        <v>106</v>
      </c>
      <c r="J155" s="4">
        <f t="shared" si="14"/>
        <v>-48</v>
      </c>
      <c r="L155" s="5">
        <f>IF(Settings!$F$7="Yes",INDEX('Minutes &amp; Health'!$O:$O,AL155),Settings!$F$8)</f>
        <v>74</v>
      </c>
      <c r="M155" s="6">
        <f>INDEX('Minutes &amp; Health'!$P:$P,AL155)</f>
        <v>24.4</v>
      </c>
      <c r="N155" s="5">
        <f>INDEX('Player Data'!$F:$F,AL155)/INDEX('Player Data'!$E:$E,AL155)*M155*L155*AM155</f>
        <v>515.88571428571424</v>
      </c>
      <c r="O155" s="5">
        <f>INDEX('Player Data'!$G:$G,AL155)/INDEX('Player Data'!$E:$E,AL155)*M155*L155*AM155</f>
        <v>568.87397563676632</v>
      </c>
      <c r="P155" s="5">
        <f>INDEX('Player Data'!$H:$H,AL155)/INDEX('Player Data'!$E:$E,AL155)*M155*L155*AM155</f>
        <v>115.97430786267995</v>
      </c>
      <c r="Q155" s="5">
        <f>INDEX('Player Data'!$I:$I,AL155)/INDEX('Player Data'!$E:$E,AL155)*M155*L155*AM155</f>
        <v>51.988482834994464</v>
      </c>
      <c r="R155" s="5">
        <f>INDEX('Player Data'!$J:$J,AL155)/INDEX('Player Data'!$E:$E,AL155)*M155*L155*AM155</f>
        <v>61.986267995570316</v>
      </c>
      <c r="S155" s="5">
        <f>INDEX('Player Data'!$K:$K,AL155)/INDEX('Player Data'!$E:$E,AL155)*M155*L155*AM155</f>
        <v>0</v>
      </c>
      <c r="T155" s="5">
        <f>INDEX('Player Data'!$L:$L,AL155)/INDEX('Player Data'!$E:$E,AL155)*M155*L155*AM155</f>
        <v>71.984053156146175</v>
      </c>
      <c r="U155" s="7">
        <f>INDEX('Player Data'!$M:$M,AL155)</f>
        <v>0.623</v>
      </c>
      <c r="V155" s="7">
        <f>INDEX('Player Data'!$N:$N,AL155)</f>
        <v>0.64100000000000001</v>
      </c>
      <c r="W155" s="5">
        <f t="shared" si="15"/>
        <v>214.07767472868213</v>
      </c>
      <c r="X155" s="5">
        <f>INDEX('Player Data'!$O:$O,AL155)/INDEX('Player Data'!$E:$E,AL155)*M155*L155*AM155</f>
        <v>343.62387596899219</v>
      </c>
      <c r="Y155" s="5">
        <f t="shared" si="16"/>
        <v>87.733464141749721</v>
      </c>
      <c r="Z155" s="5">
        <f>INDEX('Player Data'!$P:$P,AL155)/INDEX('Player Data'!$E:$E,AL155)*M155*L155*AM155</f>
        <v>136.86967884828348</v>
      </c>
      <c r="AB155" s="3">
        <f>(N155-Pool!$D$2)/Pool!$E$2</f>
        <v>-1.7833850861367981</v>
      </c>
      <c r="AC155" s="3">
        <f>(O155-Pool!$D$3)/Pool!$E$3</f>
        <v>0.81166535510996063</v>
      </c>
      <c r="AD155" s="3">
        <f>(P155-Pool!$D$4)/Pool!$E$4</f>
        <v>-1.1097828802022611</v>
      </c>
      <c r="AE155" s="3">
        <f>(Q155-Pool!$D$5)/Pool!$E$5</f>
        <v>-0.98158320652371245</v>
      </c>
      <c r="AF155" s="3">
        <f>(R155-Pool!$D$6)/Pool!$E$6</f>
        <v>0.33722204855545601</v>
      </c>
      <c r="AG155" s="3">
        <f>(S155-Pool!$D$7)/Pool!$E$7</f>
        <v>-1.7381805406185855</v>
      </c>
      <c r="AH155" s="3">
        <f>(AS155-Pool!$D$8)/Pool!$E$8</f>
        <v>1.0440195684380127</v>
      </c>
      <c r="AI155" s="3">
        <f>(AT155-Pool!$D$9)/Pool!$E$9</f>
        <v>-0.97627305629752381</v>
      </c>
      <c r="AJ155" s="3">
        <f>-(T155-Pool!$D$10)/Pool!$E$10</f>
        <v>1.2226387661264848</v>
      </c>
      <c r="AL155">
        <f>MATCH(B155,'Player Data'!$A:$A,0)</f>
        <v>227</v>
      </c>
      <c r="AM155" s="3">
        <f>1+IF(Settings!$F$10="ON",IFERROR(VLOOKUP(TRIM(F155),Settings!$D$12:$F$17,3,FALSE),0),0)</f>
        <v>1</v>
      </c>
      <c r="AN155" t="str">
        <f t="shared" si="17"/>
        <v>PF</v>
      </c>
      <c r="AO155" s="6">
        <f>X155*(U155-Pool!$B$12)</f>
        <v>48.929713712918712</v>
      </c>
      <c r="AP155" s="6">
        <f>Z155*(V155-Pool!$B$13)</f>
        <v>-20.407222202281492</v>
      </c>
      <c r="AQ155" s="3">
        <f>Settings!$B$2*(N155-Pool!$B$2)/Pool!$C$2+Settings!$B$3*(O155-Pool!$B$3)/Pool!$C$3+Settings!$B$4*(P155-Pool!$B$4)/Pool!$C$4+Settings!$B$5*(Q155-Pool!$B$5)/Pool!$C$5+Settings!$B$6*(R155-Pool!$B$6)/Pool!$C$6+Settings!$B$7*(S155-Pool!$B$7)/Pool!$C$7+Settings!$B$8*(AO155-Pool!$B$8)/Pool!$C$8+Settings!$B$9*(AP155-Pool!$B$9)/Pool!$C$9+Settings!$B$10*-(T155-Pool!$B$10)/Pool!$C$10</f>
        <v>-0.89610650290923555</v>
      </c>
      <c r="AR155">
        <f>IF(RANK(AQ155,$AQ$2:$AQ$266)&lt;=Settings!$F$5,1,0)</f>
        <v>1</v>
      </c>
      <c r="AS155" s="6">
        <f>X155*(U155-Pool!$D$12)</f>
        <v>47.738430399902541</v>
      </c>
      <c r="AT155" s="6">
        <f>Z155*(V155-Pool!$D$13)</f>
        <v>-21.781225912475456</v>
      </c>
    </row>
    <row r="156" spans="1:46" x14ac:dyDescent="0.2">
      <c r="A156">
        <f t="shared" si="12"/>
        <v>155</v>
      </c>
      <c r="B156" t="s">
        <v>197</v>
      </c>
      <c r="C156" t="str">
        <f>INDEX('Player Data'!$C:$C,AL156)</f>
        <v>PG,SG</v>
      </c>
      <c r="D156">
        <f t="shared" si="13"/>
        <v>53</v>
      </c>
      <c r="E156" t="str">
        <f>INDEX('Player Data'!$B:$B,AL156)</f>
        <v>GSW</v>
      </c>
      <c r="F156" s="2"/>
      <c r="G156" s="3">
        <f>Settings!$B$2*AB156+Settings!$B$3*AC156+Settings!$B$4*AD156+Settings!$B$5*AE156+Settings!$B$6*AF156+Settings!$B$7*AG156+Settings!$B$8*AH156+Settings!$B$9*AI156+Settings!$B$10*AJ156</f>
        <v>-3.1931962537369865</v>
      </c>
      <c r="H156" s="3">
        <f>G156-LARGE($G$2:$G$266,Settings!$F$4)</f>
        <v>2.3068512710178624E-2</v>
      </c>
      <c r="I156" t="str">
        <f>IF(INDEX('Player Data'!$R:$R,AL156)="","",INDEX('Player Data'!$R:$R,AL156))</f>
        <v/>
      </c>
      <c r="J156" s="4" t="str">
        <f t="shared" si="14"/>
        <v/>
      </c>
      <c r="L156" s="5">
        <f>IF(Settings!$F$7="Yes",INDEX('Minutes &amp; Health'!$O:$O,AL156),Settings!$F$8)</f>
        <v>72</v>
      </c>
      <c r="M156" s="6">
        <f>INDEX('Minutes &amp; Health'!$P:$P,AL156)</f>
        <v>21.9</v>
      </c>
      <c r="N156" s="5">
        <f>INDEX('Player Data'!$F:$F,AL156)/INDEX('Player Data'!$E:$E,AL156)*M156*L156*AM156</f>
        <v>823.94057142857139</v>
      </c>
      <c r="O156" s="5">
        <f>INDEX('Player Data'!$G:$G,AL156)/INDEX('Player Data'!$E:$E,AL156)*M156*L156*AM156</f>
        <v>224.25599999999997</v>
      </c>
      <c r="P156" s="5">
        <f>INDEX('Player Data'!$H:$H,AL156)/INDEX('Player Data'!$E:$E,AL156)*M156*L156*AM156</f>
        <v>173.19771428571428</v>
      </c>
      <c r="Q156" s="5">
        <f>INDEX('Player Data'!$I:$I,AL156)/INDEX('Player Data'!$E:$E,AL156)*M156*L156*AM156</f>
        <v>109.12457142857141</v>
      </c>
      <c r="R156" s="5">
        <f>INDEX('Player Data'!$J:$J,AL156)/INDEX('Player Data'!$E:$E,AL156)*M156*L156*AM156</f>
        <v>27.030857142857144</v>
      </c>
      <c r="S156" s="5">
        <f>INDEX('Player Data'!$K:$K,AL156)/INDEX('Player Data'!$E:$E,AL156)*M156*L156*AM156</f>
        <v>106.12114285714286</v>
      </c>
      <c r="T156" s="5">
        <f>INDEX('Player Data'!$L:$L,AL156)/INDEX('Player Data'!$E:$E,AL156)*M156*L156*AM156</f>
        <v>122.13942857142857</v>
      </c>
      <c r="U156" s="7">
        <f>INDEX('Player Data'!$M:$M,AL156)</f>
        <v>0.39800000000000002</v>
      </c>
      <c r="V156" s="7">
        <f>INDEX('Player Data'!$N:$N,AL156)</f>
        <v>0.81699999999999995</v>
      </c>
      <c r="W156" s="5">
        <f t="shared" si="15"/>
        <v>288.72038948571429</v>
      </c>
      <c r="X156" s="5">
        <f>INDEX('Player Data'!$O:$O,AL156)/INDEX('Player Data'!$E:$E,AL156)*M156*L156*AM156</f>
        <v>725.42811428571429</v>
      </c>
      <c r="Y156" s="5">
        <f t="shared" si="16"/>
        <v>140.35742537142855</v>
      </c>
      <c r="Z156" s="5">
        <f>INDEX('Player Data'!$P:$P,AL156)/INDEX('Player Data'!$E:$E,AL156)*M156*L156*AM156</f>
        <v>171.79611428571428</v>
      </c>
      <c r="AB156" s="3">
        <f>(N156-Pool!$D$2)/Pool!$E$2</f>
        <v>-1.0240418306451562</v>
      </c>
      <c r="AC156" s="3">
        <f>(O156-Pool!$D$3)/Pool!$E$3</f>
        <v>-1.1941869055617556</v>
      </c>
      <c r="AD156" s="3">
        <f>(P156-Pool!$D$4)/Pool!$E$4</f>
        <v>-0.72276223444964949</v>
      </c>
      <c r="AE156" s="3">
        <f>(Q156-Pool!$D$5)/Pool!$E$5</f>
        <v>1.5408704942127125</v>
      </c>
      <c r="AF156" s="3">
        <f>(R156-Pool!$D$6)/Pool!$E$6</f>
        <v>-0.67441291142419302</v>
      </c>
      <c r="AG156" s="3">
        <f>(S156-Pool!$D$7)/Pool!$E$7</f>
        <v>-0.24353727094770708</v>
      </c>
      <c r="AH156" s="3">
        <f>(AS156-Pool!$D$8)/Pool!$E$8</f>
        <v>-1.3655412351000373</v>
      </c>
      <c r="AI156" s="3">
        <f>(AT156-Pool!$D$9)/Pool!$E$9</f>
        <v>0.12983754962888547</v>
      </c>
      <c r="AJ156" s="3">
        <f>-(T156-Pool!$D$10)/Pool!$E$10</f>
        <v>0.36057809054991413</v>
      </c>
      <c r="AL156">
        <f>MATCH(B156,'Player Data'!$A:$A,0)</f>
        <v>151</v>
      </c>
      <c r="AM156" s="3">
        <f>1+IF(Settings!$F$10="ON",IFERROR(VLOOKUP(TRIM(F156),Settings!$D$12:$F$17,3,FALSE),0),0)</f>
        <v>1</v>
      </c>
      <c r="AN156" t="str">
        <f t="shared" si="17"/>
        <v>PG</v>
      </c>
      <c r="AO156" s="6">
        <f>X156*(U156-Pool!$B$12)</f>
        <v>-59.925273159120813</v>
      </c>
      <c r="AP156" s="6">
        <f>Z156*(V156-Pool!$B$13)</f>
        <v>4.6213743598077333</v>
      </c>
      <c r="AQ156" s="3">
        <f>Settings!$B$2*(N156-Pool!$B$2)/Pool!$C$2+Settings!$B$3*(O156-Pool!$B$3)/Pool!$C$3+Settings!$B$4*(P156-Pool!$B$4)/Pool!$C$4+Settings!$B$5*(Q156-Pool!$B$5)/Pool!$C$5+Settings!$B$6*(R156-Pool!$B$6)/Pool!$C$6+Settings!$B$7*(S156-Pool!$B$7)/Pool!$C$7+Settings!$B$8*(AO156-Pool!$B$8)/Pool!$C$8+Settings!$B$9*(AP156-Pool!$B$9)/Pool!$C$9+Settings!$B$10*-(T156-Pool!$B$10)/Pool!$C$10</f>
        <v>-1.5039167170392538</v>
      </c>
      <c r="AR156">
        <f>IF(RANK(AQ156,$AQ$2:$AQ$266)&lt;=Settings!$F$5,1,0)</f>
        <v>0</v>
      </c>
      <c r="AS156" s="6">
        <f>X156*(U156-Pool!$D$12)</f>
        <v>-62.440204360872762</v>
      </c>
      <c r="AT156" s="6">
        <f>Z156*(V156-Pool!$D$13)</f>
        <v>2.8967520737634178</v>
      </c>
    </row>
    <row r="157" spans="1:46" x14ac:dyDescent="0.2">
      <c r="A157">
        <f t="shared" si="12"/>
        <v>156</v>
      </c>
      <c r="B157" t="s">
        <v>198</v>
      </c>
      <c r="C157" t="str">
        <f>INDEX('Player Data'!$C:$C,AL157)</f>
        <v>PF,C</v>
      </c>
      <c r="D157">
        <f t="shared" si="13"/>
        <v>45</v>
      </c>
      <c r="E157" t="str">
        <f>INDEX('Player Data'!$B:$B,AL157)</f>
        <v>MIA</v>
      </c>
      <c r="F157" s="2"/>
      <c r="G157" s="3">
        <f>Settings!$B$2*AB157+Settings!$B$3*AC157+Settings!$B$4*AD157+Settings!$B$5*AE157+Settings!$B$6*AF157+Settings!$B$7*AG157+Settings!$B$8*AH157+Settings!$B$9*AI157+Settings!$B$10*AJ157</f>
        <v>-3.1980853465778756</v>
      </c>
      <c r="H157" s="3">
        <f>G157-LARGE($G$2:$G$266,Settings!$F$4)</f>
        <v>1.8179419869289504E-2</v>
      </c>
      <c r="I157">
        <f>IF(INDEX('Player Data'!$R:$R,AL157)="","",INDEX('Player Data'!$R:$R,AL157))</f>
        <v>152</v>
      </c>
      <c r="J157" s="4">
        <f t="shared" si="14"/>
        <v>-4</v>
      </c>
      <c r="L157" s="5">
        <f>IF(Settings!$F$7="Yes",INDEX('Minutes &amp; Health'!$O:$O,AL157),Settings!$F$8)</f>
        <v>72</v>
      </c>
      <c r="M157" s="6">
        <f>INDEX('Minutes &amp; Health'!$P:$P,AL157)</f>
        <v>22.6</v>
      </c>
      <c r="N157" s="5">
        <f>INDEX('Player Data'!$F:$F,AL157)/INDEX('Player Data'!$E:$E,AL157)*M157*L157*AM157</f>
        <v>888.56314496314508</v>
      </c>
      <c r="O157" s="5">
        <f>INDEX('Player Data'!$G:$G,AL157)/INDEX('Player Data'!$E:$E,AL157)*M157*L157*AM157</f>
        <v>461.77297297297298</v>
      </c>
      <c r="P157" s="5">
        <f>INDEX('Player Data'!$H:$H,AL157)/INDEX('Player Data'!$E:$E,AL157)*M157*L157*AM157</f>
        <v>115.94299754299756</v>
      </c>
      <c r="Q157" s="5">
        <f>INDEX('Player Data'!$I:$I,AL157)/INDEX('Player Data'!$E:$E,AL157)*M157*L157*AM157</f>
        <v>44.977886977886982</v>
      </c>
      <c r="R157" s="5">
        <f>INDEX('Player Data'!$J:$J,AL157)/INDEX('Player Data'!$E:$E,AL157)*M157*L157*AM157</f>
        <v>16.991646191646193</v>
      </c>
      <c r="S157" s="5">
        <f>INDEX('Player Data'!$K:$K,AL157)/INDEX('Player Data'!$E:$E,AL157)*M157*L157*AM157</f>
        <v>108.94643734643735</v>
      </c>
      <c r="T157" s="5">
        <f>INDEX('Player Data'!$L:$L,AL157)/INDEX('Player Data'!$E:$E,AL157)*M157*L157*AM157</f>
        <v>64.968058968058969</v>
      </c>
      <c r="U157" s="7">
        <f>INDEX('Player Data'!$M:$M,AL157)</f>
        <v>0.47799999999999998</v>
      </c>
      <c r="V157" s="7">
        <f>INDEX('Player Data'!$N:$N,AL157)</f>
        <v>0.752</v>
      </c>
      <c r="W157" s="5">
        <f t="shared" si="15"/>
        <v>355.60057179361183</v>
      </c>
      <c r="X157" s="5">
        <f>INDEX('Player Data'!$O:$O,AL157)/INDEX('Player Data'!$E:$E,AL157)*M157*L157*AM157</f>
        <v>743.93425061425069</v>
      </c>
      <c r="Y157" s="5">
        <f t="shared" si="16"/>
        <v>68.39837248157248</v>
      </c>
      <c r="Z157" s="5">
        <f>INDEX('Player Data'!$P:$P,AL157)/INDEX('Player Data'!$E:$E,AL157)*M157*L157*AM157</f>
        <v>90.955282555282551</v>
      </c>
      <c r="AB157" s="3">
        <f>(N157-Pool!$D$2)/Pool!$E$2</f>
        <v>-0.8647496973507437</v>
      </c>
      <c r="AC157" s="3">
        <f>(O157-Pool!$D$3)/Pool!$E$3</f>
        <v>0.18828293312100777</v>
      </c>
      <c r="AD157" s="3">
        <f>(P157-Pool!$D$4)/Pool!$E$4</f>
        <v>-1.109994642152478</v>
      </c>
      <c r="AE157" s="3">
        <f>(Q157-Pool!$D$5)/Pool!$E$5</f>
        <v>-1.2910881778898515</v>
      </c>
      <c r="AF157" s="3">
        <f>(R157-Pool!$D$6)/Pool!$E$6</f>
        <v>-0.9649549626004349</v>
      </c>
      <c r="AG157" s="3">
        <f>(S157-Pool!$D$7)/Pool!$E$7</f>
        <v>-0.20374494229792189</v>
      </c>
      <c r="AH157" s="3">
        <f>(AS157-Pool!$D$8)/Pool!$E$8</f>
        <v>-9.8814517204247429E-2</v>
      </c>
      <c r="AI157" s="3">
        <f>(AT157-Pool!$D$9)/Pool!$E$9</f>
        <v>-0.19624962718453506</v>
      </c>
      <c r="AJ157" s="3">
        <f>-(T157-Pool!$D$10)/Pool!$E$10</f>
        <v>1.3432282869813295</v>
      </c>
      <c r="AL157">
        <f>MATCH(B157,'Player Data'!$A:$A,0)</f>
        <v>132</v>
      </c>
      <c r="AM157" s="3">
        <f>1+IF(Settings!$F$10="ON",IFERROR(VLOOKUP(TRIM(F157),Settings!$D$12:$F$17,3,FALSE),0),0)</f>
        <v>1</v>
      </c>
      <c r="AN157" t="str">
        <f t="shared" si="17"/>
        <v>PF</v>
      </c>
      <c r="AO157" s="6">
        <f>X157*(U157-Pool!$B$12)</f>
        <v>-1.9392652514134718</v>
      </c>
      <c r="AP157" s="6">
        <f>Z157*(V157-Pool!$B$13)</f>
        <v>-3.4653650891604775</v>
      </c>
      <c r="AQ157" s="3">
        <f>Settings!$B$2*(N157-Pool!$B$2)/Pool!$C$2+Settings!$B$3*(O157-Pool!$B$3)/Pool!$C$3+Settings!$B$4*(P157-Pool!$B$4)/Pool!$C$4+Settings!$B$5*(Q157-Pool!$B$5)/Pool!$C$5+Settings!$B$6*(R157-Pool!$B$6)/Pool!$C$6+Settings!$B$7*(S157-Pool!$B$7)/Pool!$C$7+Settings!$B$8*(AO157-Pool!$B$8)/Pool!$C$8+Settings!$B$9*(AP157-Pool!$B$9)/Pool!$C$9+Settings!$B$10*-(T157-Pool!$B$10)/Pool!$C$10</f>
        <v>-1.1411420689876484</v>
      </c>
      <c r="AR157">
        <f>IF(RANK(AQ157,$AQ$2:$AQ$266)&lt;=Settings!$F$5,1,0)</f>
        <v>1</v>
      </c>
      <c r="AS157" s="6">
        <f>X157*(U157-Pool!$D$12)</f>
        <v>-4.5183539606564764</v>
      </c>
      <c r="AT157" s="6">
        <f>Z157*(V157-Pool!$D$13)</f>
        <v>-4.3784445728292303</v>
      </c>
    </row>
    <row r="158" spans="1:46" x14ac:dyDescent="0.2">
      <c r="A158">
        <f t="shared" si="12"/>
        <v>157</v>
      </c>
      <c r="B158" t="s">
        <v>199</v>
      </c>
      <c r="C158" t="str">
        <f>INDEX('Player Data'!$C:$C,AL158)</f>
        <v>PF,SF,SG</v>
      </c>
      <c r="D158">
        <f t="shared" si="13"/>
        <v>46</v>
      </c>
      <c r="E158" t="str">
        <f>INDEX('Player Data'!$B:$B,AL158)</f>
        <v>NOR</v>
      </c>
      <c r="F158" s="2"/>
      <c r="G158" s="3">
        <f>Settings!$B$2*AB158+Settings!$B$3*AC158+Settings!$B$4*AD158+Settings!$B$5*AE158+Settings!$B$6*AF158+Settings!$B$7*AG158+Settings!$B$8*AH158+Settings!$B$9*AI158+Settings!$B$10*AJ158</f>
        <v>-3.2162647664471651</v>
      </c>
      <c r="H158" s="3">
        <f>G158-LARGE($G$2:$G$266,Settings!$F$4)</f>
        <v>0</v>
      </c>
      <c r="I158" t="str">
        <f>IF(INDEX('Player Data'!$R:$R,AL158)="","",INDEX('Player Data'!$R:$R,AL158))</f>
        <v/>
      </c>
      <c r="J158" s="4" t="str">
        <f t="shared" si="14"/>
        <v/>
      </c>
      <c r="L158" s="5">
        <f>IF(Settings!$F$7="Yes",INDEX('Minutes &amp; Health'!$O:$O,AL158),Settings!$F$8)</f>
        <v>71</v>
      </c>
      <c r="M158" s="6">
        <f>INDEX('Minutes &amp; Health'!$P:$P,AL158)</f>
        <v>28.1</v>
      </c>
      <c r="N158" s="5">
        <f>INDEX('Player Data'!$F:$F,AL158)/INDEX('Player Data'!$E:$E,AL158)*M158*L158*AM158</f>
        <v>616.41296945418128</v>
      </c>
      <c r="O158" s="5">
        <f>INDEX('Player Data'!$G:$G,AL158)/INDEX('Player Data'!$E:$E,AL158)*M158*L158*AM158</f>
        <v>229.78117175763646</v>
      </c>
      <c r="P158" s="5">
        <f>INDEX('Player Data'!$H:$H,AL158)/INDEX('Player Data'!$E:$E,AL158)*M158*L158*AM158</f>
        <v>183.82493740610917</v>
      </c>
      <c r="Q158" s="5">
        <f>INDEX('Player Data'!$I:$I,AL158)/INDEX('Player Data'!$E:$E,AL158)*M158*L158*AM158</f>
        <v>100.90390585878818</v>
      </c>
      <c r="R158" s="5">
        <f>INDEX('Player Data'!$J:$J,AL158)/INDEX('Player Data'!$E:$E,AL158)*M158*L158*AM158</f>
        <v>31.969554331497246</v>
      </c>
      <c r="S158" s="5">
        <f>INDEX('Player Data'!$K:$K,AL158)/INDEX('Player Data'!$E:$E,AL158)*M158*L158*AM158</f>
        <v>89.914371557335997</v>
      </c>
      <c r="T158" s="5">
        <f>INDEX('Player Data'!$L:$L,AL158)/INDEX('Player Data'!$E:$E,AL158)*M158*L158*AM158</f>
        <v>89.914371557335997</v>
      </c>
      <c r="U158" s="7">
        <f>INDEX('Player Data'!$M:$M,AL158)</f>
        <v>0.40200000000000002</v>
      </c>
      <c r="V158" s="7">
        <f>INDEX('Player Data'!$N:$N,AL158)</f>
        <v>0.81299999999999994</v>
      </c>
      <c r="W158" s="5">
        <f t="shared" si="15"/>
        <v>226.11066730095141</v>
      </c>
      <c r="X158" s="5">
        <f>INDEX('Player Data'!$O:$O,AL158)/INDEX('Player Data'!$E:$E,AL158)*M158*L158*AM158</f>
        <v>562.46434651977961</v>
      </c>
      <c r="Y158" s="5">
        <f t="shared" si="16"/>
        <v>74.318723810716079</v>
      </c>
      <c r="Z158" s="5">
        <f>INDEX('Player Data'!$P:$P,AL158)/INDEX('Player Data'!$E:$E,AL158)*M158*L158*AM158</f>
        <v>91.412944416624953</v>
      </c>
      <c r="AB158" s="3">
        <f>(N158-Pool!$D$2)/Pool!$E$2</f>
        <v>-1.5355893074457863</v>
      </c>
      <c r="AC158" s="3">
        <f>(O158-Pool!$D$3)/Pool!$E$3</f>
        <v>-1.1620275899016346</v>
      </c>
      <c r="AD158" s="3">
        <f>(P158-Pool!$D$4)/Pool!$E$4</f>
        <v>-0.65088684268763941</v>
      </c>
      <c r="AE158" s="3">
        <f>(Q158-Pool!$D$5)/Pool!$E$5</f>
        <v>1.1779431605529258</v>
      </c>
      <c r="AF158" s="3">
        <f>(R158-Pool!$D$6)/Pool!$E$6</f>
        <v>-0.53148343038238344</v>
      </c>
      <c r="AG158" s="3">
        <f>(S158-Pool!$D$7)/Pool!$E$7</f>
        <v>-0.47179849198412416</v>
      </c>
      <c r="AH158" s="3">
        <f>(AS158-Pool!$D$8)/Pool!$E$8</f>
        <v>-1.0095758396728669</v>
      </c>
      <c r="AI158" s="3">
        <f>(AT158-Pool!$D$9)/Pool!$E$9</f>
        <v>5.2697576323237585E-2</v>
      </c>
      <c r="AJ158" s="3">
        <f>-(T158-Pool!$D$10)/Pool!$E$10</f>
        <v>0.91445599875110706</v>
      </c>
      <c r="AL158">
        <f>MATCH(B158,'Player Data'!$A:$A,0)</f>
        <v>204</v>
      </c>
      <c r="AM158" s="3">
        <f>1+IF(Settings!$F$10="ON",IFERROR(VLOOKUP(TRIM(F158),Settings!$D$12:$F$17,3,FALSE),0),0)</f>
        <v>1</v>
      </c>
      <c r="AN158" t="str">
        <f t="shared" si="17"/>
        <v>PF</v>
      </c>
      <c r="AO158" s="6">
        <f>X158*(U158-Pool!$B$12)</f>
        <v>-44.213505342359234</v>
      </c>
      <c r="AP158" s="6">
        <f>Z158*(V158-Pool!$B$13)</f>
        <v>2.0933877602065007</v>
      </c>
      <c r="AQ158" s="3">
        <f>Settings!$B$2*(N158-Pool!$B$2)/Pool!$C$2+Settings!$B$3*(O158-Pool!$B$3)/Pool!$C$3+Settings!$B$4*(P158-Pool!$B$4)/Pool!$C$4+Settings!$B$5*(Q158-Pool!$B$5)/Pool!$C$5+Settings!$B$6*(R158-Pool!$B$6)/Pool!$C$6+Settings!$B$7*(S158-Pool!$B$7)/Pool!$C$7+Settings!$B$8*(AO158-Pool!$B$8)/Pool!$C$8+Settings!$B$9*(AP158-Pool!$B$9)/Pool!$C$9+Settings!$B$10*-(T158-Pool!$B$10)/Pool!$C$10</f>
        <v>-1.4366429335720483</v>
      </c>
      <c r="AR158">
        <f>IF(RANK(AQ158,$AQ$2:$AQ$266)&lt;=Settings!$F$5,1,0)</f>
        <v>0</v>
      </c>
      <c r="AS158" s="6">
        <f>X158*(U158-Pool!$D$12)</f>
        <v>-46.163469931653438</v>
      </c>
      <c r="AT158" s="6">
        <f>Z158*(V158-Pool!$D$13)</f>
        <v>1.1757139127546941</v>
      </c>
    </row>
    <row r="159" spans="1:46" x14ac:dyDescent="0.2">
      <c r="A159">
        <f t="shared" si="12"/>
        <v>158</v>
      </c>
      <c r="B159" t="s">
        <v>200</v>
      </c>
      <c r="C159" t="str">
        <f>INDEX('Player Data'!$C:$C,AL159)</f>
        <v>PF,SF,SG</v>
      </c>
      <c r="D159">
        <f t="shared" si="13"/>
        <v>47</v>
      </c>
      <c r="E159" t="str">
        <f>INDEX('Player Data'!$B:$B,AL159)</f>
        <v>HOU</v>
      </c>
      <c r="F159" s="2"/>
      <c r="G159" s="3">
        <f>Settings!$B$2*AB159+Settings!$B$3*AC159+Settings!$B$4*AD159+Settings!$B$5*AE159+Settings!$B$6*AF159+Settings!$B$7*AG159+Settings!$B$8*AH159+Settings!$B$9*AI159+Settings!$B$10*AJ159</f>
        <v>-3.2203959666303104</v>
      </c>
      <c r="H159" s="3">
        <f>G159-LARGE($G$2:$G$266,Settings!$F$4)</f>
        <v>-4.1312001831452783E-3</v>
      </c>
      <c r="I159" t="str">
        <f>IF(INDEX('Player Data'!$R:$R,AL159)="","",INDEX('Player Data'!$R:$R,AL159))</f>
        <v/>
      </c>
      <c r="J159" s="4" t="str">
        <f t="shared" si="14"/>
        <v/>
      </c>
      <c r="L159" s="5">
        <f>IF(Settings!$F$7="Yes",INDEX('Minutes &amp; Health'!$O:$O,AL159),Settings!$F$8)</f>
        <v>72</v>
      </c>
      <c r="M159" s="6">
        <f>INDEX('Minutes &amp; Health'!$P:$P,AL159)</f>
        <v>22</v>
      </c>
      <c r="N159" s="5">
        <f>INDEX('Player Data'!$F:$F,AL159)/INDEX('Player Data'!$E:$E,AL159)*M159*L159*AM159</f>
        <v>653.41250789639923</v>
      </c>
      <c r="O159" s="5">
        <f>INDEX('Player Data'!$G:$G,AL159)/INDEX('Player Data'!$E:$E,AL159)*M159*L159*AM159</f>
        <v>381.24068224889447</v>
      </c>
      <c r="P159" s="5">
        <f>INDEX('Player Data'!$H:$H,AL159)/INDEX('Player Data'!$E:$E,AL159)*M159*L159*AM159</f>
        <v>86.054327226784579</v>
      </c>
      <c r="Q159" s="5">
        <f>INDEX('Player Data'!$I:$I,AL159)/INDEX('Player Data'!$E:$E,AL159)*M159*L159*AM159</f>
        <v>81.051168667087794</v>
      </c>
      <c r="R159" s="5">
        <f>INDEX('Player Data'!$J:$J,AL159)/INDEX('Player Data'!$E:$E,AL159)*M159*L159*AM159</f>
        <v>36.022741629816807</v>
      </c>
      <c r="S159" s="5">
        <f>INDEX('Player Data'!$K:$K,AL159)/INDEX('Player Data'!$E:$E,AL159)*M159*L159*AM159</f>
        <v>86.054327226784579</v>
      </c>
      <c r="T159" s="5">
        <f>INDEX('Player Data'!$L:$L,AL159)/INDEX('Player Data'!$E:$E,AL159)*M159*L159*AM159</f>
        <v>80.050536955148459</v>
      </c>
      <c r="U159" s="7">
        <f>INDEX('Player Data'!$M:$M,AL159)</f>
        <v>0.44400000000000001</v>
      </c>
      <c r="V159" s="7">
        <f>INDEX('Player Data'!$N:$N,AL159)</f>
        <v>0.76500000000000001</v>
      </c>
      <c r="W159" s="5">
        <f t="shared" si="15"/>
        <v>251.68489197725842</v>
      </c>
      <c r="X159" s="5">
        <f>INDEX('Player Data'!$O:$O,AL159)/INDEX('Player Data'!$E:$E,AL159)*M159*L159*AM159</f>
        <v>566.85786481364505</v>
      </c>
      <c r="Y159" s="5">
        <f t="shared" si="16"/>
        <v>63.994400505369555</v>
      </c>
      <c r="Z159" s="5">
        <f>INDEX('Player Data'!$P:$P,AL159)/INDEX('Player Data'!$E:$E,AL159)*M159*L159*AM159</f>
        <v>83.652811118130131</v>
      </c>
      <c r="AB159" s="3">
        <f>(N159-Pool!$D$2)/Pool!$E$2</f>
        <v>-1.4443868825498429</v>
      </c>
      <c r="AC159" s="3">
        <f>(O159-Pool!$D$3)/Pool!$E$3</f>
        <v>-0.28045604402459107</v>
      </c>
      <c r="AD159" s="3">
        <f>(P159-Pool!$D$4)/Pool!$E$4</f>
        <v>-1.3121415119307744</v>
      </c>
      <c r="AE159" s="3">
        <f>(Q159-Pool!$D$5)/Pool!$E$5</f>
        <v>0.30148116198724423</v>
      </c>
      <c r="AF159" s="3">
        <f>(R159-Pool!$D$6)/Pool!$E$6</f>
        <v>-0.41418124825090746</v>
      </c>
      <c r="AG159" s="3">
        <f>(S159-Pool!$D$7)/Pool!$E$7</f>
        <v>-0.52616456008288648</v>
      </c>
      <c r="AH159" s="3">
        <f>(AS159-Pool!$D$8)/Pool!$E$8</f>
        <v>-0.4967901362577678</v>
      </c>
      <c r="AI159" s="3">
        <f>(AT159-Pool!$D$9)/Pool!$E$9</f>
        <v>-0.13175038306995387</v>
      </c>
      <c r="AJ159" s="3">
        <f>-(T159-Pool!$D$10)/Pool!$E$10</f>
        <v>1.083993637549169</v>
      </c>
      <c r="AL159">
        <f>MATCH(B159,'Player Data'!$A:$A,0)</f>
        <v>196</v>
      </c>
      <c r="AM159" s="3">
        <f>1+IF(Settings!$F$10="ON",IFERROR(VLOOKUP(TRIM(F159),Settings!$D$12:$F$17,3,FALSE),0),0)</f>
        <v>1</v>
      </c>
      <c r="AN159" t="str">
        <f t="shared" si="17"/>
        <v>PF</v>
      </c>
      <c r="AO159" s="6">
        <f>X159*(U159-Pool!$B$12)</f>
        <v>-20.750835300814611</v>
      </c>
      <c r="AP159" s="6">
        <f>Z159*(V159-Pool!$B$13)</f>
        <v>-2.0996568858935425</v>
      </c>
      <c r="AQ159" s="3">
        <f>Settings!$B$2*(N159-Pool!$B$2)/Pool!$C$2+Settings!$B$3*(O159-Pool!$B$3)/Pool!$C$3+Settings!$B$4*(P159-Pool!$B$4)/Pool!$C$4+Settings!$B$5*(Q159-Pool!$B$5)/Pool!$C$5+Settings!$B$6*(R159-Pool!$B$6)/Pool!$C$6+Settings!$B$7*(S159-Pool!$B$7)/Pool!$C$7+Settings!$B$8*(AO159-Pool!$B$8)/Pool!$C$8+Settings!$B$9*(AP159-Pool!$B$9)/Pool!$C$9+Settings!$B$10*-(T159-Pool!$B$10)/Pool!$C$10</f>
        <v>-1.3034519454738738</v>
      </c>
      <c r="AR159">
        <f>IF(RANK(AQ159,$AQ$2:$AQ$266)&lt;=Settings!$F$5,1,0)</f>
        <v>0</v>
      </c>
      <c r="AS159" s="6">
        <f>X159*(U159-Pool!$D$12)</f>
        <v>-22.71603144238135</v>
      </c>
      <c r="AT159" s="6">
        <f>Z159*(V159-Pool!$D$13)</f>
        <v>-2.9394285125360882</v>
      </c>
    </row>
    <row r="160" spans="1:46" x14ac:dyDescent="0.2">
      <c r="A160">
        <f t="shared" si="12"/>
        <v>159</v>
      </c>
      <c r="B160" t="s">
        <v>201</v>
      </c>
      <c r="C160" t="str">
        <f>INDEX('Player Data'!$C:$C,AL160)</f>
        <v>PG</v>
      </c>
      <c r="D160">
        <f t="shared" si="13"/>
        <v>54</v>
      </c>
      <c r="E160" t="str">
        <f>INDEX('Player Data'!$B:$B,AL160)</f>
        <v>BKN</v>
      </c>
      <c r="F160" s="2"/>
      <c r="G160" s="3">
        <f>Settings!$B$2*AB160+Settings!$B$3*AC160+Settings!$B$4*AD160+Settings!$B$5*AE160+Settings!$B$6*AF160+Settings!$B$7*AG160+Settings!$B$8*AH160+Settings!$B$9*AI160+Settings!$B$10*AJ160</f>
        <v>-3.2544907532406331</v>
      </c>
      <c r="H160" s="3">
        <f>G160-LARGE($G$2:$G$266,Settings!$F$4)</f>
        <v>-3.8225986793468003E-2</v>
      </c>
      <c r="I160">
        <f>IF(INDEX('Player Data'!$R:$R,AL160)="","",INDEX('Player Data'!$R:$R,AL160))</f>
        <v>186</v>
      </c>
      <c r="J160" s="4">
        <f t="shared" si="14"/>
        <v>27</v>
      </c>
      <c r="L160" s="5">
        <f>IF(Settings!$F$7="Yes",INDEX('Minutes &amp; Health'!$O:$O,AL160),Settings!$F$8)</f>
        <v>75</v>
      </c>
      <c r="M160" s="6">
        <f>INDEX('Minutes &amp; Health'!$P:$P,AL160)</f>
        <v>31.3</v>
      </c>
      <c r="N160" s="5">
        <f>INDEX('Player Data'!$F:$F,AL160)/INDEX('Player Data'!$E:$E,AL160)*M160*L160*AM160</f>
        <v>1150.2449936088624</v>
      </c>
      <c r="O160" s="5">
        <f>INDEX('Player Data'!$G:$G,AL160)/INDEX('Player Data'!$E:$E,AL160)*M160*L160*AM160</f>
        <v>208.04431188751599</v>
      </c>
      <c r="P160" s="5">
        <f>INDEX('Player Data'!$H:$H,AL160)/INDEX('Player Data'!$E:$E,AL160)*M160*L160*AM160</f>
        <v>366.07797187899445</v>
      </c>
      <c r="Q160" s="5">
        <f>INDEX('Player Data'!$I:$I,AL160)/INDEX('Player Data'!$E:$E,AL160)*M160*L160*AM160</f>
        <v>114.02428632296548</v>
      </c>
      <c r="R160" s="5">
        <f>INDEX('Player Data'!$J:$J,AL160)/INDEX('Player Data'!$E:$E,AL160)*M160*L160*AM160</f>
        <v>16.003408606731998</v>
      </c>
      <c r="S160" s="5">
        <f>INDEX('Player Data'!$K:$K,AL160)/INDEX('Player Data'!$E:$E,AL160)*M160*L160*AM160</f>
        <v>96.020451640391983</v>
      </c>
      <c r="T160" s="5">
        <f>INDEX('Player Data'!$L:$L,AL160)/INDEX('Player Data'!$E:$E,AL160)*M160*L160*AM160</f>
        <v>231.04921175969324</v>
      </c>
      <c r="U160" s="7">
        <f>INDEX('Player Data'!$M:$M,AL160)</f>
        <v>0.43099999999999999</v>
      </c>
      <c r="V160" s="7">
        <f>INDEX('Player Data'!$N:$N,AL160)</f>
        <v>0.79600000000000004</v>
      </c>
      <c r="W160" s="5">
        <f t="shared" si="15"/>
        <v>426.0480450575202</v>
      </c>
      <c r="X160" s="5">
        <f>INDEX('Player Data'!$O:$O,AL160)/INDEX('Player Data'!$E:$E,AL160)*M160*L160*AM160</f>
        <v>988.51054537707705</v>
      </c>
      <c r="Y160" s="5">
        <f t="shared" si="16"/>
        <v>202.14745590115044</v>
      </c>
      <c r="Z160" s="5">
        <f>INDEX('Player Data'!$P:$P,AL160)/INDEX('Player Data'!$E:$E,AL160)*M160*L160*AM160</f>
        <v>253.95409032807842</v>
      </c>
      <c r="AB160" s="3">
        <f>(N160-Pool!$D$2)/Pool!$E$2</f>
        <v>-0.21971410629832877</v>
      </c>
      <c r="AC160" s="3">
        <f>(O160-Pool!$D$3)/Pool!$E$3</f>
        <v>-1.2885471930355745</v>
      </c>
      <c r="AD160" s="3">
        <f>(P160-Pool!$D$4)/Pool!$E$4</f>
        <v>0.58175014104278144</v>
      </c>
      <c r="AE160" s="3">
        <f>(Q160-Pool!$D$5)/Pool!$E$5</f>
        <v>1.7571839358945971</v>
      </c>
      <c r="AF160" s="3">
        <f>(R160-Pool!$D$6)/Pool!$E$6</f>
        <v>-0.99355527554990919</v>
      </c>
      <c r="AG160" s="3">
        <f>(S160-Pool!$D$7)/Pool!$E$7</f>
        <v>-0.38579855592523027</v>
      </c>
      <c r="AH160" s="3">
        <f>(AS160-Pool!$D$8)/Pool!$E$8</f>
        <v>-1.147361573499164</v>
      </c>
      <c r="AI160" s="3">
        <f>(AT160-Pool!$D$9)/Pool!$E$9</f>
        <v>-4.7106397361483636E-2</v>
      </c>
      <c r="AJ160" s="3">
        <f>-(T160-Pool!$D$10)/Pool!$E$10</f>
        <v>-1.5113417285083213</v>
      </c>
      <c r="AL160">
        <f>MATCH(B160,'Player Data'!$A:$A,0)</f>
        <v>90</v>
      </c>
      <c r="AM160" s="3">
        <f>1+IF(Settings!$F$10="ON",IFERROR(VLOOKUP(TRIM(F160),Settings!$D$12:$F$17,3,FALSE),0),0)</f>
        <v>1</v>
      </c>
      <c r="AN160" t="str">
        <f t="shared" si="17"/>
        <v>PG</v>
      </c>
      <c r="AO160" s="6">
        <f>X160*(U160-Pool!$B$12)</f>
        <v>-49.036814954756423</v>
      </c>
      <c r="AP160" s="6">
        <f>Z160*(V160-Pool!$B$13)</f>
        <v>1.4984161792535851</v>
      </c>
      <c r="AQ160" s="3">
        <f>Settings!$B$2*(N160-Pool!$B$2)/Pool!$C$2+Settings!$B$3*(O160-Pool!$B$3)/Pool!$C$3+Settings!$B$4*(P160-Pool!$B$4)/Pool!$C$4+Settings!$B$5*(Q160-Pool!$B$5)/Pool!$C$5+Settings!$B$6*(R160-Pool!$B$6)/Pool!$C$6+Settings!$B$7*(S160-Pool!$B$7)/Pool!$C$7+Settings!$B$8*(AO160-Pool!$B$8)/Pool!$C$8+Settings!$B$9*(AP160-Pool!$B$9)/Pool!$C$9+Settings!$B$10*-(T160-Pool!$B$10)/Pool!$C$10</f>
        <v>-1.5672402185865806</v>
      </c>
      <c r="AR160">
        <f>IF(RANK(AQ160,$AQ$2:$AQ$266)&lt;=Settings!$F$5,1,0)</f>
        <v>0</v>
      </c>
      <c r="AS160" s="6">
        <f>X160*(U160-Pool!$D$12)</f>
        <v>-52.463806499297668</v>
      </c>
      <c r="AT160" s="6">
        <f>Z160*(V160-Pool!$D$13)</f>
        <v>-1.050971422630814</v>
      </c>
    </row>
    <row r="161" spans="1:46" x14ac:dyDescent="0.2">
      <c r="A161">
        <f t="shared" si="12"/>
        <v>160</v>
      </c>
      <c r="B161" t="s">
        <v>202</v>
      </c>
      <c r="C161" t="str">
        <f>INDEX('Player Data'!$C:$C,AL161)</f>
        <v>PG,SG,SF</v>
      </c>
      <c r="D161">
        <f t="shared" si="13"/>
        <v>55</v>
      </c>
      <c r="E161" t="str">
        <f>INDEX('Player Data'!$B:$B,AL161)</f>
        <v>ORL</v>
      </c>
      <c r="F161" s="2"/>
      <c r="G161" s="3">
        <f>Settings!$B$2*AB161+Settings!$B$3*AC161+Settings!$B$4*AD161+Settings!$B$5*AE161+Settings!$B$6*AF161+Settings!$B$7*AG161+Settings!$B$8*AH161+Settings!$B$9*AI161+Settings!$B$10*AJ161</f>
        <v>-3.2933869281575987</v>
      </c>
      <c r="H161" s="3">
        <f>G161-LARGE($G$2:$G$266,Settings!$F$4)</f>
        <v>-7.7122161710433623E-2</v>
      </c>
      <c r="I161">
        <f>IF(INDEX('Player Data'!$R:$R,AL161)="","",INDEX('Player Data'!$R:$R,AL161))</f>
        <v>174</v>
      </c>
      <c r="J161" s="4">
        <f t="shared" si="14"/>
        <v>14</v>
      </c>
      <c r="L161" s="5">
        <f>IF(Settings!$F$7="Yes",INDEX('Minutes &amp; Health'!$O:$O,AL161),Settings!$F$8)</f>
        <v>74</v>
      </c>
      <c r="M161" s="6">
        <f>INDEX('Minutes &amp; Health'!$P:$P,AL161)</f>
        <v>25.9</v>
      </c>
      <c r="N161" s="5">
        <f>INDEX('Player Data'!$F:$F,AL161)/INDEX('Player Data'!$E:$E,AL161)*M161*L161*AM161</f>
        <v>859.82055294731344</v>
      </c>
      <c r="O161" s="5">
        <f>INDEX('Player Data'!$G:$G,AL161)/INDEX('Player Data'!$E:$E,AL161)*M161*L161*AM161</f>
        <v>242.94929577464788</v>
      </c>
      <c r="P161" s="5">
        <f>INDEX('Player Data'!$H:$H,AL161)/INDEX('Player Data'!$E:$E,AL161)*M161*L161*AM161</f>
        <v>225.95284298382887</v>
      </c>
      <c r="Q161" s="5">
        <f>INDEX('Player Data'!$I:$I,AL161)/INDEX('Player Data'!$E:$E,AL161)*M161*L161*AM161</f>
        <v>90.981011997913399</v>
      </c>
      <c r="R161" s="5">
        <f>INDEX('Player Data'!$J:$J,AL161)/INDEX('Player Data'!$E:$E,AL161)*M161*L161*AM161</f>
        <v>44.990610328638489</v>
      </c>
      <c r="S161" s="5">
        <f>INDEX('Player Data'!$K:$K,AL161)/INDEX('Player Data'!$E:$E,AL161)*M161*L161*AM161</f>
        <v>83.982472613458526</v>
      </c>
      <c r="T161" s="5">
        <f>INDEX('Player Data'!$L:$L,AL161)/INDEX('Player Data'!$E:$E,AL161)*M161*L161*AM161</f>
        <v>125.9737089201878</v>
      </c>
      <c r="U161" s="7">
        <f>INDEX('Player Data'!$M:$M,AL161)</f>
        <v>0.442</v>
      </c>
      <c r="V161" s="7">
        <f>INDEX('Player Data'!$N:$N,AL161)</f>
        <v>0.73699999999999999</v>
      </c>
      <c r="W161" s="5">
        <f t="shared" si="15"/>
        <v>312.2962228690663</v>
      </c>
      <c r="X161" s="5">
        <f>INDEX('Player Data'!$O:$O,AL161)/INDEX('Player Data'!$E:$E,AL161)*M161*L161*AM161</f>
        <v>706.55254042775175</v>
      </c>
      <c r="Y161" s="5">
        <f t="shared" si="16"/>
        <v>151.27452856546688</v>
      </c>
      <c r="Z161" s="5">
        <f>INDEX('Player Data'!$P:$P,AL161)/INDEX('Player Data'!$E:$E,AL161)*M161*L161*AM161</f>
        <v>205.25716223265519</v>
      </c>
      <c r="AB161" s="3">
        <f>(N161-Pool!$D$2)/Pool!$E$2</f>
        <v>-0.93559907007285048</v>
      </c>
      <c r="AC161" s="3">
        <f>(O161-Pool!$D$3)/Pool!$E$3</f>
        <v>-1.0853823966858054</v>
      </c>
      <c r="AD161" s="3">
        <f>(P161-Pool!$D$4)/Pool!$E$4</f>
        <v>-0.36596201489320268</v>
      </c>
      <c r="AE161" s="3">
        <f>(Q161-Pool!$D$5)/Pool!$E$5</f>
        <v>0.73986556445734475</v>
      </c>
      <c r="AF161" s="3">
        <f>(R161-Pool!$D$6)/Pool!$E$6</f>
        <v>-0.15464461941648905</v>
      </c>
      <c r="AG161" s="3">
        <f>(S161-Pool!$D$7)/Pool!$E$7</f>
        <v>-0.55534520656078024</v>
      </c>
      <c r="AH161" s="3">
        <f>(AS161-Pool!$D$8)/Pool!$E$8</f>
        <v>-0.65012155937401161</v>
      </c>
      <c r="AI161" s="3">
        <f>(AT161-Pool!$D$9)/Pool!$E$9</f>
        <v>-0.58087286366718416</v>
      </c>
      <c r="AJ161" s="3">
        <f>-(T161-Pool!$D$10)/Pool!$E$10</f>
        <v>0.29467523805537965</v>
      </c>
      <c r="AL161">
        <f>MATCH(B161,'Player Data'!$A:$A,0)</f>
        <v>144</v>
      </c>
      <c r="AM161" s="3">
        <f>1+IF(Settings!$F$10="ON",IFERROR(VLOOKUP(TRIM(F161),Settings!$D$12:$F$17,3,FALSE),0),0)</f>
        <v>1</v>
      </c>
      <c r="AN161" t="str">
        <f t="shared" si="17"/>
        <v>PG</v>
      </c>
      <c r="AO161" s="6">
        <f>X161*(U161-Pool!$B$12)</f>
        <v>-27.277711197961125</v>
      </c>
      <c r="AP161" s="6">
        <f>Z161*(V161-Pool!$B$13)</f>
        <v>-10.899084959789578</v>
      </c>
      <c r="AQ161" s="3">
        <f>Settings!$B$2*(N161-Pool!$B$2)/Pool!$C$2+Settings!$B$3*(O161-Pool!$B$3)/Pool!$C$3+Settings!$B$4*(P161-Pool!$B$4)/Pool!$C$4+Settings!$B$5*(Q161-Pool!$B$5)/Pool!$C$5+Settings!$B$6*(R161-Pool!$B$6)/Pool!$C$6+Settings!$B$7*(S161-Pool!$B$7)/Pool!$C$7+Settings!$B$8*(AO161-Pool!$B$8)/Pool!$C$8+Settings!$B$9*(AP161-Pool!$B$9)/Pool!$C$9+Settings!$B$10*-(T161-Pool!$B$10)/Pool!$C$10</f>
        <v>-1.4625057462765727</v>
      </c>
      <c r="AR161">
        <f>IF(RANK(AQ161,$AQ$2:$AQ$266)&lt;=Settings!$F$5,1,0)</f>
        <v>0</v>
      </c>
      <c r="AS161" s="6">
        <f>X161*(U161-Pool!$D$12)</f>
        <v>-29.72720411752972</v>
      </c>
      <c r="AT161" s="6">
        <f>Z161*(V161-Pool!$D$13)</f>
        <v>-12.959615128521612</v>
      </c>
    </row>
    <row r="162" spans="1:46" x14ac:dyDescent="0.2">
      <c r="A162">
        <f t="shared" si="12"/>
        <v>161</v>
      </c>
      <c r="B162" t="s">
        <v>203</v>
      </c>
      <c r="C162" t="str">
        <f>INDEX('Player Data'!$C:$C,AL162)</f>
        <v>SF,SG</v>
      </c>
      <c r="D162">
        <f t="shared" si="13"/>
        <v>17</v>
      </c>
      <c r="E162" t="str">
        <f>INDEX('Player Data'!$B:$B,AL162)</f>
        <v>DET</v>
      </c>
      <c r="F162" s="2"/>
      <c r="G162" s="3">
        <f>Settings!$B$2*AB162+Settings!$B$3*AC162+Settings!$B$4*AD162+Settings!$B$5*AE162+Settings!$B$6*AF162+Settings!$B$7*AG162+Settings!$B$8*AH162+Settings!$B$9*AI162+Settings!$B$10*AJ162</f>
        <v>-3.3145614348618224</v>
      </c>
      <c r="H162" s="3">
        <f>G162-LARGE($G$2:$G$266,Settings!$F$4)</f>
        <v>-9.829666841465734E-2</v>
      </c>
      <c r="I162" t="str">
        <f>IF(INDEX('Player Data'!$R:$R,AL162)="","",INDEX('Player Data'!$R:$R,AL162))</f>
        <v/>
      </c>
      <c r="J162" s="4" t="str">
        <f t="shared" si="14"/>
        <v/>
      </c>
      <c r="L162" s="5">
        <f>IF(Settings!$F$7="Yes",INDEX('Minutes &amp; Health'!$O:$O,AL162),Settings!$F$8)</f>
        <v>75</v>
      </c>
      <c r="M162" s="6">
        <f>INDEX('Minutes &amp; Health'!$P:$P,AL162)</f>
        <v>21.7</v>
      </c>
      <c r="N162" s="5">
        <f>INDEX('Player Data'!$F:$F,AL162)/INDEX('Player Data'!$E:$E,AL162)*M162*L162*AM162</f>
        <v>763.17230769230775</v>
      </c>
      <c r="O162" s="5">
        <f>INDEX('Player Data'!$G:$G,AL162)/INDEX('Player Data'!$E:$E,AL162)*M162*L162*AM162</f>
        <v>198.30461538461537</v>
      </c>
      <c r="P162" s="5">
        <f>INDEX('Player Data'!$H:$H,AL162)/INDEX('Player Data'!$E:$E,AL162)*M162*L162*AM162</f>
        <v>108.16615384615383</v>
      </c>
      <c r="Q162" s="5">
        <f>INDEX('Player Data'!$I:$I,AL162)/INDEX('Player Data'!$E:$E,AL162)*M162*L162*AM162</f>
        <v>51.078461538461539</v>
      </c>
      <c r="R162" s="5">
        <f>INDEX('Player Data'!$J:$J,AL162)/INDEX('Player Data'!$E:$E,AL162)*M162*L162*AM162</f>
        <v>15.023076923076925</v>
      </c>
      <c r="S162" s="5">
        <f>INDEX('Player Data'!$K:$K,AL162)/INDEX('Player Data'!$E:$E,AL162)*M162*L162*AM162</f>
        <v>178.27384615384616</v>
      </c>
      <c r="T162" s="5">
        <f>INDEX('Player Data'!$L:$L,AL162)/INDEX('Player Data'!$E:$E,AL162)*M162*L162*AM162</f>
        <v>48.073846153846155</v>
      </c>
      <c r="U162" s="7">
        <f>INDEX('Player Data'!$M:$M,AL162)</f>
        <v>0.44700000000000001</v>
      </c>
      <c r="V162" s="7">
        <f>INDEX('Player Data'!$N:$N,AL162)</f>
        <v>0.879</v>
      </c>
      <c r="W162" s="5">
        <f t="shared" si="15"/>
        <v>238.16985230769231</v>
      </c>
      <c r="X162" s="5">
        <f>INDEX('Player Data'!$O:$O,AL162)/INDEX('Player Data'!$E:$E,AL162)*M162*L162*AM162</f>
        <v>532.81846153846152</v>
      </c>
      <c r="Y162" s="5">
        <f t="shared" si="16"/>
        <v>108.54743953846155</v>
      </c>
      <c r="Z162" s="5">
        <f>INDEX('Player Data'!$P:$P,AL162)/INDEX('Player Data'!$E:$E,AL162)*M162*L162*AM162</f>
        <v>123.48969230769231</v>
      </c>
      <c r="AB162" s="3">
        <f>(N162-Pool!$D$2)/Pool!$E$2</f>
        <v>-1.1738332400195921</v>
      </c>
      <c r="AC162" s="3">
        <f>(O162-Pool!$D$3)/Pool!$E$3</f>
        <v>-1.3452371907424594</v>
      </c>
      <c r="AD162" s="3">
        <f>(P162-Pool!$D$4)/Pool!$E$4</f>
        <v>-1.1625919840027534</v>
      </c>
      <c r="AE162" s="3">
        <f>(Q162-Pool!$D$5)/Pool!$E$5</f>
        <v>-1.0217589806043779</v>
      </c>
      <c r="AF162" s="3">
        <f>(R162-Pool!$D$6)/Pool!$E$6</f>
        <v>-1.0219267859790082</v>
      </c>
      <c r="AG162" s="3">
        <f>(S162-Pool!$D$7)/Pool!$E$7</f>
        <v>0.77268390296248968</v>
      </c>
      <c r="AH162" s="3">
        <f>(AS162-Pool!$D$8)/Pool!$E$8</f>
        <v>-0.43200069642719896</v>
      </c>
      <c r="AI162" s="3">
        <f>(AT162-Pool!$D$9)/Pool!$E$9</f>
        <v>0.43650086355750284</v>
      </c>
      <c r="AJ162" s="3">
        <f>-(T162-Pool!$D$10)/Pool!$E$10</f>
        <v>1.6336026763935767</v>
      </c>
      <c r="AL162">
        <f>MATCH(B162,'Player Data'!$A:$A,0)</f>
        <v>173</v>
      </c>
      <c r="AM162" s="3">
        <f>1+IF(Settings!$F$10="ON",IFERROR(VLOOKUP(TRIM(F162),Settings!$D$12:$F$17,3,FALSE),0),0)</f>
        <v>1</v>
      </c>
      <c r="AN162" t="str">
        <f t="shared" si="17"/>
        <v>SF</v>
      </c>
      <c r="AO162" s="6">
        <f>X162*(U162-Pool!$B$12)</f>
        <v>-17.906307320322735</v>
      </c>
      <c r="AP162" s="6">
        <f>Z162*(V162-Pool!$B$13)</f>
        <v>10.978275973973814</v>
      </c>
      <c r="AQ162" s="3">
        <f>Settings!$B$2*(N162-Pool!$B$2)/Pool!$C$2+Settings!$B$3*(O162-Pool!$B$3)/Pool!$C$3+Settings!$B$4*(P162-Pool!$B$4)/Pool!$C$4+Settings!$B$5*(Q162-Pool!$B$5)/Pool!$C$5+Settings!$B$6*(R162-Pool!$B$6)/Pool!$C$6+Settings!$B$7*(S162-Pool!$B$7)/Pool!$C$7+Settings!$B$8*(AO162-Pool!$B$8)/Pool!$C$8+Settings!$B$9*(AP162-Pool!$B$9)/Pool!$C$9+Settings!$B$10*-(T162-Pool!$B$10)/Pool!$C$10</f>
        <v>-1.1922283772083457</v>
      </c>
      <c r="AR162">
        <f>IF(RANK(AQ162,$AQ$2:$AQ$266)&lt;=Settings!$F$5,1,0)</f>
        <v>1</v>
      </c>
      <c r="AS162" s="6">
        <f>X162*(U162-Pool!$D$12)</f>
        <v>-19.753494860210083</v>
      </c>
      <c r="AT162" s="6">
        <f>Z162*(V162-Pool!$D$13)</f>
        <v>9.738590918604018</v>
      </c>
    </row>
    <row r="163" spans="1:46" x14ac:dyDescent="0.2">
      <c r="A163">
        <f t="shared" si="12"/>
        <v>162</v>
      </c>
      <c r="B163" t="s">
        <v>204</v>
      </c>
      <c r="C163" t="str">
        <f>INDEX('Player Data'!$C:$C,AL163)</f>
        <v>SF,PF</v>
      </c>
      <c r="D163">
        <f t="shared" si="13"/>
        <v>18</v>
      </c>
      <c r="E163" t="str">
        <f>INDEX('Player Data'!$B:$B,AL163)</f>
        <v>LAC</v>
      </c>
      <c r="F163" s="2"/>
      <c r="G163" s="3">
        <f>Settings!$B$2*AB163+Settings!$B$3*AC163+Settings!$B$4*AD163+Settings!$B$5*AE163+Settings!$B$6*AF163+Settings!$B$7*AG163+Settings!$B$8*AH163+Settings!$B$9*AI163+Settings!$B$10*AJ163</f>
        <v>-3.3423830287168634</v>
      </c>
      <c r="H163" s="3">
        <f>G163-LARGE($G$2:$G$266,Settings!$F$4)</f>
        <v>-0.12611826226969836</v>
      </c>
      <c r="I163" t="str">
        <f>IF(INDEX('Player Data'!$R:$R,AL163)="","",INDEX('Player Data'!$R:$R,AL163))</f>
        <v/>
      </c>
      <c r="J163" s="4" t="str">
        <f t="shared" si="14"/>
        <v/>
      </c>
      <c r="L163" s="5">
        <f>IF(Settings!$F$7="Yes",INDEX('Minutes &amp; Health'!$O:$O,AL163),Settings!$F$8)</f>
        <v>73</v>
      </c>
      <c r="M163" s="6">
        <f>INDEX('Minutes &amp; Health'!$P:$P,AL163)</f>
        <v>25.4</v>
      </c>
      <c r="N163" s="5">
        <f>INDEX('Player Data'!$F:$F,AL163)/INDEX('Player Data'!$E:$E,AL163)*M163*L163*AM163</f>
        <v>716.85053995680335</v>
      </c>
      <c r="O163" s="5">
        <f>INDEX('Player Data'!$G:$G,AL163)/INDEX('Player Data'!$E:$E,AL163)*M163*L163*AM163</f>
        <v>245.29103671706261</v>
      </c>
      <c r="P163" s="5">
        <f>INDEX('Player Data'!$H:$H,AL163)/INDEX('Player Data'!$E:$E,AL163)*M163*L163*AM163</f>
        <v>76.090280777537785</v>
      </c>
      <c r="Q163" s="5">
        <f>INDEX('Player Data'!$I:$I,AL163)/INDEX('Player Data'!$E:$E,AL163)*M163*L163*AM163</f>
        <v>66.078401727861774</v>
      </c>
      <c r="R163" s="5">
        <f>INDEX('Player Data'!$J:$J,AL163)/INDEX('Player Data'!$E:$E,AL163)*M163*L163*AM163</f>
        <v>52.06177105831533</v>
      </c>
      <c r="S163" s="5">
        <f>INDEX('Player Data'!$K:$K,AL163)/INDEX('Player Data'!$E:$E,AL163)*M163*L163*AM163</f>
        <v>80.09503239740819</v>
      </c>
      <c r="T163" s="5">
        <f>INDEX('Player Data'!$L:$L,AL163)/INDEX('Player Data'!$E:$E,AL163)*M163*L163*AM163</f>
        <v>57.06771058315335</v>
      </c>
      <c r="U163" s="7">
        <f>INDEX('Player Data'!$M:$M,AL163)</f>
        <v>0.50600000000000001</v>
      </c>
      <c r="V163" s="7">
        <f>INDEX('Player Data'!$N:$N,AL163)</f>
        <v>0.72899999999999998</v>
      </c>
      <c r="W163" s="5">
        <f t="shared" si="15"/>
        <v>270.52497667386609</v>
      </c>
      <c r="X163" s="5">
        <f>INDEX('Player Data'!$O:$O,AL163)/INDEX('Player Data'!$E:$E,AL163)*M163*L163*AM163</f>
        <v>534.63434125269976</v>
      </c>
      <c r="Y163" s="5">
        <f t="shared" si="16"/>
        <v>95.758416933045353</v>
      </c>
      <c r="Z163" s="5">
        <f>INDEX('Player Data'!$P:$P,AL163)/INDEX('Player Data'!$E:$E,AL163)*M163*L163*AM163</f>
        <v>131.35585313174946</v>
      </c>
      <c r="AB163" s="3">
        <f>(N163-Pool!$D$2)/Pool!$E$2</f>
        <v>-1.2880145979719975</v>
      </c>
      <c r="AC163" s="3">
        <f>(O163-Pool!$D$3)/Pool!$E$3</f>
        <v>-1.0717522708789002</v>
      </c>
      <c r="AD163" s="3">
        <f>(P163-Pool!$D$4)/Pool!$E$4</f>
        <v>-1.3795316225891332</v>
      </c>
      <c r="AE163" s="3">
        <f>(Q163-Pool!$D$5)/Pool!$E$5</f>
        <v>-0.35953908468677176</v>
      </c>
      <c r="AF163" s="3">
        <f>(R163-Pool!$D$6)/Pool!$E$6</f>
        <v>4.9999904200118961E-2</v>
      </c>
      <c r="AG163" s="3">
        <f>(S163-Pool!$D$7)/Pool!$E$7</f>
        <v>-0.61009712685426254</v>
      </c>
      <c r="AH163" s="3">
        <f>(AS163-Pool!$D$8)/Pool!$E$8</f>
        <v>0.25636859491401565</v>
      </c>
      <c r="AI163" s="3">
        <f>(AT163-Pool!$D$9)/Pool!$E$9</f>
        <v>-0.41883473776050628</v>
      </c>
      <c r="AJ163" s="3">
        <f>-(T163-Pool!$D$10)/Pool!$E$10</f>
        <v>1.4790179129105738</v>
      </c>
      <c r="AL163">
        <f>MATCH(B163,'Player Data'!$A:$A,0)</f>
        <v>181</v>
      </c>
      <c r="AM163" s="3">
        <f>1+IF(Settings!$F$10="ON",IFERROR(VLOOKUP(TRIM(F163),Settings!$D$12:$F$17,3,FALSE),0),0)</f>
        <v>1</v>
      </c>
      <c r="AN163" t="str">
        <f t="shared" si="17"/>
        <v>SF</v>
      </c>
      <c r="AO163" s="6">
        <f>X163*(U163-Pool!$B$12)</f>
        <v>13.57609296225624</v>
      </c>
      <c r="AP163" s="6">
        <f>Z163*(V163-Pool!$B$13)</f>
        <v>-8.0257976022932365</v>
      </c>
      <c r="AQ163" s="3">
        <f>Settings!$B$2*(N163-Pool!$B$2)/Pool!$C$2+Settings!$B$3*(O163-Pool!$B$3)/Pool!$C$3+Settings!$B$4*(P163-Pool!$B$4)/Pool!$C$4+Settings!$B$5*(Q163-Pool!$B$5)/Pool!$C$5+Settings!$B$6*(R163-Pool!$B$6)/Pool!$C$6+Settings!$B$7*(S163-Pool!$B$7)/Pool!$C$7+Settings!$B$8*(AO163-Pool!$B$8)/Pool!$C$8+Settings!$B$9*(AP163-Pool!$B$9)/Pool!$C$9+Settings!$B$10*-(T163-Pool!$B$10)/Pool!$C$10</f>
        <v>-1.2530425971013344</v>
      </c>
      <c r="AR163">
        <f>IF(RANK(AQ163,$AQ$2:$AQ$266)&lt;=Settings!$F$5,1,0)</f>
        <v>0</v>
      </c>
      <c r="AS163" s="6">
        <f>X163*(U163-Pool!$D$12)</f>
        <v>11.722610087983538</v>
      </c>
      <c r="AT163" s="6">
        <f>Z163*(V163-Pool!$D$13)</f>
        <v>-9.3444492647902209</v>
      </c>
    </row>
    <row r="164" spans="1:46" x14ac:dyDescent="0.2">
      <c r="A164">
        <f t="shared" si="12"/>
        <v>163</v>
      </c>
      <c r="B164" t="s">
        <v>205</v>
      </c>
      <c r="C164" t="str">
        <f>INDEX('Player Data'!$C:$C,AL164)</f>
        <v>PG</v>
      </c>
      <c r="D164">
        <f t="shared" si="13"/>
        <v>56</v>
      </c>
      <c r="E164" t="str">
        <f>INDEX('Player Data'!$B:$B,AL164)</f>
        <v>MIA</v>
      </c>
      <c r="F164" s="2"/>
      <c r="G164" s="3">
        <f>Settings!$B$2*AB164+Settings!$B$3*AC164+Settings!$B$4*AD164+Settings!$B$5*AE164+Settings!$B$6*AF164+Settings!$B$7*AG164+Settings!$B$8*AH164+Settings!$B$9*AI164+Settings!$B$10*AJ164</f>
        <v>-3.3426116433738615</v>
      </c>
      <c r="H164" s="3">
        <f>G164-LARGE($G$2:$G$266,Settings!$F$4)</f>
        <v>-0.12634687692669644</v>
      </c>
      <c r="I164">
        <f>IF(INDEX('Player Data'!$R:$R,AL164)="","",INDEX('Player Data'!$R:$R,AL164))</f>
        <v>151</v>
      </c>
      <c r="J164" s="4">
        <f t="shared" si="14"/>
        <v>-12</v>
      </c>
      <c r="L164" s="5">
        <f>IF(Settings!$F$7="Yes",INDEX('Minutes &amp; Health'!$O:$O,AL164),Settings!$F$8)</f>
        <v>75</v>
      </c>
      <c r="M164" s="6">
        <f>INDEX('Minutes &amp; Health'!$P:$P,AL164)</f>
        <v>27.9</v>
      </c>
      <c r="N164" s="5">
        <f>INDEX('Player Data'!$F:$F,AL164)/INDEX('Player Data'!$E:$E,AL164)*M164*L164*AM164</f>
        <v>657.89957061068696</v>
      </c>
      <c r="O164" s="5">
        <f>INDEX('Player Data'!$G:$G,AL164)/INDEX('Player Data'!$E:$E,AL164)*M164*L164*AM164</f>
        <v>181.69608778625954</v>
      </c>
      <c r="P164" s="5">
        <f>INDEX('Player Data'!$H:$H,AL164)/INDEX('Player Data'!$E:$E,AL164)*M164*L164*AM164</f>
        <v>436.27027671755724</v>
      </c>
      <c r="Q164" s="5">
        <f>INDEX('Player Data'!$I:$I,AL164)/INDEX('Player Data'!$E:$E,AL164)*M164*L164*AM164</f>
        <v>72.878101145038158</v>
      </c>
      <c r="R164" s="5">
        <f>INDEX('Player Data'!$J:$J,AL164)/INDEX('Player Data'!$E:$E,AL164)*M164*L164*AM164</f>
        <v>14.974952290076336</v>
      </c>
      <c r="S164" s="5">
        <f>INDEX('Player Data'!$K:$K,AL164)/INDEX('Player Data'!$E:$E,AL164)*M164*L164*AM164</f>
        <v>91.846374045801511</v>
      </c>
      <c r="T164" s="5">
        <f>INDEX('Player Data'!$L:$L,AL164)/INDEX('Player Data'!$E:$E,AL164)*M164*L164*AM164</f>
        <v>113.80963740458014</v>
      </c>
      <c r="U164" s="7">
        <f>INDEX('Player Data'!$M:$M,AL164)</f>
        <v>0.48799999999999999</v>
      </c>
      <c r="V164" s="7">
        <f>INDEX('Player Data'!$N:$N,AL164)</f>
        <v>0.65400000000000003</v>
      </c>
      <c r="W164" s="5">
        <f t="shared" si="15"/>
        <v>255.82090362595417</v>
      </c>
      <c r="X164" s="5">
        <f>INDEX('Player Data'!$O:$O,AL164)/INDEX('Player Data'!$E:$E,AL164)*M164*L164*AM164</f>
        <v>524.22316316793888</v>
      </c>
      <c r="Y164" s="5">
        <f t="shared" si="16"/>
        <v>54.452520515267182</v>
      </c>
      <c r="Z164" s="5">
        <f>INDEX('Player Data'!$P:$P,AL164)/INDEX('Player Data'!$E:$E,AL164)*M164*L164*AM164</f>
        <v>83.260734732824432</v>
      </c>
      <c r="AB164" s="3">
        <f>(N164-Pool!$D$2)/Pool!$E$2</f>
        <v>-1.4333264472732703</v>
      </c>
      <c r="AC164" s="3">
        <f>(O164-Pool!$D$3)/Pool!$E$3</f>
        <v>-1.4419072862824103</v>
      </c>
      <c r="AD164" s="3">
        <f>(P164-Pool!$D$4)/Pool!$E$4</f>
        <v>1.056483695781836</v>
      </c>
      <c r="AE164" s="3">
        <f>(Q164-Pool!$D$5)/Pool!$E$5</f>
        <v>-5.9344805012540691E-2</v>
      </c>
      <c r="AF164" s="3">
        <f>(R164-Pool!$D$6)/Pool!$E$6</f>
        <v>-1.0233195477858916</v>
      </c>
      <c r="AG164" s="3">
        <f>(S164-Pool!$D$7)/Pool!$E$7</f>
        <v>-0.44458756644537789</v>
      </c>
      <c r="AH164" s="3">
        <f>(AS164-Pool!$D$8)/Pool!$E$8</f>
        <v>4.5014456382940972E-2</v>
      </c>
      <c r="AI164" s="3">
        <f>(AT164-Pool!$D$9)/Pool!$E$9</f>
        <v>-0.54537303684199667</v>
      </c>
      <c r="AJ164" s="3">
        <f>-(T164-Pool!$D$10)/Pool!$E$10</f>
        <v>0.50374889410284918</v>
      </c>
      <c r="AL164">
        <f>MATCH(B164,'Player Data'!$A:$A,0)</f>
        <v>202</v>
      </c>
      <c r="AM164" s="3">
        <f>1+IF(Settings!$F$10="ON",IFERROR(VLOOKUP(TRIM(F164),Settings!$D$12:$F$17,3,FALSE),0),0)</f>
        <v>1</v>
      </c>
      <c r="AN164" t="str">
        <f t="shared" si="17"/>
        <v>PG</v>
      </c>
      <c r="AO164" s="6">
        <f>X164*(U164-Pool!$B$12)</f>
        <v>3.8757025822664284</v>
      </c>
      <c r="AP164" s="6">
        <f>Z164*(V164-Pool!$B$13)</f>
        <v>-11.331757458355547</v>
      </c>
      <c r="AQ164" s="3">
        <f>Settings!$B$2*(N164-Pool!$B$2)/Pool!$C$2+Settings!$B$3*(O164-Pool!$B$3)/Pool!$C$3+Settings!$B$4*(P164-Pool!$B$4)/Pool!$C$4+Settings!$B$5*(Q164-Pool!$B$5)/Pool!$C$5+Settings!$B$6*(R164-Pool!$B$6)/Pool!$C$6+Settings!$B$7*(S164-Pool!$B$7)/Pool!$C$7+Settings!$B$8*(AO164-Pool!$B$8)/Pool!$C$8+Settings!$B$9*(AP164-Pool!$B$9)/Pool!$C$9+Settings!$B$10*-(T164-Pool!$B$10)/Pool!$C$10</f>
        <v>-1.3681844699058607</v>
      </c>
      <c r="AR164">
        <f>IF(RANK(AQ164,$AQ$2:$AQ$266)&lt;=Settings!$F$5,1,0)</f>
        <v>0</v>
      </c>
      <c r="AS164" s="6">
        <f>X164*(U164-Pool!$D$12)</f>
        <v>2.0583134243754562</v>
      </c>
      <c r="AT164" s="6">
        <f>Z164*(V164-Pool!$D$13)</f>
        <v>-12.167593118956363</v>
      </c>
    </row>
    <row r="165" spans="1:46" x14ac:dyDescent="0.2">
      <c r="A165">
        <f t="shared" si="12"/>
        <v>164</v>
      </c>
      <c r="B165" t="s">
        <v>206</v>
      </c>
      <c r="C165" t="str">
        <f>INDEX('Player Data'!$C:$C,AL165)</f>
        <v>PF,SF,SG</v>
      </c>
      <c r="D165">
        <f t="shared" si="13"/>
        <v>48</v>
      </c>
      <c r="E165" t="str">
        <f>INDEX('Player Data'!$B:$B,AL165)</f>
        <v>GSW</v>
      </c>
      <c r="F165" s="2"/>
      <c r="G165" s="3">
        <f>Settings!$B$2*AB165+Settings!$B$3*AC165+Settings!$B$4*AD165+Settings!$B$5*AE165+Settings!$B$6*AF165+Settings!$B$7*AG165+Settings!$B$8*AH165+Settings!$B$9*AI165+Settings!$B$10*AJ165</f>
        <v>-3.3783165496362937</v>
      </c>
      <c r="H165" s="3">
        <f>G165-LARGE($G$2:$G$266,Settings!$F$4)</f>
        <v>-0.16205178318912861</v>
      </c>
      <c r="I165">
        <f>IF(INDEX('Player Data'!$R:$R,AL165)="","",INDEX('Player Data'!$R:$R,AL165))</f>
        <v>176</v>
      </c>
      <c r="J165" s="4">
        <f t="shared" si="14"/>
        <v>12</v>
      </c>
      <c r="L165" s="5">
        <f>IF(Settings!$F$7="Yes",INDEX('Minutes &amp; Health'!$O:$O,AL165),Settings!$F$8)</f>
        <v>44</v>
      </c>
      <c r="M165" s="6">
        <f>INDEX('Minutes &amp; Health'!$P:$P,AL165)</f>
        <v>31.8</v>
      </c>
      <c r="N165" s="5">
        <f>INDEX('Player Data'!$F:$F,AL165)/INDEX('Player Data'!$E:$E,AL165)*M165*L165*AM165</f>
        <v>804.54</v>
      </c>
      <c r="O165" s="5">
        <f>INDEX('Player Data'!$G:$G,AL165)/INDEX('Player Data'!$E:$E,AL165)*M165*L165*AM165</f>
        <v>228.86914285714286</v>
      </c>
      <c r="P165" s="5">
        <f>INDEX('Player Data'!$H:$H,AL165)/INDEX('Player Data'!$E:$E,AL165)*M165*L165*AM165</f>
        <v>215.8765714285714</v>
      </c>
      <c r="Q165" s="5">
        <f>INDEX('Player Data'!$I:$I,AL165)/INDEX('Player Data'!$E:$E,AL165)*M165*L165*AM165</f>
        <v>61.964571428571425</v>
      </c>
      <c r="R165" s="5">
        <f>INDEX('Player Data'!$J:$J,AL165)/INDEX('Player Data'!$E:$E,AL165)*M165*L165*AM165</f>
        <v>12.992571428571431</v>
      </c>
      <c r="S165" s="5">
        <f>INDEX('Player Data'!$K:$K,AL165)/INDEX('Player Data'!$E:$E,AL165)*M165*L165*AM165</f>
        <v>33.980571428571423</v>
      </c>
      <c r="T165" s="5">
        <f>INDEX('Player Data'!$L:$L,AL165)/INDEX('Player Data'!$E:$E,AL165)*M165*L165*AM165</f>
        <v>63.963428571428572</v>
      </c>
      <c r="U165" s="7">
        <f>INDEX('Player Data'!$M:$M,AL165)</f>
        <v>0.504</v>
      </c>
      <c r="V165" s="7">
        <f>INDEX('Player Data'!$N:$N,AL165)</f>
        <v>0.84799999999999998</v>
      </c>
      <c r="W165" s="5">
        <f t="shared" si="15"/>
        <v>270.19111679999997</v>
      </c>
      <c r="X165" s="5">
        <f>INDEX('Player Data'!$O:$O,AL165)/INDEX('Player Data'!$E:$E,AL165)*M165*L165*AM165</f>
        <v>536.09348571428563</v>
      </c>
      <c r="Y165" s="5">
        <f t="shared" si="16"/>
        <v>230.18519039999998</v>
      </c>
      <c r="Z165" s="5">
        <f>INDEX('Player Data'!$P:$P,AL165)/INDEX('Player Data'!$E:$E,AL165)*M165*L165*AM165</f>
        <v>271.44479999999999</v>
      </c>
      <c r="AB165" s="3">
        <f>(N165-Pool!$D$2)/Pool!$E$2</f>
        <v>-1.0718634855400111</v>
      </c>
      <c r="AC165" s="3">
        <f>(O165-Pool!$D$3)/Pool!$E$3</f>
        <v>-1.167336062938982</v>
      </c>
      <c r="AD165" s="3">
        <f>(P165-Pool!$D$4)/Pool!$E$4</f>
        <v>-0.43411114071184059</v>
      </c>
      <c r="AE165" s="3">
        <f>(Q165-Pool!$D$5)/Pool!$E$5</f>
        <v>-0.54115716037375738</v>
      </c>
      <c r="AF165" s="3">
        <f>(R165-Pool!$D$6)/Pool!$E$6</f>
        <v>-1.080691088688186</v>
      </c>
      <c r="AG165" s="3">
        <f>(S165-Pool!$D$7)/Pool!$E$7</f>
        <v>-1.2595875758438351</v>
      </c>
      <c r="AH165" s="3">
        <f>(AS165-Pool!$D$8)/Pool!$E$8</f>
        <v>0.23362000385413276</v>
      </c>
      <c r="AI165" s="3">
        <f>(AT165-Pool!$D$9)/Pool!$E$9</f>
        <v>0.58231428500991478</v>
      </c>
      <c r="AJ165" s="3">
        <f>-(T165-Pool!$D$10)/Pool!$E$10</f>
        <v>1.3604956755962707</v>
      </c>
      <c r="AL165">
        <f>MATCH(B165,'Player Data'!$A:$A,0)</f>
        <v>66</v>
      </c>
      <c r="AM165" s="3">
        <f>1+IF(Settings!$F$10="ON",IFERROR(VLOOKUP(TRIM(F165),Settings!$D$12:$F$17,3,FALSE),0),0)</f>
        <v>1</v>
      </c>
      <c r="AN165" t="str">
        <f t="shared" si="17"/>
        <v>PF</v>
      </c>
      <c r="AO165" s="6">
        <f>X165*(U165-Pool!$B$12)</f>
        <v>12.540958382204989</v>
      </c>
      <c r="AP165" s="6">
        <f>Z165*(V165-Pool!$B$13)</f>
        <v>15.716746961503384</v>
      </c>
      <c r="AQ165" s="3">
        <f>Settings!$B$2*(N165-Pool!$B$2)/Pool!$C$2+Settings!$B$3*(O165-Pool!$B$3)/Pool!$C$3+Settings!$B$4*(P165-Pool!$B$4)/Pool!$C$4+Settings!$B$5*(Q165-Pool!$B$5)/Pool!$C$5+Settings!$B$6*(R165-Pool!$B$6)/Pool!$C$6+Settings!$B$7*(S165-Pool!$B$7)/Pool!$C$7+Settings!$B$8*(AO165-Pool!$B$8)/Pool!$C$8+Settings!$B$9*(AP165-Pool!$B$9)/Pool!$C$9+Settings!$B$10*-(T165-Pool!$B$10)/Pool!$C$10</f>
        <v>-1.1428647152929918</v>
      </c>
      <c r="AR165">
        <f>IF(RANK(AQ165,$AQ$2:$AQ$266)&lt;=Settings!$F$5,1,0)</f>
        <v>1</v>
      </c>
      <c r="AS165" s="6">
        <f>X165*(U165-Pool!$D$12)</f>
        <v>10.682416911688165</v>
      </c>
      <c r="AT165" s="6">
        <f>Z165*(V165-Pool!$D$13)</f>
        <v>12.991774086201453</v>
      </c>
    </row>
    <row r="166" spans="1:46" x14ac:dyDescent="0.2">
      <c r="A166">
        <f t="shared" si="12"/>
        <v>165</v>
      </c>
      <c r="B166" t="s">
        <v>207</v>
      </c>
      <c r="C166" t="str">
        <f>INDEX('Player Data'!$C:$C,AL166)</f>
        <v>PG,SG</v>
      </c>
      <c r="D166">
        <f t="shared" si="13"/>
        <v>57</v>
      </c>
      <c r="E166" t="str">
        <f>INDEX('Player Data'!$B:$B,AL166)</f>
        <v>POR</v>
      </c>
      <c r="F166" s="2"/>
      <c r="G166" s="3">
        <f>Settings!$B$2*AB166+Settings!$B$3*AC166+Settings!$B$4*AD166+Settings!$B$5*AE166+Settings!$B$6*AF166+Settings!$B$7*AG166+Settings!$B$8*AH166+Settings!$B$9*AI166+Settings!$B$10*AJ166</f>
        <v>-3.4099795229765841</v>
      </c>
      <c r="H166" s="3">
        <f>G166-LARGE($G$2:$G$266,Settings!$F$4)</f>
        <v>-0.19371475652941905</v>
      </c>
      <c r="I166">
        <f>IF(INDEX('Player Data'!$R:$R,AL166)="","",INDEX('Player Data'!$R:$R,AL166))</f>
        <v>159</v>
      </c>
      <c r="J166" s="4">
        <f t="shared" si="14"/>
        <v>-6</v>
      </c>
      <c r="L166" s="5">
        <f>IF(Settings!$F$7="Yes",INDEX('Minutes &amp; Health'!$O:$O,AL166),Settings!$F$8)</f>
        <v>73</v>
      </c>
      <c r="M166" s="6">
        <f>INDEX('Minutes &amp; Health'!$P:$P,AL166)</f>
        <v>25.7</v>
      </c>
      <c r="N166" s="5">
        <f>INDEX('Player Data'!$F:$F,AL166)/INDEX('Player Data'!$E:$E,AL166)*M166*L166*AM166</f>
        <v>767.81314529004783</v>
      </c>
      <c r="O166" s="5">
        <f>INDEX('Player Data'!$G:$G,AL166)/INDEX('Player Data'!$E:$E,AL166)*M166*L166*AM166</f>
        <v>278.56939861628524</v>
      </c>
      <c r="P166" s="5">
        <f>INDEX('Player Data'!$H:$H,AL166)/INDEX('Player Data'!$E:$E,AL166)*M166*L166*AM166</f>
        <v>276.57248536455563</v>
      </c>
      <c r="Q166" s="5">
        <f>INDEX('Player Data'!$I:$I,AL166)/INDEX('Player Data'!$E:$E,AL166)*M166*L166*AM166</f>
        <v>60.905854177754129</v>
      </c>
      <c r="R166" s="5">
        <f>INDEX('Player Data'!$J:$J,AL166)/INDEX('Player Data'!$E:$E,AL166)*M166*L166*AM166</f>
        <v>21.966045769026078</v>
      </c>
      <c r="S166" s="5">
        <f>INDEX('Player Data'!$K:$K,AL166)/INDEX('Player Data'!$E:$E,AL166)*M166*L166*AM166</f>
        <v>114.8225119744545</v>
      </c>
      <c r="T166" s="5">
        <f>INDEX('Player Data'!$L:$L,AL166)/INDEX('Player Data'!$E:$E,AL166)*M166*L166*AM166</f>
        <v>124.8070782331027</v>
      </c>
      <c r="U166" s="7">
        <f>INDEX('Player Data'!$M:$M,AL166)</f>
        <v>0.45400000000000001</v>
      </c>
      <c r="V166" s="7">
        <f>INDEX('Player Data'!$N:$N,AL166)</f>
        <v>0.85799999999999998</v>
      </c>
      <c r="W166" s="5">
        <f t="shared" si="15"/>
        <v>280.81892139435865</v>
      </c>
      <c r="X166" s="5">
        <f>INDEX('Player Data'!$O:$O,AL166)/INDEX('Player Data'!$E:$E,AL166)*M166*L166*AM166</f>
        <v>618.54387972325696</v>
      </c>
      <c r="Y166" s="5">
        <f t="shared" si="16"/>
        <v>91.321638680149007</v>
      </c>
      <c r="Z166" s="5">
        <f>INDEX('Player Data'!$P:$P,AL166)/INDEX('Player Data'!$E:$E,AL166)*M166*L166*AM166</f>
        <v>106.43547631718999</v>
      </c>
      <c r="AB166" s="3">
        <f>(N166-Pool!$D$2)/Pool!$E$2</f>
        <v>-1.1623937556291815</v>
      </c>
      <c r="AC166" s="3">
        <f>(O166-Pool!$D$3)/Pool!$E$3</f>
        <v>-0.87805524354401587</v>
      </c>
      <c r="AD166" s="3">
        <f>(P166-Pool!$D$4)/Pool!$E$4</f>
        <v>-2.3604788950967206E-2</v>
      </c>
      <c r="AE166" s="3">
        <f>(Q166-Pool!$D$5)/Pool!$E$5</f>
        <v>-0.58789758858812069</v>
      </c>
      <c r="AF166" s="3">
        <f>(R166-Pool!$D$6)/Pool!$E$6</f>
        <v>-0.82099222851645282</v>
      </c>
      <c r="AG166" s="3">
        <f>(S166-Pool!$D$7)/Pool!$E$7</f>
        <v>-0.12098447479454634</v>
      </c>
      <c r="AH166" s="3">
        <f>(AS166-Pool!$D$8)/Pool!$E$8</f>
        <v>-0.40681441871579155</v>
      </c>
      <c r="AI166" s="3">
        <f>(AT166-Pool!$D$9)/Pool!$E$9</f>
        <v>0.27603592013163192</v>
      </c>
      <c r="AJ166" s="3">
        <f>-(T166-Pool!$D$10)/Pool!$E$10</f>
        <v>0.3147270556308594</v>
      </c>
      <c r="AL166">
        <f>MATCH(B166,'Player Data'!$A:$A,0)</f>
        <v>166</v>
      </c>
      <c r="AM166" s="3">
        <f>1+IF(Settings!$F$10="ON",IFERROR(VLOOKUP(TRIM(F166),Settings!$D$12:$F$17,3,FALSE),0),0)</f>
        <v>1</v>
      </c>
      <c r="AN166" t="str">
        <f t="shared" si="17"/>
        <v>PG</v>
      </c>
      <c r="AO166" s="6">
        <f>X166*(U166-Pool!$B$12)</f>
        <v>-16.457454547263584</v>
      </c>
      <c r="AP166" s="6">
        <f>Z166*(V166-Pool!$B$13)</f>
        <v>7.2270053241860053</v>
      </c>
      <c r="AQ166" s="3">
        <f>Settings!$B$2*(N166-Pool!$B$2)/Pool!$C$2+Settings!$B$3*(O166-Pool!$B$3)/Pool!$C$3+Settings!$B$4*(P166-Pool!$B$4)/Pool!$C$4+Settings!$B$5*(Q166-Pool!$B$5)/Pool!$C$5+Settings!$B$6*(R166-Pool!$B$6)/Pool!$C$6+Settings!$B$7*(S166-Pool!$B$7)/Pool!$C$7+Settings!$B$8*(AO166-Pool!$B$8)/Pool!$C$8+Settings!$B$9*(AP166-Pool!$B$9)/Pool!$C$9+Settings!$B$10*-(T166-Pool!$B$10)/Pool!$C$10</f>
        <v>-1.2933431083569382</v>
      </c>
      <c r="AR166">
        <f>IF(RANK(AQ166,$AQ$2:$AQ$266)&lt;=Settings!$F$5,1,0)</f>
        <v>0</v>
      </c>
      <c r="AS166" s="6">
        <f>X166*(U166-Pool!$D$12)</f>
        <v>-18.601836977630821</v>
      </c>
      <c r="AT166" s="6">
        <f>Z166*(V166-Pool!$D$13)</f>
        <v>6.1585236810151507</v>
      </c>
    </row>
    <row r="167" spans="1:46" x14ac:dyDescent="0.2">
      <c r="A167">
        <f t="shared" si="12"/>
        <v>166</v>
      </c>
      <c r="B167" t="s">
        <v>208</v>
      </c>
      <c r="C167" t="str">
        <f>INDEX('Player Data'!$C:$C,AL167)</f>
        <v>SG,SF</v>
      </c>
      <c r="D167">
        <f t="shared" si="13"/>
        <v>7</v>
      </c>
      <c r="E167" t="str">
        <f>INDEX('Player Data'!$B:$B,AL167)</f>
        <v>DET</v>
      </c>
      <c r="F167" s="2"/>
      <c r="G167" s="3">
        <f>Settings!$B$2*AB167+Settings!$B$3*AC167+Settings!$B$4*AD167+Settings!$B$5*AE167+Settings!$B$6*AF167+Settings!$B$7*AG167+Settings!$B$8*AH167+Settings!$B$9*AI167+Settings!$B$10*AJ167</f>
        <v>-3.4101078499090396</v>
      </c>
      <c r="H167" s="3">
        <f>G167-LARGE($G$2:$G$266,Settings!$F$4)</f>
        <v>-0.19384308346187451</v>
      </c>
      <c r="I167">
        <f>IF(INDEX('Player Data'!$R:$R,AL167)="","",INDEX('Player Data'!$R:$R,AL167))</f>
        <v>113</v>
      </c>
      <c r="J167" s="4">
        <f t="shared" si="14"/>
        <v>-53</v>
      </c>
      <c r="L167" s="5">
        <f>IF(Settings!$F$7="Yes",INDEX('Minutes &amp; Health'!$O:$O,AL167),Settings!$F$8)</f>
        <v>77</v>
      </c>
      <c r="M167" s="6">
        <f>INDEX('Minutes &amp; Health'!$P:$P,AL167)</f>
        <v>25.6</v>
      </c>
      <c r="N167" s="5">
        <f>INDEX('Player Data'!$F:$F,AL167)/INDEX('Player Data'!$E:$E,AL167)*M167*L167*AM167</f>
        <v>879.98212290502806</v>
      </c>
      <c r="O167" s="5">
        <f>INDEX('Player Data'!$G:$G,AL167)/INDEX('Player Data'!$E:$E,AL167)*M167*L167*AM167</f>
        <v>192.21452513966483</v>
      </c>
      <c r="P167" s="5">
        <f>INDEX('Player Data'!$H:$H,AL167)/INDEX('Player Data'!$E:$E,AL167)*M167*L167*AM167</f>
        <v>161.17988826815645</v>
      </c>
      <c r="Q167" s="5">
        <f>INDEX('Player Data'!$I:$I,AL167)/INDEX('Player Data'!$E:$E,AL167)*M167*L167*AM167</f>
        <v>47.052513966480447</v>
      </c>
      <c r="R167" s="5">
        <f>INDEX('Player Data'!$J:$J,AL167)/INDEX('Player Data'!$E:$E,AL167)*M167*L167*AM167</f>
        <v>15.016759776536313</v>
      </c>
      <c r="S167" s="5">
        <f>INDEX('Player Data'!$K:$K,AL167)/INDEX('Player Data'!$E:$E,AL167)*M167*L167*AM167</f>
        <v>205.22905027932961</v>
      </c>
      <c r="T167" s="5">
        <f>INDEX('Player Data'!$L:$L,AL167)/INDEX('Player Data'!$E:$E,AL167)*M167*L167*AM167</f>
        <v>67.074860335195538</v>
      </c>
      <c r="U167" s="7">
        <f>INDEX('Player Data'!$M:$M,AL167)</f>
        <v>0.45200000000000001</v>
      </c>
      <c r="V167" s="7">
        <f>INDEX('Player Data'!$N:$N,AL167)</f>
        <v>0.77600000000000002</v>
      </c>
      <c r="W167" s="5">
        <f t="shared" si="15"/>
        <v>293.99251664804473</v>
      </c>
      <c r="X167" s="5">
        <f>INDEX('Player Data'!$O:$O,AL167)/INDEX('Player Data'!$E:$E,AL167)*M167*L167*AM167</f>
        <v>650.42592178770951</v>
      </c>
      <c r="Y167" s="5">
        <f t="shared" si="16"/>
        <v>86.77604826815643</v>
      </c>
      <c r="Z167" s="5">
        <f>INDEX('Player Data'!$P:$P,AL167)/INDEX('Player Data'!$E:$E,AL167)*M167*L167*AM167</f>
        <v>111.82480446927374</v>
      </c>
      <c r="AB167" s="3">
        <f>(N167-Pool!$D$2)/Pool!$E$2</f>
        <v>-0.88590158336705294</v>
      </c>
      <c r="AC167" s="3">
        <f>(O167-Pool!$D$3)/Pool!$E$3</f>
        <v>-1.3806846199224292</v>
      </c>
      <c r="AD167" s="3">
        <f>(P167-Pool!$D$4)/Pool!$E$4</f>
        <v>-0.80404272920861808</v>
      </c>
      <c r="AE167" s="3">
        <f>(Q167-Pool!$D$5)/Pool!$E$5</f>
        <v>-1.1994971947854614</v>
      </c>
      <c r="AF167" s="3">
        <f>(R167-Pool!$D$6)/Pool!$E$6</f>
        <v>-1.0221096087847454</v>
      </c>
      <c r="AG167" s="3">
        <f>(S167-Pool!$D$7)/Pool!$E$7</f>
        <v>1.1523294037934937</v>
      </c>
      <c r="AH167" s="3">
        <f>(AS167-Pool!$D$8)/Pool!$E$8</f>
        <v>-0.45623222774594313</v>
      </c>
      <c r="AI167" s="3">
        <f>(AT167-Pool!$D$9)/Pool!$E$9</f>
        <v>-0.12098629154233749</v>
      </c>
      <c r="AJ167" s="3">
        <f>-(T167-Pool!$D$10)/Pool!$E$10</f>
        <v>1.3070170016540543</v>
      </c>
      <c r="AL167">
        <f>MATCH(B167,'Player Data'!$A:$A,0)</f>
        <v>147</v>
      </c>
      <c r="AM167" s="3">
        <f>1+IF(Settings!$F$10="ON",IFERROR(VLOOKUP(TRIM(F167),Settings!$D$12:$F$17,3,FALSE),0),0)</f>
        <v>1</v>
      </c>
      <c r="AN167" t="str">
        <f t="shared" si="17"/>
        <v>SG</v>
      </c>
      <c r="AO167" s="6">
        <f>X167*(U167-Pool!$B$12)</f>
        <v>-18.606584541104478</v>
      </c>
      <c r="AP167" s="6">
        <f>Z167*(V167-Pool!$B$13)</f>
        <v>-1.5766914135003169</v>
      </c>
      <c r="AQ167" s="3">
        <f>Settings!$B$2*(N167-Pool!$B$2)/Pool!$C$2+Settings!$B$3*(O167-Pool!$B$3)/Pool!$C$3+Settings!$B$4*(P167-Pool!$B$4)/Pool!$C$4+Settings!$B$5*(Q167-Pool!$B$5)/Pool!$C$5+Settings!$B$6*(R167-Pool!$B$6)/Pool!$C$6+Settings!$B$7*(S167-Pool!$B$7)/Pool!$C$7+Settings!$B$8*(AO167-Pool!$B$8)/Pool!$C$8+Settings!$B$9*(AP167-Pool!$B$9)/Pool!$C$9+Settings!$B$10*-(T167-Pool!$B$10)/Pool!$C$10</f>
        <v>-1.3799321610212048</v>
      </c>
      <c r="AR167">
        <f>IF(RANK(AQ167,$AQ$2:$AQ$266)&lt;=Settings!$F$5,1,0)</f>
        <v>0</v>
      </c>
      <c r="AS167" s="6">
        <f>X167*(U167-Pool!$D$12)</f>
        <v>-20.861496382704154</v>
      </c>
      <c r="AT167" s="6">
        <f>Z167*(V167-Pool!$D$13)</f>
        <v>-2.6992753015125874</v>
      </c>
    </row>
    <row r="168" spans="1:46" x14ac:dyDescent="0.2">
      <c r="A168">
        <f t="shared" si="12"/>
        <v>167</v>
      </c>
      <c r="B168" t="s">
        <v>209</v>
      </c>
      <c r="C168" t="str">
        <f>INDEX('Player Data'!$C:$C,AL168)</f>
        <v>C,PF</v>
      </c>
      <c r="D168">
        <f t="shared" si="13"/>
        <v>37</v>
      </c>
      <c r="E168" t="str">
        <f>INDEX('Player Data'!$B:$B,AL168)</f>
        <v>PHO</v>
      </c>
      <c r="F168" s="2"/>
      <c r="G168" s="3">
        <f>Settings!$B$2*AB168+Settings!$B$3*AC168+Settings!$B$4*AD168+Settings!$B$5*AE168+Settings!$B$6*AF168+Settings!$B$7*AG168+Settings!$B$8*AH168+Settings!$B$9*AI168+Settings!$B$10*AJ168</f>
        <v>-3.4319654423928543</v>
      </c>
      <c r="H168" s="3">
        <f>G168-LARGE($G$2:$G$266,Settings!$F$4)</f>
        <v>-0.2157006759456892</v>
      </c>
      <c r="I168" t="str">
        <f>IF(INDEX('Player Data'!$R:$R,AL168)="","",INDEX('Player Data'!$R:$R,AL168))</f>
        <v/>
      </c>
      <c r="J168" s="4" t="str">
        <f t="shared" si="14"/>
        <v/>
      </c>
      <c r="L168" s="5">
        <f>IF(Settings!$F$7="Yes",INDEX('Minutes &amp; Health'!$O:$O,AL168),Settings!$F$8)</f>
        <v>79</v>
      </c>
      <c r="M168" s="6">
        <f>INDEX('Minutes &amp; Health'!$P:$P,AL168)</f>
        <v>23.7</v>
      </c>
      <c r="N168" s="5">
        <f>INDEX('Player Data'!$F:$F,AL168)/INDEX('Player Data'!$E:$E,AL168)*M168*L168*AM168</f>
        <v>527.9304975922953</v>
      </c>
      <c r="O168" s="5">
        <f>INDEX('Player Data'!$G:$G,AL168)/INDEX('Player Data'!$E:$E,AL168)*M168*L168*AM168</f>
        <v>433.76452648475123</v>
      </c>
      <c r="P168" s="5">
        <f>INDEX('Player Data'!$H:$H,AL168)/INDEX('Player Data'!$E:$E,AL168)*M168*L168*AM168</f>
        <v>177.31252006420547</v>
      </c>
      <c r="Q168" s="5">
        <f>INDEX('Player Data'!$I:$I,AL168)/INDEX('Player Data'!$E:$E,AL168)*M168*L168*AM168</f>
        <v>76.134189406099509</v>
      </c>
      <c r="R168" s="5">
        <f>INDEX('Player Data'!$J:$J,AL168)/INDEX('Player Data'!$E:$E,AL168)*M168*L168*AM168</f>
        <v>62.109470304975929</v>
      </c>
      <c r="S168" s="5">
        <f>INDEX('Player Data'!$K:$K,AL168)/INDEX('Player Data'!$E:$E,AL168)*M168*L168*AM168</f>
        <v>0</v>
      </c>
      <c r="T168" s="5">
        <f>INDEX('Player Data'!$L:$L,AL168)/INDEX('Player Data'!$E:$E,AL168)*M168*L168*AM168</f>
        <v>97.1712680577849</v>
      </c>
      <c r="U168" s="7">
        <f>INDEX('Player Data'!$M:$M,AL168)</f>
        <v>0.63500000000000001</v>
      </c>
      <c r="V168" s="7">
        <f>INDEX('Player Data'!$N:$N,AL168)</f>
        <v>0.48099999999999998</v>
      </c>
      <c r="W168" s="5">
        <f t="shared" si="15"/>
        <v>235.23761524879615</v>
      </c>
      <c r="X168" s="5">
        <f>INDEX('Player Data'!$O:$O,AL168)/INDEX('Player Data'!$E:$E,AL168)*M168*L168*AM168</f>
        <v>370.45293739967894</v>
      </c>
      <c r="Y168" s="5">
        <f t="shared" si="16"/>
        <v>57.436433900481539</v>
      </c>
      <c r="Z168" s="5">
        <f>INDEX('Player Data'!$P:$P,AL168)/INDEX('Player Data'!$E:$E,AL168)*M168*L168*AM168</f>
        <v>119.41046548956662</v>
      </c>
      <c r="AB168" s="3">
        <f>(N168-Pool!$D$2)/Pool!$E$2</f>
        <v>-1.7536951632037887</v>
      </c>
      <c r="AC168" s="3">
        <f>(O168-Pool!$D$3)/Pool!$E$3</f>
        <v>2.5259499411566032E-2</v>
      </c>
      <c r="AD168" s="3">
        <f>(P168-Pool!$D$4)/Pool!$E$4</f>
        <v>-0.69493245483525035</v>
      </c>
      <c r="AE168" s="3">
        <f>(Q168-Pool!$D$5)/Pool!$E$5</f>
        <v>8.4405530129615852E-2</v>
      </c>
      <c r="AF168" s="3">
        <f>(R168-Pool!$D$6)/Pool!$E$6</f>
        <v>0.3407876128072998</v>
      </c>
      <c r="AG168" s="3">
        <f>(S168-Pool!$D$7)/Pool!$E$7</f>
        <v>-1.7381805406185855</v>
      </c>
      <c r="AH168" s="3">
        <f>(AS168-Pool!$D$8)/Pool!$E$8</f>
        <v>1.2227531175688258</v>
      </c>
      <c r="AI168" s="3">
        <f>(AT168-Pool!$D$9)/Pool!$E$9</f>
        <v>-1.7080889402367676</v>
      </c>
      <c r="AJ168" s="3">
        <f>-(T168-Pool!$D$10)/Pool!$E$10</f>
        <v>0.78972589658423031</v>
      </c>
      <c r="AL168">
        <f>MATCH(B168,'Player Data'!$A:$A,0)</f>
        <v>233</v>
      </c>
      <c r="AM168" s="3">
        <f>1+IF(Settings!$F$10="ON",IFERROR(VLOOKUP(TRIM(F168),Settings!$D$12:$F$17,3,FALSE),0),0)</f>
        <v>1</v>
      </c>
      <c r="AN168" t="str">
        <f t="shared" si="17"/>
        <v>C</v>
      </c>
      <c r="AO168" s="6">
        <f>X168*(U168-Pool!$B$12)</f>
        <v>57.195425685175927</v>
      </c>
      <c r="AP168" s="6">
        <f>Z168*(V168-Pool!$B$13)</f>
        <v>-36.909733953217149</v>
      </c>
      <c r="AQ168" s="3">
        <f>Settings!$B$2*(N168-Pool!$B$2)/Pool!$C$2+Settings!$B$3*(O168-Pool!$B$3)/Pool!$C$3+Settings!$B$4*(P168-Pool!$B$4)/Pool!$C$4+Settings!$B$5*(Q168-Pool!$B$5)/Pool!$C$5+Settings!$B$6*(R168-Pool!$B$6)/Pool!$C$6+Settings!$B$7*(S168-Pool!$B$7)/Pool!$C$7+Settings!$B$8*(AO168-Pool!$B$8)/Pool!$C$8+Settings!$B$9*(AP168-Pool!$B$9)/Pool!$C$9+Settings!$B$10*-(T168-Pool!$B$10)/Pool!$C$10</f>
        <v>-1.383797857871929</v>
      </c>
      <c r="AR168">
        <f>IF(RANK(AQ168,$AQ$2:$AQ$266)&lt;=Settings!$F$5,1,0)</f>
        <v>0</v>
      </c>
      <c r="AS168" s="6">
        <f>X168*(U168-Pool!$D$12)</f>
        <v>55.911130752707713</v>
      </c>
      <c r="AT168" s="6">
        <f>Z168*(V168-Pool!$D$13)</f>
        <v>-38.108468574349125</v>
      </c>
    </row>
    <row r="169" spans="1:46" x14ac:dyDescent="0.2">
      <c r="A169">
        <f t="shared" si="12"/>
        <v>168</v>
      </c>
      <c r="B169" t="s">
        <v>210</v>
      </c>
      <c r="C169" t="str">
        <f>INDEX('Player Data'!$C:$C,AL169)</f>
        <v>PG,SG</v>
      </c>
      <c r="D169">
        <f t="shared" si="13"/>
        <v>58</v>
      </c>
      <c r="E169" t="str">
        <f>INDEX('Player Data'!$B:$B,AL169)</f>
        <v>LAC</v>
      </c>
      <c r="F169" s="2"/>
      <c r="G169" s="3">
        <f>Settings!$B$2*AB169+Settings!$B$3*AC169+Settings!$B$4*AD169+Settings!$B$5*AE169+Settings!$B$6*AF169+Settings!$B$7*AG169+Settings!$B$8*AH169+Settings!$B$9*AI169+Settings!$B$10*AJ169</f>
        <v>-3.4711372179370015</v>
      </c>
      <c r="H169" s="3">
        <f>G169-LARGE($G$2:$G$266,Settings!$F$4)</f>
        <v>-0.25487245148983639</v>
      </c>
      <c r="I169" t="str">
        <f>IF(INDEX('Player Data'!$R:$R,AL169)="","",INDEX('Player Data'!$R:$R,AL169))</f>
        <v/>
      </c>
      <c r="J169" s="4" t="str">
        <f t="shared" si="14"/>
        <v/>
      </c>
      <c r="L169" s="5">
        <f>IF(Settings!$F$7="Yes",INDEX('Minutes &amp; Health'!$O:$O,AL169),Settings!$F$8)</f>
        <v>77</v>
      </c>
      <c r="M169" s="6">
        <f>INDEX('Minutes &amp; Health'!$P:$P,AL169)</f>
        <v>20.6</v>
      </c>
      <c r="N169" s="5">
        <f>INDEX('Player Data'!$F:$F,AL169)/INDEX('Player Data'!$E:$E,AL169)*M169*L169*AM169</f>
        <v>424.98188679245288</v>
      </c>
      <c r="O169" s="5">
        <f>INDEX('Player Data'!$G:$G,AL169)/INDEX('Player Data'!$E:$E,AL169)*M169*L169*AM169</f>
        <v>212.49094339622644</v>
      </c>
      <c r="P169" s="5">
        <f>INDEX('Player Data'!$H:$H,AL169)/INDEX('Player Data'!$E:$E,AL169)*M169*L169*AM169</f>
        <v>209.49811320754716</v>
      </c>
      <c r="Q169" s="5">
        <f>INDEX('Player Data'!$I:$I,AL169)/INDEX('Player Data'!$E:$E,AL169)*M169*L169*AM169</f>
        <v>99.761006289308185</v>
      </c>
      <c r="R169" s="5">
        <f>INDEX('Player Data'!$J:$J,AL169)/INDEX('Player Data'!$E:$E,AL169)*M169*L169*AM169</f>
        <v>19.952201257861638</v>
      </c>
      <c r="S169" s="5">
        <f>INDEX('Player Data'!$K:$K,AL169)/INDEX('Player Data'!$E:$E,AL169)*M169*L169*AM169</f>
        <v>62.849433962264158</v>
      </c>
      <c r="T169" s="5">
        <f>INDEX('Player Data'!$L:$L,AL169)/INDEX('Player Data'!$E:$E,AL169)*M169*L169*AM169</f>
        <v>72.825534591194966</v>
      </c>
      <c r="U169" s="7">
        <f>INDEX('Player Data'!$M:$M,AL169)</f>
        <v>0.46200000000000002</v>
      </c>
      <c r="V169" s="7">
        <f>INDEX('Player Data'!$N:$N,AL169)</f>
        <v>0.745</v>
      </c>
      <c r="W169" s="5">
        <f t="shared" si="15"/>
        <v>156.42805116981134</v>
      </c>
      <c r="X169" s="5">
        <f>INDEX('Player Data'!$O:$O,AL169)/INDEX('Player Data'!$E:$E,AL169)*M169*L169*AM169</f>
        <v>338.58885534591195</v>
      </c>
      <c r="Y169" s="5">
        <f t="shared" si="16"/>
        <v>49.349774591194972</v>
      </c>
      <c r="Z169" s="5">
        <f>INDEX('Player Data'!$P:$P,AL169)/INDEX('Player Data'!$E:$E,AL169)*M169*L169*AM169</f>
        <v>66.241308176100631</v>
      </c>
      <c r="AB169" s="3">
        <f>(N169-Pool!$D$2)/Pool!$E$2</f>
        <v>-2.0074594894609215</v>
      </c>
      <c r="AC169" s="3">
        <f>(O169-Pool!$D$3)/Pool!$E$3</f>
        <v>-1.2626655313270103</v>
      </c>
      <c r="AD169" s="3">
        <f>(P169-Pool!$D$4)/Pool!$E$4</f>
        <v>-0.47725074343589585</v>
      </c>
      <c r="AE169" s="3">
        <f>(Q169-Pool!$D$5)/Pool!$E$5</f>
        <v>1.1274862370993144</v>
      </c>
      <c r="AF169" s="3">
        <f>(R169-Pool!$D$6)/Pool!$E$6</f>
        <v>-0.87927435027554934</v>
      </c>
      <c r="AG169" s="3">
        <f>(S169-Pool!$D$7)/Pool!$E$7</f>
        <v>-0.85298951322097905</v>
      </c>
      <c r="AH169" s="3">
        <f>(AS169-Pool!$D$8)/Pool!$E$8</f>
        <v>-0.16345047830410425</v>
      </c>
      <c r="AI169" s="3">
        <f>(AT169-Pool!$D$9)/Pool!$E$9</f>
        <v>-0.16370889861614452</v>
      </c>
      <c r="AJ169" s="3">
        <f>-(T169-Pool!$D$10)/Pool!$E$10</f>
        <v>1.2081755496042879</v>
      </c>
      <c r="AL169">
        <f>MATCH(B169,'Player Data'!$A:$A,0)</f>
        <v>248</v>
      </c>
      <c r="AM169" s="3">
        <f>1+IF(Settings!$F$10="ON",IFERROR(VLOOKUP(TRIM(F169),Settings!$D$12:$F$17,3,FALSE),0),0)</f>
        <v>1</v>
      </c>
      <c r="AN169" t="str">
        <f t="shared" si="17"/>
        <v>PG</v>
      </c>
      <c r="AO169" s="6">
        <f>X169*(U169-Pool!$B$12)</f>
        <v>-6.300044849001023</v>
      </c>
      <c r="AP169" s="6">
        <f>Z169*(V169-Pool!$B$13)</f>
        <v>-2.9874602936068801</v>
      </c>
      <c r="AQ169" s="3">
        <f>Settings!$B$2*(N169-Pool!$B$2)/Pool!$C$2+Settings!$B$3*(O169-Pool!$B$3)/Pool!$C$3+Settings!$B$4*(P169-Pool!$B$4)/Pool!$C$4+Settings!$B$5*(Q169-Pool!$B$5)/Pool!$C$5+Settings!$B$6*(R169-Pool!$B$6)/Pool!$C$6+Settings!$B$7*(S169-Pool!$B$7)/Pool!$C$7+Settings!$B$8*(AO169-Pool!$B$8)/Pool!$C$8+Settings!$B$9*(AP169-Pool!$B$9)/Pool!$C$9+Settings!$B$10*-(T169-Pool!$B$10)/Pool!$C$10</f>
        <v>-1.6077464473945602</v>
      </c>
      <c r="AR169">
        <f>IF(RANK(AQ169,$AQ$2:$AQ$266)&lt;=Settings!$F$5,1,0)</f>
        <v>0</v>
      </c>
      <c r="AS169" s="6">
        <f>X169*(U169-Pool!$D$12)</f>
        <v>-7.4738726344230946</v>
      </c>
      <c r="AT169" s="6">
        <f>Z169*(V169-Pool!$D$13)</f>
        <v>-3.652441785255975</v>
      </c>
    </row>
    <row r="170" spans="1:46" x14ac:dyDescent="0.2">
      <c r="A170">
        <f t="shared" si="12"/>
        <v>169</v>
      </c>
      <c r="B170" t="s">
        <v>211</v>
      </c>
      <c r="C170" t="str">
        <f>INDEX('Player Data'!$C:$C,AL170)</f>
        <v>SF,PF</v>
      </c>
      <c r="D170">
        <f t="shared" si="13"/>
        <v>19</v>
      </c>
      <c r="E170" t="str">
        <f>INDEX('Player Data'!$B:$B,AL170)</f>
        <v>BOS</v>
      </c>
      <c r="F170" s="2"/>
      <c r="G170" s="3">
        <f>Settings!$B$2*AB170+Settings!$B$3*AC170+Settings!$B$4*AD170+Settings!$B$5*AE170+Settings!$B$6*AF170+Settings!$B$7*AG170+Settings!$B$8*AH170+Settings!$B$9*AI170+Settings!$B$10*AJ170</f>
        <v>-3.5093545281451624</v>
      </c>
      <c r="H170" s="3">
        <f>G170-LARGE($G$2:$G$266,Settings!$F$4)</f>
        <v>-0.29308976169799728</v>
      </c>
      <c r="I170">
        <f>IF(INDEX('Player Data'!$R:$R,AL170)="","",INDEX('Player Data'!$R:$R,AL170))</f>
        <v>133</v>
      </c>
      <c r="J170" s="4">
        <f t="shared" si="14"/>
        <v>-36</v>
      </c>
      <c r="L170" s="5">
        <f>IF(Settings!$F$7="Yes",INDEX('Minutes &amp; Health'!$O:$O,AL170),Settings!$F$8)</f>
        <v>78</v>
      </c>
      <c r="M170" s="6">
        <f>INDEX('Minutes &amp; Health'!$P:$P,AL170)</f>
        <v>24.1</v>
      </c>
      <c r="N170" s="5">
        <f>INDEX('Player Data'!$F:$F,AL170)/INDEX('Player Data'!$E:$E,AL170)*M170*L170*AM170</f>
        <v>722.92308510638293</v>
      </c>
      <c r="O170" s="5">
        <f>INDEX('Player Data'!$G:$G,AL170)/INDEX('Player Data'!$E:$E,AL170)*M170*L170*AM170</f>
        <v>285.96957446808511</v>
      </c>
      <c r="P170" s="5">
        <f>INDEX('Player Data'!$H:$H,AL170)/INDEX('Player Data'!$E:$E,AL170)*M170*L170*AM170</f>
        <v>95.989787234042552</v>
      </c>
      <c r="Q170" s="5">
        <f>INDEX('Player Data'!$I:$I,AL170)/INDEX('Player Data'!$E:$E,AL170)*M170*L170*AM170</f>
        <v>36.996063829787239</v>
      </c>
      <c r="R170" s="5">
        <f>INDEX('Player Data'!$J:$J,AL170)/INDEX('Player Data'!$E:$E,AL170)*M170*L170*AM170</f>
        <v>18.997978723404255</v>
      </c>
      <c r="S170" s="5">
        <f>INDEX('Player Data'!$K:$K,AL170)/INDEX('Player Data'!$E:$E,AL170)*M170*L170*AM170</f>
        <v>197.97893617021276</v>
      </c>
      <c r="T170" s="5">
        <f>INDEX('Player Data'!$L:$L,AL170)/INDEX('Player Data'!$E:$E,AL170)*M170*L170*AM170</f>
        <v>31.996595744680853</v>
      </c>
      <c r="U170" s="7">
        <f>INDEX('Player Data'!$M:$M,AL170)</f>
        <v>0.42299999999999999</v>
      </c>
      <c r="V170" s="7">
        <f>INDEX('Player Data'!$N:$N,AL170)</f>
        <v>0.88800000000000001</v>
      </c>
      <c r="W170" s="5">
        <f t="shared" si="15"/>
        <v>240.66139500000003</v>
      </c>
      <c r="X170" s="5">
        <f>INDEX('Player Data'!$O:$O,AL170)/INDEX('Player Data'!$E:$E,AL170)*M170*L170*AM170</f>
        <v>568.93946808510645</v>
      </c>
      <c r="Y170" s="5">
        <f t="shared" si="16"/>
        <v>43.684952170212775</v>
      </c>
      <c r="Z170" s="5">
        <f>INDEX('Player Data'!$P:$P,AL170)/INDEX('Player Data'!$E:$E,AL170)*M170*L170*AM170</f>
        <v>49.194765957446819</v>
      </c>
      <c r="AB170" s="3">
        <f>(N170-Pool!$D$2)/Pool!$E$2</f>
        <v>-1.2730460100855114</v>
      </c>
      <c r="AC170" s="3">
        <f>(O170-Pool!$D$3)/Pool!$E$3</f>
        <v>-0.83498244841696623</v>
      </c>
      <c r="AD170" s="3">
        <f>(P170-Pool!$D$4)/Pool!$E$4</f>
        <v>-1.2449447407453669</v>
      </c>
      <c r="AE170" s="3">
        <f>(Q170-Pool!$D$5)/Pool!$E$5</f>
        <v>-1.6434710559297605</v>
      </c>
      <c r="AF170" s="3">
        <f>(R170-Pool!$D$6)/Pool!$E$6</f>
        <v>-0.90689024297739551</v>
      </c>
      <c r="AG170" s="3">
        <f>(S170-Pool!$D$7)/Pool!$E$7</f>
        <v>1.0502165357467848</v>
      </c>
      <c r="AH170" s="3">
        <f>(AS170-Pool!$D$8)/Pool!$E$8</f>
        <v>-0.75990628625654921</v>
      </c>
      <c r="AI170" s="3">
        <f>(AT170-Pool!$D$9)/Pool!$E$9</f>
        <v>0.19373444299638309</v>
      </c>
      <c r="AJ170" s="3">
        <f>-(T170-Pool!$D$10)/Pool!$E$10</f>
        <v>1.9099352775232195</v>
      </c>
      <c r="AL170">
        <f>MATCH(B170,'Player Data'!$A:$A,0)</f>
        <v>188</v>
      </c>
      <c r="AM170" s="3">
        <f>1+IF(Settings!$F$10="ON",IFERROR(VLOOKUP(TRIM(F170),Settings!$D$12:$F$17,3,FALSE),0),0)</f>
        <v>1</v>
      </c>
      <c r="AN170" t="str">
        <f t="shared" si="17"/>
        <v>SF</v>
      </c>
      <c r="AO170" s="6">
        <f>X170*(U170-Pool!$B$12)</f>
        <v>-32.774764902133768</v>
      </c>
      <c r="AP170" s="6">
        <f>Z170*(V170-Pool!$B$13)</f>
        <v>4.8161844494284338</v>
      </c>
      <c r="AQ170" s="3">
        <f>Settings!$B$2*(N170-Pool!$B$2)/Pool!$C$2+Settings!$B$3*(O170-Pool!$B$3)/Pool!$C$3+Settings!$B$4*(P170-Pool!$B$4)/Pool!$C$4+Settings!$B$5*(Q170-Pool!$B$5)/Pool!$C$5+Settings!$B$6*(R170-Pool!$B$6)/Pool!$C$6+Settings!$B$7*(S170-Pool!$B$7)/Pool!$C$7+Settings!$B$8*(AO170-Pool!$B$8)/Pool!$C$8+Settings!$B$9*(AP170-Pool!$B$9)/Pool!$C$9+Settings!$B$10*-(T170-Pool!$B$10)/Pool!$C$10</f>
        <v>-1.4244082888315817</v>
      </c>
      <c r="AR170">
        <f>IF(RANK(AQ170,$AQ$2:$AQ$266)&lt;=Settings!$F$5,1,0)</f>
        <v>0</v>
      </c>
      <c r="AS170" s="6">
        <f>X170*(U170-Pool!$D$12)</f>
        <v>-34.747177594746674</v>
      </c>
      <c r="AT170" s="6">
        <f>Z170*(V170-Pool!$D$13)</f>
        <v>4.3223293347205098</v>
      </c>
    </row>
    <row r="171" spans="1:46" x14ac:dyDescent="0.2">
      <c r="A171">
        <f t="shared" si="12"/>
        <v>170</v>
      </c>
      <c r="B171" t="s">
        <v>212</v>
      </c>
      <c r="C171" t="str">
        <f>INDEX('Player Data'!$C:$C,AL171)</f>
        <v>PF,SF,SG</v>
      </c>
      <c r="D171">
        <f t="shared" si="13"/>
        <v>49</v>
      </c>
      <c r="E171" t="str">
        <f>INDEX('Player Data'!$B:$B,AL171)</f>
        <v>IND</v>
      </c>
      <c r="F171" s="2"/>
      <c r="G171" s="3">
        <f>Settings!$B$2*AB171+Settings!$B$3*AC171+Settings!$B$4*AD171+Settings!$B$5*AE171+Settings!$B$6*AF171+Settings!$B$7*AG171+Settings!$B$8*AH171+Settings!$B$9*AI171+Settings!$B$10*AJ171</f>
        <v>-3.5160427857149759</v>
      </c>
      <c r="H171" s="3">
        <f>G171-LARGE($G$2:$G$266,Settings!$F$4)</f>
        <v>-0.29977801926781078</v>
      </c>
      <c r="I171">
        <f>IF(INDEX('Player Data'!$R:$R,AL171)="","",INDEX('Player Data'!$R:$R,AL171))</f>
        <v>139</v>
      </c>
      <c r="J171" s="4">
        <f t="shared" si="14"/>
        <v>-31</v>
      </c>
      <c r="L171" s="5">
        <f>IF(Settings!$F$7="Yes",INDEX('Minutes &amp; Health'!$O:$O,AL171),Settings!$F$8)</f>
        <v>73</v>
      </c>
      <c r="M171" s="6">
        <f>INDEX('Minutes &amp; Health'!$P:$P,AL171)</f>
        <v>25.6</v>
      </c>
      <c r="N171" s="5">
        <f>INDEX('Player Data'!$F:$F,AL171)/INDEX('Player Data'!$E:$E,AL171)*M171*L171*AM171</f>
        <v>830.57777777777778</v>
      </c>
      <c r="O171" s="5">
        <f>INDEX('Player Data'!$G:$G,AL171)/INDEX('Player Data'!$E:$E,AL171)*M171*L171*AM171</f>
        <v>306.47521367521369</v>
      </c>
      <c r="P171" s="5">
        <f>INDEX('Player Data'!$H:$H,AL171)/INDEX('Player Data'!$E:$E,AL171)*M171*L171*AM171</f>
        <v>99.82905982905983</v>
      </c>
      <c r="Q171" s="5">
        <f>INDEX('Player Data'!$I:$I,AL171)/INDEX('Player Data'!$E:$E,AL171)*M171*L171*AM171</f>
        <v>66.885470085470089</v>
      </c>
      <c r="R171" s="5">
        <f>INDEX('Player Data'!$J:$J,AL171)/INDEX('Player Data'!$E:$E,AL171)*M171*L171*AM171</f>
        <v>30.947008547008551</v>
      </c>
      <c r="S171" s="5">
        <f>INDEX('Player Data'!$K:$K,AL171)/INDEX('Player Data'!$E:$E,AL171)*M171*L171*AM171</f>
        <v>79.863247863247878</v>
      </c>
      <c r="T171" s="5">
        <f>INDEX('Player Data'!$L:$L,AL171)/INDEX('Player Data'!$E:$E,AL171)*M171*L171*AM171</f>
        <v>70.878632478632483</v>
      </c>
      <c r="U171" s="7">
        <f>INDEX('Player Data'!$M:$M,AL171)</f>
        <v>0.48399999999999999</v>
      </c>
      <c r="V171" s="7">
        <f>INDEX('Player Data'!$N:$N,AL171)</f>
        <v>0.75800000000000001</v>
      </c>
      <c r="W171" s="5">
        <f t="shared" si="15"/>
        <v>311.93626256410255</v>
      </c>
      <c r="X171" s="5">
        <f>INDEX('Player Data'!$O:$O,AL171)/INDEX('Player Data'!$E:$E,AL171)*M171*L171*AM171</f>
        <v>644.49641025641029</v>
      </c>
      <c r="Y171" s="5">
        <f t="shared" si="16"/>
        <v>126.82363623931626</v>
      </c>
      <c r="Z171" s="5">
        <f>INDEX('Player Data'!$P:$P,AL171)/INDEX('Player Data'!$E:$E,AL171)*M171*L171*AM171</f>
        <v>167.31350427350429</v>
      </c>
      <c r="AB171" s="3">
        <f>(N171-Pool!$D$2)/Pool!$E$2</f>
        <v>-1.0076813748376408</v>
      </c>
      <c r="AC171" s="3">
        <f>(O171-Pool!$D$3)/Pool!$E$3</f>
        <v>-0.71562917706152607</v>
      </c>
      <c r="AD171" s="3">
        <f>(P171-Pool!$D$4)/Pool!$E$4</f>
        <v>-1.2189784823237819</v>
      </c>
      <c r="AE171" s="3">
        <f>(Q171-Pool!$D$5)/Pool!$E$5</f>
        <v>-0.32390849436272184</v>
      </c>
      <c r="AF171" s="3">
        <f>(R171-Pool!$D$6)/Pool!$E$6</f>
        <v>-0.5610766475277138</v>
      </c>
      <c r="AG171" s="3">
        <f>(S171-Pool!$D$7)/Pool!$E$7</f>
        <v>-0.61336165251493013</v>
      </c>
      <c r="AH171" s="3">
        <f>(AS171-Pool!$D$8)/Pool!$E$8</f>
        <v>-1.0372855679834138E-3</v>
      </c>
      <c r="AI171" s="3">
        <f>(AT171-Pool!$D$9)/Pool!$E$9</f>
        <v>-0.31600818967898719</v>
      </c>
      <c r="AJ171" s="3">
        <f>-(T171-Pool!$D$10)/Pool!$E$10</f>
        <v>1.2416385181603098</v>
      </c>
      <c r="AL171">
        <f>MATCH(B171,'Player Data'!$A:$A,0)</f>
        <v>148</v>
      </c>
      <c r="AM171" s="3">
        <f>1+IF(Settings!$F$10="ON",IFERROR(VLOOKUP(TRIM(F171),Settings!$D$12:$F$17,3,FALSE),0),0)</f>
        <v>1</v>
      </c>
      <c r="AN171" t="str">
        <f t="shared" si="17"/>
        <v>PF</v>
      </c>
      <c r="AO171" s="6">
        <f>X171*(U171-Pool!$B$12)</f>
        <v>2.1869247578153157</v>
      </c>
      <c r="AP171" s="6">
        <f>Z171*(V171-Pool!$B$13)</f>
        <v>-5.3707061381347634</v>
      </c>
      <c r="AQ171" s="3">
        <f>Settings!$B$2*(N171-Pool!$B$2)/Pool!$C$2+Settings!$B$3*(O171-Pool!$B$3)/Pool!$C$3+Settings!$B$4*(P171-Pool!$B$4)/Pool!$C$4+Settings!$B$5*(Q171-Pool!$B$5)/Pool!$C$5+Settings!$B$6*(R171-Pool!$B$6)/Pool!$C$6+Settings!$B$7*(S171-Pool!$B$7)/Pool!$C$7+Settings!$B$8*(AO171-Pool!$B$8)/Pool!$C$8+Settings!$B$9*(AP171-Pool!$B$9)/Pool!$C$9+Settings!$B$10*-(T171-Pool!$B$10)/Pool!$C$10</f>
        <v>-1.5098230780643185</v>
      </c>
      <c r="AR171">
        <f>IF(RANK(AQ171,$AQ$2:$AQ$266)&lt;=Settings!$F$5,1,0)</f>
        <v>0</v>
      </c>
      <c r="AS171" s="6">
        <f>X171*(U171-Pool!$D$12)</f>
        <v>-4.7430514129081454E-2</v>
      </c>
      <c r="AT171" s="6">
        <f>Z171*(V171-Pool!$D$13)</f>
        <v>-7.0503285174067658</v>
      </c>
    </row>
    <row r="172" spans="1:46" x14ac:dyDescent="0.2">
      <c r="A172">
        <f t="shared" si="12"/>
        <v>171</v>
      </c>
      <c r="B172" t="s">
        <v>213</v>
      </c>
      <c r="C172" t="str">
        <f>INDEX('Player Data'!$C:$C,AL172)</f>
        <v>PG,SF,SG</v>
      </c>
      <c r="D172">
        <f t="shared" si="13"/>
        <v>59</v>
      </c>
      <c r="E172" t="str">
        <f>INDEX('Player Data'!$B:$B,AL172)</f>
        <v>CHA</v>
      </c>
      <c r="F172" s="2"/>
      <c r="G172" s="3">
        <f>Settings!$B$2*AB172+Settings!$B$3*AC172+Settings!$B$4*AD172+Settings!$B$5*AE172+Settings!$B$6*AF172+Settings!$B$7*AG172+Settings!$B$8*AH172+Settings!$B$9*AI172+Settings!$B$10*AJ172</f>
        <v>-3.5270709880067397</v>
      </c>
      <c r="H172" s="3">
        <f>G172-LARGE($G$2:$G$266,Settings!$F$4)</f>
        <v>-0.3108062215595746</v>
      </c>
      <c r="I172" t="str">
        <f>IF(INDEX('Player Data'!$R:$R,AL172)="","",INDEX('Player Data'!$R:$R,AL172))</f>
        <v/>
      </c>
      <c r="J172" s="4" t="str">
        <f t="shared" si="14"/>
        <v/>
      </c>
      <c r="L172" s="5">
        <f>IF(Settings!$F$7="Yes",INDEX('Minutes &amp; Health'!$O:$O,AL172),Settings!$F$8)</f>
        <v>71</v>
      </c>
      <c r="M172" s="6">
        <f>INDEX('Minutes &amp; Health'!$P:$P,AL172)</f>
        <v>23</v>
      </c>
      <c r="N172" s="5">
        <f>INDEX('Player Data'!$F:$F,AL172)/INDEX('Player Data'!$E:$E,AL172)*M172*L172*AM172</f>
        <v>840.02881667688541</v>
      </c>
      <c r="O172" s="5">
        <f>INDEX('Player Data'!$G:$G,AL172)/INDEX('Player Data'!$E:$E,AL172)*M172*L172*AM172</f>
        <v>180.22072348252604</v>
      </c>
      <c r="P172" s="5">
        <f>INDEX('Player Data'!$H:$H,AL172)/INDEX('Player Data'!$E:$E,AL172)*M172*L172*AM172</f>
        <v>181.22194972409565</v>
      </c>
      <c r="Q172" s="5">
        <f>INDEX('Player Data'!$I:$I,AL172)/INDEX('Player Data'!$E:$E,AL172)*M172*L172*AM172</f>
        <v>61.074800735744937</v>
      </c>
      <c r="R172" s="5">
        <f>INDEX('Player Data'!$J:$J,AL172)/INDEX('Player Data'!$E:$E,AL172)*M172*L172*AM172</f>
        <v>17.020846106683017</v>
      </c>
      <c r="S172" s="5">
        <f>INDEX('Player Data'!$K:$K,AL172)/INDEX('Player Data'!$E:$E,AL172)*M172*L172*AM172</f>
        <v>173.21213979153893</v>
      </c>
      <c r="T172" s="5">
        <f>INDEX('Player Data'!$L:$L,AL172)/INDEX('Player Data'!$E:$E,AL172)*M172*L172*AM172</f>
        <v>84.103004291845494</v>
      </c>
      <c r="U172" s="7">
        <f>INDEX('Player Data'!$M:$M,AL172)</f>
        <v>0.41699999999999998</v>
      </c>
      <c r="V172" s="7">
        <f>INDEX('Player Data'!$N:$N,AL172)</f>
        <v>0.84699999999999998</v>
      </c>
      <c r="W172" s="5">
        <f t="shared" si="15"/>
        <v>265.24495603923975</v>
      </c>
      <c r="X172" s="5">
        <f>INDEX('Player Data'!$O:$O,AL172)/INDEX('Player Data'!$E:$E,AL172)*M172*L172*AM172</f>
        <v>636.07903126916005</v>
      </c>
      <c r="Y172" s="5">
        <f t="shared" si="16"/>
        <v>136.36461115879828</v>
      </c>
      <c r="Z172" s="5">
        <f>INDEX('Player Data'!$P:$P,AL172)/INDEX('Player Data'!$E:$E,AL172)*M172*L172*AM172</f>
        <v>160.99717964438994</v>
      </c>
      <c r="AB172" s="3">
        <f>(N172-Pool!$D$2)/Pool!$E$2</f>
        <v>-0.98438493110684622</v>
      </c>
      <c r="AC172" s="3">
        <f>(O172-Pool!$D$3)/Pool!$E$3</f>
        <v>-1.4504946584834395</v>
      </c>
      <c r="AD172" s="3">
        <f>(P172-Pool!$D$4)/Pool!$E$4</f>
        <v>-0.66849170119835977</v>
      </c>
      <c r="AE172" s="3">
        <f>(Q172-Pool!$D$5)/Pool!$E$5</f>
        <v>-0.58043890737768689</v>
      </c>
      <c r="AF172" s="3">
        <f>(R172-Pool!$D$6)/Pool!$E$6</f>
        <v>-0.9641098958665848</v>
      </c>
      <c r="AG172" s="3">
        <f>(S172-Pool!$D$7)/Pool!$E$7</f>
        <v>0.70139325207252368</v>
      </c>
      <c r="AH172" s="3">
        <f>(AS172-Pool!$D$8)/Pool!$E$8</f>
        <v>-0.93304621277053579</v>
      </c>
      <c r="AI172" s="3">
        <f>(AT172-Pool!$D$9)/Pool!$E$9</f>
        <v>0.33816143647681712</v>
      </c>
      <c r="AJ172" s="3">
        <f>-(T172-Pool!$D$10)/Pool!$E$10</f>
        <v>1.0143406302473721</v>
      </c>
      <c r="AL172">
        <f>MATCH(B172,'Player Data'!$A:$A,0)</f>
        <v>140</v>
      </c>
      <c r="AM172" s="3">
        <f>1+IF(Settings!$F$10="ON",IFERROR(VLOOKUP(TRIM(F172),Settings!$D$12:$F$17,3,FALSE),0),0)</f>
        <v>1</v>
      </c>
      <c r="AN172" t="str">
        <f t="shared" si="17"/>
        <v>PG</v>
      </c>
      <c r="AO172" s="6">
        <f>X172*(U172-Pool!$B$12)</f>
        <v>-40.458932442778952</v>
      </c>
      <c r="AP172" s="6">
        <f>Z172*(V172-Pool!$B$13)</f>
        <v>9.1607947058018588</v>
      </c>
      <c r="AQ172" s="3">
        <f>Settings!$B$2*(N172-Pool!$B$2)/Pool!$C$2+Settings!$B$3*(O172-Pool!$B$3)/Pool!$C$3+Settings!$B$4*(P172-Pool!$B$4)/Pool!$C$4+Settings!$B$5*(Q172-Pool!$B$5)/Pool!$C$5+Settings!$B$6*(R172-Pool!$B$6)/Pool!$C$6+Settings!$B$7*(S172-Pool!$B$7)/Pool!$C$7+Settings!$B$8*(AO172-Pool!$B$8)/Pool!$C$8+Settings!$B$9*(AP172-Pool!$B$9)/Pool!$C$9+Settings!$B$10*-(T172-Pool!$B$10)/Pool!$C$10</f>
        <v>-1.5200332863349226</v>
      </c>
      <c r="AR172">
        <f>IF(RANK(AQ172,$AQ$2:$AQ$266)&lt;=Settings!$F$5,1,0)</f>
        <v>0</v>
      </c>
      <c r="AS172" s="6">
        <f>X172*(U172-Pool!$D$12)</f>
        <v>-42.664106147818053</v>
      </c>
      <c r="AT172" s="6">
        <f>Z172*(V172-Pool!$D$13)</f>
        <v>7.5445804790748241</v>
      </c>
    </row>
    <row r="173" spans="1:46" x14ac:dyDescent="0.2">
      <c r="A173">
        <f t="shared" si="12"/>
        <v>172</v>
      </c>
      <c r="B173" t="s">
        <v>214</v>
      </c>
      <c r="C173" t="str">
        <f>INDEX('Player Data'!$C:$C,AL173)</f>
        <v>SF,PF</v>
      </c>
      <c r="D173">
        <f t="shared" si="13"/>
        <v>20</v>
      </c>
      <c r="E173" t="str">
        <f>INDEX('Player Data'!$B:$B,AL173)</f>
        <v>LAL</v>
      </c>
      <c r="F173" s="2"/>
      <c r="G173" s="3">
        <f>Settings!$B$2*AB173+Settings!$B$3*AC173+Settings!$B$4*AD173+Settings!$B$5*AE173+Settings!$B$6*AF173+Settings!$B$7*AG173+Settings!$B$8*AH173+Settings!$B$9*AI173+Settings!$B$10*AJ173</f>
        <v>-3.5460267945831987</v>
      </c>
      <c r="H173" s="3">
        <f>G173-LARGE($G$2:$G$266,Settings!$F$4)</f>
        <v>-0.32976202813603361</v>
      </c>
      <c r="I173" t="str">
        <f>IF(INDEX('Player Data'!$R:$R,AL173)="","",INDEX('Player Data'!$R:$R,AL173))</f>
        <v/>
      </c>
      <c r="J173" s="4" t="str">
        <f t="shared" si="14"/>
        <v/>
      </c>
      <c r="L173" s="5">
        <f>IF(Settings!$F$7="Yes",INDEX('Minutes &amp; Health'!$O:$O,AL173),Settings!$F$8)</f>
        <v>78</v>
      </c>
      <c r="M173" s="6">
        <f>INDEX('Minutes &amp; Health'!$P:$P,AL173)</f>
        <v>24.7</v>
      </c>
      <c r="N173" s="5">
        <f>INDEX('Player Data'!$F:$F,AL173)/INDEX('Player Data'!$E:$E,AL173)*M173*L173*AM173</f>
        <v>607.55850622406638</v>
      </c>
      <c r="O173" s="5">
        <f>INDEX('Player Data'!$G:$G,AL173)/INDEX('Player Data'!$E:$E,AL173)*M173*L173*AM173</f>
        <v>311.7734439834025</v>
      </c>
      <c r="P173" s="5">
        <f>INDEX('Player Data'!$H:$H,AL173)/INDEX('Player Data'!$E:$E,AL173)*M173*L173*AM173</f>
        <v>142.89616182572613</v>
      </c>
      <c r="Q173" s="5">
        <f>INDEX('Player Data'!$I:$I,AL173)/INDEX('Player Data'!$E:$E,AL173)*M173*L173*AM173</f>
        <v>87.936099585062237</v>
      </c>
      <c r="R173" s="5">
        <f>INDEX('Player Data'!$J:$J,AL173)/INDEX('Player Data'!$E:$E,AL173)*M173*L173*AM173</f>
        <v>30.977489626556011</v>
      </c>
      <c r="S173" s="5">
        <f>INDEX('Player Data'!$K:$K,AL173)/INDEX('Player Data'!$E:$E,AL173)*M173*L173*AM173</f>
        <v>73.946265560165983</v>
      </c>
      <c r="T173" s="5">
        <f>INDEX('Player Data'!$L:$L,AL173)/INDEX('Player Data'!$E:$E,AL173)*M173*L173*AM173</f>
        <v>88.935373443983394</v>
      </c>
      <c r="U173" s="7">
        <f>INDEX('Player Data'!$M:$M,AL173)</f>
        <v>0.45400000000000001</v>
      </c>
      <c r="V173" s="7">
        <f>INDEX('Player Data'!$N:$N,AL173)</f>
        <v>0.74299999999999999</v>
      </c>
      <c r="W173" s="5">
        <f t="shared" si="15"/>
        <v>217.30808900414937</v>
      </c>
      <c r="X173" s="5">
        <f>INDEX('Player Data'!$O:$O,AL173)/INDEX('Player Data'!$E:$E,AL173)*M173*L173*AM173</f>
        <v>478.65217842323648</v>
      </c>
      <c r="Y173" s="5">
        <f t="shared" si="16"/>
        <v>98.969981607883824</v>
      </c>
      <c r="Z173" s="5">
        <f>INDEX('Player Data'!$P:$P,AL173)/INDEX('Player Data'!$E:$E,AL173)*M173*L173*AM173</f>
        <v>133.20320539419089</v>
      </c>
      <c r="AB173" s="3">
        <f>(N173-Pool!$D$2)/Pool!$E$2</f>
        <v>-1.5574152153283829</v>
      </c>
      <c r="AC173" s="3">
        <f>(O173-Pool!$D$3)/Pool!$E$3</f>
        <v>-0.68479077630311214</v>
      </c>
      <c r="AD173" s="3">
        <f>(P173-Pool!$D$4)/Pool!$E$4</f>
        <v>-0.92770156143893912</v>
      </c>
      <c r="AE173" s="3">
        <f>(Q173-Pool!$D$5)/Pool!$E$5</f>
        <v>0.60543825637104842</v>
      </c>
      <c r="AF173" s="3">
        <f>(R173-Pool!$D$6)/Pool!$E$6</f>
        <v>-0.56019450296308371</v>
      </c>
      <c r="AG173" s="3">
        <f>(S173-Pool!$D$7)/Pool!$E$7</f>
        <v>-0.69669827647089599</v>
      </c>
      <c r="AH173" s="3">
        <f>(AS173-Pool!$D$8)/Pool!$E$8</f>
        <v>-0.31480807443995357</v>
      </c>
      <c r="AI173" s="3">
        <f>(AT173-Pool!$D$9)/Pool!$E$9</f>
        <v>-0.34113946875913853</v>
      </c>
      <c r="AJ173" s="3">
        <f>-(T173-Pool!$D$10)/Pool!$E$10</f>
        <v>0.93128282474925883</v>
      </c>
      <c r="AL173">
        <f>MATCH(B173,'Player Data'!$A:$A,0)</f>
        <v>221</v>
      </c>
      <c r="AM173" s="3">
        <f>1+IF(Settings!$F$10="ON",IFERROR(VLOOKUP(TRIM(F173),Settings!$D$12:$F$17,3,FALSE),0),0)</f>
        <v>1</v>
      </c>
      <c r="AN173" t="str">
        <f t="shared" si="17"/>
        <v>SF</v>
      </c>
      <c r="AO173" s="6">
        <f>X173*(U173-Pool!$B$12)</f>
        <v>-12.7353882700667</v>
      </c>
      <c r="AP173" s="6">
        <f>Z173*(V173-Pool!$B$13)</f>
        <v>-6.2738253168038973</v>
      </c>
      <c r="AQ173" s="3">
        <f>Settings!$B$2*(N173-Pool!$B$2)/Pool!$C$2+Settings!$B$3*(O173-Pool!$B$3)/Pool!$C$3+Settings!$B$4*(P173-Pool!$B$4)/Pool!$C$4+Settings!$B$5*(Q173-Pool!$B$5)/Pool!$C$5+Settings!$B$6*(R173-Pool!$B$6)/Pool!$C$6+Settings!$B$7*(S173-Pool!$B$7)/Pool!$C$7+Settings!$B$8*(AO173-Pool!$B$8)/Pool!$C$8+Settings!$B$9*(AP173-Pool!$B$9)/Pool!$C$9+Settings!$B$10*-(T173-Pool!$B$10)/Pool!$C$10</f>
        <v>-1.6502423269781112</v>
      </c>
      <c r="AR173">
        <f>IF(RANK(AQ173,$AQ$2:$AQ$266)&lt;=Settings!$F$5,1,0)</f>
        <v>0</v>
      </c>
      <c r="AS173" s="6">
        <f>X173*(U173-Pool!$D$12)</f>
        <v>-14.394790869162854</v>
      </c>
      <c r="AT173" s="6">
        <f>Z173*(V173-Pool!$D$13)</f>
        <v>-7.6110221303086769</v>
      </c>
    </row>
    <row r="174" spans="1:46" x14ac:dyDescent="0.2">
      <c r="A174">
        <f t="shared" si="12"/>
        <v>173</v>
      </c>
      <c r="B174" t="s">
        <v>215</v>
      </c>
      <c r="C174" t="str">
        <f>INDEX('Player Data'!$C:$C,AL174)</f>
        <v>PF,SF,SG</v>
      </c>
      <c r="D174">
        <f t="shared" si="13"/>
        <v>50</v>
      </c>
      <c r="E174" t="str">
        <f>INDEX('Player Data'!$B:$B,AL174)</f>
        <v>TOR</v>
      </c>
      <c r="F174" s="2"/>
      <c r="G174" s="3">
        <f>Settings!$B$2*AB174+Settings!$B$3*AC174+Settings!$B$4*AD174+Settings!$B$5*AE174+Settings!$B$6*AF174+Settings!$B$7*AG174+Settings!$B$8*AH174+Settings!$B$9*AI174+Settings!$B$10*AJ174</f>
        <v>-3.5650859629448997</v>
      </c>
      <c r="H174" s="3">
        <f>G174-LARGE($G$2:$G$266,Settings!$F$4)</f>
        <v>-0.34882119649773458</v>
      </c>
      <c r="I174">
        <f>IF(INDEX('Player Data'!$R:$R,AL174)="","",INDEX('Player Data'!$R:$R,AL174))</f>
        <v>137</v>
      </c>
      <c r="J174" s="4">
        <f t="shared" si="14"/>
        <v>-36</v>
      </c>
      <c r="L174" s="5">
        <f>IF(Settings!$F$7="Yes",INDEX('Minutes &amp; Health'!$O:$O,AL174),Settings!$F$8)</f>
        <v>72</v>
      </c>
      <c r="M174" s="6">
        <f>INDEX('Minutes &amp; Health'!$P:$P,AL174)</f>
        <v>31.3</v>
      </c>
      <c r="N174" s="5">
        <f>INDEX('Player Data'!$F:$F,AL174)/INDEX('Player Data'!$E:$E,AL174)*M174*L174*AM174</f>
        <v>1412.3760319573903</v>
      </c>
      <c r="O174" s="5">
        <f>INDEX('Player Data'!$G:$G,AL174)/INDEX('Player Data'!$E:$E,AL174)*M174*L174*AM174</f>
        <v>404.10758988015982</v>
      </c>
      <c r="P174" s="5">
        <f>INDEX('Player Data'!$H:$H,AL174)/INDEX('Player Data'!$E:$E,AL174)*M174*L174*AM174</f>
        <v>287.07643142476695</v>
      </c>
      <c r="Q174" s="5">
        <f>INDEX('Player Data'!$I:$I,AL174)/INDEX('Player Data'!$E:$E,AL174)*M174*L174*AM174</f>
        <v>53.014114513981362</v>
      </c>
      <c r="R174" s="5">
        <f>INDEX('Player Data'!$J:$J,AL174)/INDEX('Player Data'!$E:$E,AL174)*M174*L174*AM174</f>
        <v>22.00585885486019</v>
      </c>
      <c r="S174" s="5">
        <f>INDEX('Player Data'!$K:$K,AL174)/INDEX('Player Data'!$E:$E,AL174)*M174*L174*AM174</f>
        <v>125.03328894806924</v>
      </c>
      <c r="T174" s="5">
        <f>INDEX('Player Data'!$L:$L,AL174)/INDEX('Player Data'!$E:$E,AL174)*M174*L174*AM174</f>
        <v>156.04154460719042</v>
      </c>
      <c r="U174" s="7">
        <f>INDEX('Player Data'!$M:$M,AL174)</f>
        <v>0.48199999999999998</v>
      </c>
      <c r="V174" s="7">
        <f>INDEX('Player Data'!$N:$N,AL174)</f>
        <v>0.68</v>
      </c>
      <c r="W174" s="5">
        <f t="shared" si="15"/>
        <v>524.50744521970705</v>
      </c>
      <c r="X174" s="5">
        <f>INDEX('Player Data'!$O:$O,AL174)/INDEX('Player Data'!$E:$E,AL174)*M174*L174*AM174</f>
        <v>1088.1897203728363</v>
      </c>
      <c r="Y174" s="5">
        <f t="shared" si="16"/>
        <v>238.26743648468715</v>
      </c>
      <c r="Z174" s="5">
        <f>INDEX('Player Data'!$P:$P,AL174)/INDEX('Player Data'!$E:$E,AL174)*M174*L174*AM174</f>
        <v>350.39328894806931</v>
      </c>
      <c r="AB174" s="3">
        <f>(N174-Pool!$D$2)/Pool!$E$2</f>
        <v>0.4264287199213192</v>
      </c>
      <c r="AC174" s="3">
        <f>(O174-Pool!$D$3)/Pool!$E$3</f>
        <v>-0.14735898696599395</v>
      </c>
      <c r="AD174" s="3">
        <f>(P174-Pool!$D$4)/Pool!$E$4</f>
        <v>4.743683966373876E-2</v>
      </c>
      <c r="AE174" s="3">
        <f>(Q174-Pool!$D$5)/Pool!$E$5</f>
        <v>-0.9363034457291689</v>
      </c>
      <c r="AF174" s="3">
        <f>(R174-Pool!$D$6)/Pool!$E$6</f>
        <v>-0.81984000891691311</v>
      </c>
      <c r="AG174" s="3">
        <f>(S174-Pool!$D$7)/Pool!$E$7</f>
        <v>2.2827292312675568E-2</v>
      </c>
      <c r="AH174" s="3">
        <f>(AS174-Pool!$D$8)/Pool!$E$8</f>
        <v>-4.9347899264464326E-2</v>
      </c>
      <c r="AI174" s="3">
        <f>(AT174-Pool!$D$9)/Pool!$E$9</f>
        <v>-1.8868036974498568</v>
      </c>
      <c r="AJ174" s="3">
        <f>-(T174-Pool!$D$10)/Pool!$E$10</f>
        <v>-0.22212477651623602</v>
      </c>
      <c r="AL174">
        <f>MATCH(B174,'Player Data'!$A:$A,0)</f>
        <v>52</v>
      </c>
      <c r="AM174" s="3">
        <f>1+IF(Settings!$F$10="ON",IFERROR(VLOOKUP(TRIM(F174),Settings!$D$12:$F$17,3,FALSE),0),0)</f>
        <v>1</v>
      </c>
      <c r="AN174" t="str">
        <f t="shared" si="17"/>
        <v>PF</v>
      </c>
      <c r="AO174" s="6">
        <f>X174*(U174-Pool!$B$12)</f>
        <v>1.5160989079493812</v>
      </c>
      <c r="AP174" s="6">
        <f>Z174*(V174-Pool!$B$13)</f>
        <v>-38.578181010979748</v>
      </c>
      <c r="AQ174" s="3">
        <f>Settings!$B$2*(N174-Pool!$B$2)/Pool!$C$2+Settings!$B$3*(O174-Pool!$B$3)/Pool!$C$3+Settings!$B$4*(P174-Pool!$B$4)/Pool!$C$4+Settings!$B$5*(Q174-Pool!$B$5)/Pool!$C$5+Settings!$B$6*(R174-Pool!$B$6)/Pool!$C$6+Settings!$B$7*(S174-Pool!$B$7)/Pool!$C$7+Settings!$B$8*(AO174-Pool!$B$8)/Pool!$C$8+Settings!$B$9*(AP174-Pool!$B$9)/Pool!$C$9+Settings!$B$10*-(T174-Pool!$B$10)/Pool!$C$10</f>
        <v>-1.7653118715417575</v>
      </c>
      <c r="AR174">
        <f>IF(RANK(AQ174,$AQ$2:$AQ$266)&lt;=Settings!$F$5,1,0)</f>
        <v>0</v>
      </c>
      <c r="AS174" s="6">
        <f>X174*(U174-Pool!$D$12)</f>
        <v>-2.2564627384737888</v>
      </c>
      <c r="AT174" s="6">
        <f>Z174*(V174-Pool!$D$13)</f>
        <v>-42.095699888008603</v>
      </c>
    </row>
    <row r="175" spans="1:46" x14ac:dyDescent="0.2">
      <c r="A175">
        <f t="shared" si="12"/>
        <v>174</v>
      </c>
      <c r="B175" t="s">
        <v>216</v>
      </c>
      <c r="C175" t="str">
        <f>INDEX('Player Data'!$C:$C,AL175)</f>
        <v>PG,SG</v>
      </c>
      <c r="D175">
        <f t="shared" si="13"/>
        <v>60</v>
      </c>
      <c r="E175" t="str">
        <f>INDEX('Player Data'!$B:$B,AL175)</f>
        <v>ATL</v>
      </c>
      <c r="F175" s="2"/>
      <c r="G175" s="3">
        <f>Settings!$B$2*AB175+Settings!$B$3*AC175+Settings!$B$4*AD175+Settings!$B$5*AE175+Settings!$B$6*AF175+Settings!$B$7*AG175+Settings!$B$8*AH175+Settings!$B$9*AI175+Settings!$B$10*AJ175</f>
        <v>-3.5742549167164239</v>
      </c>
      <c r="H175" s="3">
        <f>G175-LARGE($G$2:$G$266,Settings!$F$4)</f>
        <v>-0.35799015026925884</v>
      </c>
      <c r="I175" t="str">
        <f>IF(INDEX('Player Data'!$R:$R,AL175)="","",INDEX('Player Data'!$R:$R,AL175))</f>
        <v/>
      </c>
      <c r="J175" s="4" t="str">
        <f t="shared" si="14"/>
        <v/>
      </c>
      <c r="L175" s="5">
        <f>IF(Settings!$F$7="Yes",INDEX('Minutes &amp; Health'!$O:$O,AL175),Settings!$F$8)</f>
        <v>75</v>
      </c>
      <c r="M175" s="6">
        <f>INDEX('Minutes &amp; Health'!$P:$P,AL175)</f>
        <v>25.4</v>
      </c>
      <c r="N175" s="5">
        <f>INDEX('Player Data'!$F:$F,AL175)/INDEX('Player Data'!$E:$E,AL175)*M175*L175*AM175</f>
        <v>907.57075471698113</v>
      </c>
      <c r="O175" s="5">
        <f>INDEX('Player Data'!$G:$G,AL175)/INDEX('Player Data'!$E:$E,AL175)*M175*L175*AM175</f>
        <v>183.71069182389934</v>
      </c>
      <c r="P175" s="5">
        <f>INDEX('Player Data'!$H:$H,AL175)/INDEX('Player Data'!$E:$E,AL175)*M175*L175*AM175</f>
        <v>296.53301886792451</v>
      </c>
      <c r="Q175" s="5">
        <f>INDEX('Player Data'!$I:$I,AL175)/INDEX('Player Data'!$E:$E,AL175)*M175*L175*AM175</f>
        <v>87.861635220125777</v>
      </c>
      <c r="R175" s="5">
        <f>INDEX('Player Data'!$J:$J,AL175)/INDEX('Player Data'!$E:$E,AL175)*M175*L175*AM175</f>
        <v>23.962264150943394</v>
      </c>
      <c r="S175" s="5">
        <f>INDEX('Player Data'!$K:$K,AL175)/INDEX('Player Data'!$E:$E,AL175)*M175*L175*AM175</f>
        <v>95.849056603773576</v>
      </c>
      <c r="T175" s="5">
        <f>INDEX('Player Data'!$L:$L,AL175)/INDEX('Player Data'!$E:$E,AL175)*M175*L175*AM175</f>
        <v>150.76257861635219</v>
      </c>
      <c r="U175" s="7">
        <f>INDEX('Player Data'!$M:$M,AL175)</f>
        <v>0.441</v>
      </c>
      <c r="V175" s="7">
        <f>INDEX('Player Data'!$N:$N,AL175)</f>
        <v>0.79400000000000004</v>
      </c>
      <c r="W175" s="5">
        <f t="shared" si="15"/>
        <v>329.61352358490569</v>
      </c>
      <c r="X175" s="5">
        <f>INDEX('Player Data'!$O:$O,AL175)/INDEX('Player Data'!$E:$E,AL175)*M175*L175*AM175</f>
        <v>747.42295597484281</v>
      </c>
      <c r="Y175" s="5">
        <f t="shared" si="16"/>
        <v>152.44612735849057</v>
      </c>
      <c r="Z175" s="5">
        <f>INDEX('Player Data'!$P:$P,AL175)/INDEX('Player Data'!$E:$E,AL175)*M175*L175*AM175</f>
        <v>191.99764150943395</v>
      </c>
      <c r="AB175" s="3">
        <f>(N175-Pool!$D$2)/Pool!$E$2</f>
        <v>-0.81789667771827201</v>
      </c>
      <c r="AC175" s="3">
        <f>(O175-Pool!$D$3)/Pool!$E$3</f>
        <v>-1.4301812639941316</v>
      </c>
      <c r="AD175" s="3">
        <f>(P175-Pool!$D$4)/Pool!$E$4</f>
        <v>0.111394838805042</v>
      </c>
      <c r="AE175" s="3">
        <f>(Q175-Pool!$D$5)/Pool!$E$5</f>
        <v>0.60215079099617719</v>
      </c>
      <c r="AF175" s="3">
        <f>(R175-Pool!$D$6)/Pool!$E$6</f>
        <v>-0.76322021973044196</v>
      </c>
      <c r="AG175" s="3">
        <f>(S175-Pool!$D$7)/Pool!$E$7</f>
        <v>-0.38821253707017095</v>
      </c>
      <c r="AH175" s="3">
        <f>(AS175-Pool!$D$8)/Pool!$E$8</f>
        <v>-0.70407356251025432</v>
      </c>
      <c r="AI175" s="3">
        <f>(AT175-Pool!$D$9)/Pool!$E$9</f>
        <v>-5.2825332635672621E-2</v>
      </c>
      <c r="AJ175" s="3">
        <f>-(T175-Pool!$D$10)/Pool!$E$10</f>
        <v>-0.13139095285870009</v>
      </c>
      <c r="AL175">
        <f>MATCH(B175,'Player Data'!$A:$A,0)</f>
        <v>134</v>
      </c>
      <c r="AM175" s="3">
        <f>1+IF(Settings!$F$10="ON",IFERROR(VLOOKUP(TRIM(F175),Settings!$D$12:$F$17,3,FALSE),0),0)</f>
        <v>1</v>
      </c>
      <c r="AN175" t="str">
        <f t="shared" si="17"/>
        <v>PG</v>
      </c>
      <c r="AO175" s="6">
        <f>X175*(U175-Pool!$B$12)</f>
        <v>-29.603008873853145</v>
      </c>
      <c r="AP175" s="6">
        <f>Z175*(V175-Pool!$B$13)</f>
        <v>0.74885661176495388</v>
      </c>
      <c r="AQ175" s="3">
        <f>Settings!$B$2*(N175-Pool!$B$2)/Pool!$C$2+Settings!$B$3*(O175-Pool!$B$3)/Pool!$C$3+Settings!$B$4*(P175-Pool!$B$4)/Pool!$C$4+Settings!$B$5*(Q175-Pool!$B$5)/Pool!$C$5+Settings!$B$6*(R175-Pool!$B$6)/Pool!$C$6+Settings!$B$7*(S175-Pool!$B$7)/Pool!$C$7+Settings!$B$8*(AO175-Pool!$B$8)/Pool!$C$8+Settings!$B$9*(AP175-Pool!$B$9)/Pool!$C$9+Settings!$B$10*-(T175-Pool!$B$10)/Pool!$C$10</f>
        <v>-1.6899527325933337</v>
      </c>
      <c r="AR175">
        <f>IF(RANK(AQ175,$AQ$2:$AQ$266)&lt;=Settings!$F$5,1,0)</f>
        <v>0</v>
      </c>
      <c r="AS175" s="6">
        <f>X175*(U175-Pool!$D$12)</f>
        <v>-32.194192308668939</v>
      </c>
      <c r="AT175" s="6">
        <f>Z175*(V175-Pool!$D$13)</f>
        <v>-1.178564231202573</v>
      </c>
    </row>
    <row r="176" spans="1:46" x14ac:dyDescent="0.2">
      <c r="A176">
        <f t="shared" si="12"/>
        <v>175</v>
      </c>
      <c r="B176" t="s">
        <v>217</v>
      </c>
      <c r="C176" t="str">
        <f>INDEX('Player Data'!$C:$C,AL176)</f>
        <v>PG,SG</v>
      </c>
      <c r="D176">
        <f t="shared" si="13"/>
        <v>61</v>
      </c>
      <c r="E176" t="str">
        <f>INDEX('Player Data'!$B:$B,AL176)</f>
        <v>NOR</v>
      </c>
      <c r="F176" s="2"/>
      <c r="G176" s="3">
        <f>Settings!$B$2*AB176+Settings!$B$3*AC176+Settings!$B$4*AD176+Settings!$B$5*AE176+Settings!$B$6*AF176+Settings!$B$7*AG176+Settings!$B$8*AH176+Settings!$B$9*AI176+Settings!$B$10*AJ176</f>
        <v>-3.6014411484678348</v>
      </c>
      <c r="H176" s="3">
        <f>G176-LARGE($G$2:$G$266,Settings!$F$4)</f>
        <v>-0.38517638202066973</v>
      </c>
      <c r="I176">
        <f>IF(INDEX('Player Data'!$R:$R,AL176)="","",INDEX('Player Data'!$R:$R,AL176))</f>
        <v>164</v>
      </c>
      <c r="J176" s="4">
        <f t="shared" si="14"/>
        <v>-11</v>
      </c>
      <c r="L176" s="5">
        <f>IF(Settings!$F$7="Yes",INDEX('Minutes &amp; Health'!$O:$O,AL176),Settings!$F$8)</f>
        <v>78</v>
      </c>
      <c r="M176" s="6">
        <f>INDEX('Minutes &amp; Health'!$P:$P,AL176)</f>
        <v>24.2</v>
      </c>
      <c r="N176" s="5">
        <f>INDEX('Player Data'!$F:$F,AL176)/INDEX('Player Data'!$E:$E,AL176)*M176*L176*AM176</f>
        <v>1028.3268680445151</v>
      </c>
      <c r="O176" s="5">
        <f>INDEX('Player Data'!$G:$G,AL176)/INDEX('Player Data'!$E:$E,AL176)*M176*L176*AM176</f>
        <v>262.08330683624797</v>
      </c>
      <c r="P176" s="5">
        <f>INDEX('Player Data'!$H:$H,AL176)/INDEX('Player Data'!$E:$E,AL176)*M176*L176*AM176</f>
        <v>237.07535771065182</v>
      </c>
      <c r="Q176" s="5">
        <f>INDEX('Player Data'!$I:$I,AL176)/INDEX('Player Data'!$E:$E,AL176)*M176*L176*AM176</f>
        <v>81.025755166931631</v>
      </c>
      <c r="R176" s="5">
        <f>INDEX('Player Data'!$J:$J,AL176)/INDEX('Player Data'!$E:$E,AL176)*M176*L176*AM176</f>
        <v>26.008267090620031</v>
      </c>
      <c r="S176" s="5">
        <f>INDEX('Player Data'!$K:$K,AL176)/INDEX('Player Data'!$E:$E,AL176)*M176*L176*AM176</f>
        <v>91.028934817170111</v>
      </c>
      <c r="T176" s="5">
        <f>INDEX('Player Data'!$L:$L,AL176)/INDEX('Player Data'!$E:$E,AL176)*M176*L176*AM176</f>
        <v>154.04896661367252</v>
      </c>
      <c r="U176" s="7">
        <f>INDEX('Player Data'!$M:$M,AL176)</f>
        <v>0.443</v>
      </c>
      <c r="V176" s="7">
        <f>INDEX('Player Data'!$N:$N,AL176)</f>
        <v>0.80100000000000005</v>
      </c>
      <c r="W176" s="5">
        <f t="shared" si="15"/>
        <v>383.22821443561207</v>
      </c>
      <c r="X176" s="5">
        <f>INDEX('Player Data'!$O:$O,AL176)/INDEX('Player Data'!$E:$E,AL176)*M176*L176*AM176</f>
        <v>865.07497615262321</v>
      </c>
      <c r="Y176" s="5">
        <f t="shared" si="16"/>
        <v>170.82749990461048</v>
      </c>
      <c r="Z176" s="5">
        <f>INDEX('Player Data'!$P:$P,AL176)/INDEX('Player Data'!$E:$E,AL176)*M176*L176*AM176</f>
        <v>213.26779014308423</v>
      </c>
      <c r="AB176" s="3">
        <f>(N176-Pool!$D$2)/Pool!$E$2</f>
        <v>-0.52023754951915202</v>
      </c>
      <c r="AC176" s="3">
        <f>(O176-Pool!$D$3)/Pool!$E$3</f>
        <v>-0.974012700219126</v>
      </c>
      <c r="AD176" s="3">
        <f>(P176-Pool!$D$4)/Pool!$E$4</f>
        <v>-0.29073680372445293</v>
      </c>
      <c r="AE176" s="3">
        <f>(Q176-Pool!$D$5)/Pool!$E$5</f>
        <v>0.30035920248501846</v>
      </c>
      <c r="AF176" s="3">
        <f>(R176-Pool!$D$6)/Pool!$E$6</f>
        <v>-0.7040074097102913</v>
      </c>
      <c r="AG176" s="3">
        <f>(S176-Pool!$D$7)/Pool!$E$7</f>
        <v>-0.45610063545824747</v>
      </c>
      <c r="AH176" s="3">
        <f>(AS176-Pool!$D$8)/Pool!$E$8</f>
        <v>-0.77706428657209503</v>
      </c>
      <c r="AI176" s="3">
        <f>(AT176-Pool!$D$9)/Pool!$E$9</f>
        <v>8.2357742002092636E-3</v>
      </c>
      <c r="AJ176" s="3">
        <f>-(T176-Pool!$D$10)/Pool!$E$10</f>
        <v>-0.18787673994969772</v>
      </c>
      <c r="AL176">
        <f>MATCH(B176,'Player Data'!$A:$A,0)</f>
        <v>120</v>
      </c>
      <c r="AM176" s="3">
        <f>1+IF(Settings!$F$10="ON",IFERROR(VLOOKUP(TRIM(F176),Settings!$D$12:$F$17,3,FALSE),0),0)</f>
        <v>1</v>
      </c>
      <c r="AN176" t="str">
        <f t="shared" si="17"/>
        <v>PG</v>
      </c>
      <c r="AO176" s="6">
        <f>X176*(U176-Pool!$B$12)</f>
        <v>-32.532675387590203</v>
      </c>
      <c r="AP176" s="6">
        <f>Z176*(V176-Pool!$B$13)</f>
        <v>2.3246920130788484</v>
      </c>
      <c r="AQ176" s="3">
        <f>Settings!$B$2*(N176-Pool!$B$2)/Pool!$C$2+Settings!$B$3*(O176-Pool!$B$3)/Pool!$C$3+Settings!$B$4*(P176-Pool!$B$4)/Pool!$C$4+Settings!$B$5*(Q176-Pool!$B$5)/Pool!$C$5+Settings!$B$6*(R176-Pool!$B$6)/Pool!$C$6+Settings!$B$7*(S176-Pool!$B$7)/Pool!$C$7+Settings!$B$8*(AO176-Pool!$B$8)/Pool!$C$8+Settings!$B$9*(AP176-Pool!$B$9)/Pool!$C$9+Settings!$B$10*-(T176-Pool!$B$10)/Pool!$C$10</f>
        <v>-1.6993330359404162</v>
      </c>
      <c r="AR176">
        <f>IF(RANK(AQ176,$AQ$2:$AQ$266)&lt;=Settings!$F$5,1,0)</f>
        <v>0</v>
      </c>
      <c r="AS176" s="6">
        <f>X176*(U176-Pool!$D$12)</f>
        <v>-35.53173760552373</v>
      </c>
      <c r="AT176" s="6">
        <f>Z176*(V176-Pool!$D$13)</f>
        <v>0.18374496485582412</v>
      </c>
    </row>
    <row r="177" spans="1:46" x14ac:dyDescent="0.2">
      <c r="A177">
        <f t="shared" si="12"/>
        <v>176</v>
      </c>
      <c r="B177" t="s">
        <v>218</v>
      </c>
      <c r="C177" t="str">
        <f>INDEX('Player Data'!$C:$C,AL177)</f>
        <v>PG,SG</v>
      </c>
      <c r="D177">
        <f t="shared" si="13"/>
        <v>62</v>
      </c>
      <c r="E177" t="str">
        <f>INDEX('Player Data'!$B:$B,AL177)</f>
        <v>MEM</v>
      </c>
      <c r="F177" s="2"/>
      <c r="G177" s="3">
        <f>Settings!$B$2*AB177+Settings!$B$3*AC177+Settings!$B$4*AD177+Settings!$B$5*AE177+Settings!$B$6*AF177+Settings!$B$7*AG177+Settings!$B$8*AH177+Settings!$B$9*AI177+Settings!$B$10*AJ177</f>
        <v>-3.6033952669191143</v>
      </c>
      <c r="H177" s="3">
        <f>G177-LARGE($G$2:$G$266,Settings!$F$4)</f>
        <v>-0.38713050047194919</v>
      </c>
      <c r="I177" t="str">
        <f>IF(INDEX('Player Data'!$R:$R,AL177)="","",INDEX('Player Data'!$R:$R,AL177))</f>
        <v/>
      </c>
      <c r="J177" s="4" t="str">
        <f t="shared" si="14"/>
        <v/>
      </c>
      <c r="L177" s="5">
        <f>IF(Settings!$F$7="Yes",INDEX('Minutes &amp; Health'!$O:$O,AL177),Settings!$F$8)</f>
        <v>71</v>
      </c>
      <c r="M177" s="6">
        <f>INDEX('Minutes &amp; Health'!$P:$P,AL177)</f>
        <v>20.9</v>
      </c>
      <c r="N177" s="5">
        <f>INDEX('Player Data'!$F:$F,AL177)/INDEX('Player Data'!$E:$E,AL177)*M177*L177*AM177</f>
        <v>680.41267700606875</v>
      </c>
      <c r="O177" s="5">
        <f>INDEX('Player Data'!$G:$G,AL177)/INDEX('Player Data'!$E:$E,AL177)*M177*L177*AM177</f>
        <v>191.11591368846931</v>
      </c>
      <c r="P177" s="5">
        <f>INDEX('Player Data'!$H:$H,AL177)/INDEX('Player Data'!$E:$E,AL177)*M177*L177*AM177</f>
        <v>292.17720836142951</v>
      </c>
      <c r="Q177" s="5">
        <f>INDEX('Player Data'!$I:$I,AL177)/INDEX('Player Data'!$E:$E,AL177)*M177*L177*AM177</f>
        <v>96.058260283209705</v>
      </c>
      <c r="R177" s="5">
        <f>INDEX('Player Data'!$J:$J,AL177)/INDEX('Player Data'!$E:$E,AL177)*M177*L177*AM177</f>
        <v>25.015171948752528</v>
      </c>
      <c r="S177" s="5">
        <f>INDEX('Player Data'!$K:$K,AL177)/INDEX('Player Data'!$E:$E,AL177)*M177*L177*AM177</f>
        <v>74.044908968307482</v>
      </c>
      <c r="T177" s="5">
        <f>INDEX('Player Data'!$L:$L,AL177)/INDEX('Player Data'!$E:$E,AL177)*M177*L177*AM177</f>
        <v>133.08071476736345</v>
      </c>
      <c r="U177" s="7">
        <f>INDEX('Player Data'!$M:$M,AL177)</f>
        <v>0.45900000000000002</v>
      </c>
      <c r="V177" s="7">
        <f>INDEX('Player Data'!$N:$N,AL177)</f>
        <v>0.747</v>
      </c>
      <c r="W177" s="5">
        <f t="shared" si="15"/>
        <v>251.73057708024277</v>
      </c>
      <c r="X177" s="5">
        <f>INDEX('Player Data'!$O:$O,AL177)/INDEX('Player Data'!$E:$E,AL177)*M177*L177*AM177</f>
        <v>548.43262980445047</v>
      </c>
      <c r="Y177" s="5">
        <f t="shared" si="16"/>
        <v>102.92432461901551</v>
      </c>
      <c r="Z177" s="5">
        <f>INDEX('Player Data'!$P:$P,AL177)/INDEX('Player Data'!$E:$E,AL177)*M177*L177*AM177</f>
        <v>137.78356709372892</v>
      </c>
      <c r="AB177" s="3">
        <f>(N177-Pool!$D$2)/Pool!$E$2</f>
        <v>-1.3778325146014956</v>
      </c>
      <c r="AC177" s="3">
        <f>(O177-Pool!$D$3)/Pool!$E$3</f>
        <v>-1.3870790985009438</v>
      </c>
      <c r="AD177" s="3">
        <f>(P177-Pool!$D$4)/Pool!$E$4</f>
        <v>8.1935065254736192E-2</v>
      </c>
      <c r="AE177" s="3">
        <f>(Q177-Pool!$D$5)/Pool!$E$5</f>
        <v>0.96401678030103954</v>
      </c>
      <c r="AF177" s="3">
        <f>(R177-Pool!$D$6)/Pool!$E$6</f>
        <v>-0.73274830388350731</v>
      </c>
      <c r="AG177" s="3">
        <f>(S177-Pool!$D$7)/Pool!$E$7</f>
        <v>-0.69530895194887721</v>
      </c>
      <c r="AH177" s="3">
        <f>(AS177-Pool!$D$8)/Pool!$E$8</f>
        <v>-0.30073249925273532</v>
      </c>
      <c r="AI177" s="3">
        <f>(AT177-Pool!$D$9)/Pool!$E$9</f>
        <v>-0.32816717108689664</v>
      </c>
      <c r="AJ177" s="3">
        <f>-(T177-Pool!$D$10)/Pool!$E$10</f>
        <v>0.1725214267995662</v>
      </c>
      <c r="AL177">
        <f>MATCH(B177,'Player Data'!$A:$A,0)</f>
        <v>185</v>
      </c>
      <c r="AM177" s="3">
        <f>1+IF(Settings!$F$10="ON",IFERROR(VLOOKUP(TRIM(F177),Settings!$D$12:$F$17,3,FALSE),0),0)</f>
        <v>1</v>
      </c>
      <c r="AN177" t="str">
        <f t="shared" si="17"/>
        <v>PG</v>
      </c>
      <c r="AO177" s="6">
        <f>X177*(U177-Pool!$B$12)</f>
        <v>-11.849857519392119</v>
      </c>
      <c r="AP177" s="6">
        <f>Z177*(V177-Pool!$B$13)</f>
        <v>-5.9384245144941588</v>
      </c>
      <c r="AQ177" s="3">
        <f>Settings!$B$2*(N177-Pool!$B$2)/Pool!$C$2+Settings!$B$3*(O177-Pool!$B$3)/Pool!$C$3+Settings!$B$4*(P177-Pool!$B$4)/Pool!$C$4+Settings!$B$5*(Q177-Pool!$B$5)/Pool!$C$5+Settings!$B$6*(R177-Pool!$B$6)/Pool!$C$6+Settings!$B$7*(S177-Pool!$B$7)/Pool!$C$7+Settings!$B$8*(AO177-Pool!$B$8)/Pool!$C$8+Settings!$B$9*(AP177-Pool!$B$9)/Pool!$C$9+Settings!$B$10*-(T177-Pool!$B$10)/Pool!$C$10</f>
        <v>-1.7342494816750824</v>
      </c>
      <c r="AR177">
        <f>IF(RANK(AQ177,$AQ$2:$AQ$266)&lt;=Settings!$F$5,1,0)</f>
        <v>0</v>
      </c>
      <c r="AS177" s="6">
        <f>X177*(U177-Pool!$D$12)</f>
        <v>-13.751176624059259</v>
      </c>
      <c r="AT177" s="6">
        <f>Z177*(V177-Pool!$D$13)</f>
        <v>-7.3216025418233075</v>
      </c>
    </row>
    <row r="178" spans="1:46" x14ac:dyDescent="0.2">
      <c r="A178">
        <f t="shared" si="12"/>
        <v>177</v>
      </c>
      <c r="B178" t="s">
        <v>219</v>
      </c>
      <c r="C178" t="str">
        <f>INDEX('Player Data'!$C:$C,AL178)</f>
        <v>PF,C</v>
      </c>
      <c r="D178">
        <f t="shared" si="13"/>
        <v>51</v>
      </c>
      <c r="E178" t="str">
        <f>INDEX('Player Data'!$B:$B,AL178)</f>
        <v>CHI</v>
      </c>
      <c r="F178" s="2"/>
      <c r="G178" s="3">
        <f>Settings!$B$2*AB178+Settings!$B$3*AC178+Settings!$B$4*AD178+Settings!$B$5*AE178+Settings!$B$6*AF178+Settings!$B$7*AG178+Settings!$B$8*AH178+Settings!$B$9*AI178+Settings!$B$10*AJ178</f>
        <v>-3.6142045730981183</v>
      </c>
      <c r="H178" s="3">
        <f>G178-LARGE($G$2:$G$266,Settings!$F$4)</f>
        <v>-0.39793980665095319</v>
      </c>
      <c r="I178" t="str">
        <f>IF(INDEX('Player Data'!$R:$R,AL178)="","",INDEX('Player Data'!$R:$R,AL178))</f>
        <v/>
      </c>
      <c r="J178" s="4" t="str">
        <f t="shared" si="14"/>
        <v/>
      </c>
      <c r="L178" s="5">
        <f>IF(Settings!$F$7="Yes",INDEX('Minutes &amp; Health'!$O:$O,AL178),Settings!$F$8)</f>
        <v>72</v>
      </c>
      <c r="M178" s="6">
        <f>INDEX('Minutes &amp; Health'!$P:$P,AL178)</f>
        <v>20.8</v>
      </c>
      <c r="N178" s="5">
        <f>INDEX('Player Data'!$F:$F,AL178)/INDEX('Player Data'!$E:$E,AL178)*M178*L178*AM178</f>
        <v>710.38720852764834</v>
      </c>
      <c r="O178" s="5">
        <f>INDEX('Player Data'!$G:$G,AL178)/INDEX('Player Data'!$E:$E,AL178)*M178*L178*AM178</f>
        <v>452.97161892071949</v>
      </c>
      <c r="P178" s="5">
        <f>INDEX('Player Data'!$H:$H,AL178)/INDEX('Player Data'!$E:$E,AL178)*M178*L178*AM178</f>
        <v>86.802931379080619</v>
      </c>
      <c r="Q178" s="5">
        <f>INDEX('Player Data'!$I:$I,AL178)/INDEX('Player Data'!$E:$E,AL178)*M178*L178*AM178</f>
        <v>27.93657561625583</v>
      </c>
      <c r="R178" s="5">
        <f>INDEX('Player Data'!$J:$J,AL178)/INDEX('Player Data'!$E:$E,AL178)*M178*L178*AM178</f>
        <v>57.868620919387077</v>
      </c>
      <c r="S178" s="5">
        <f>INDEX('Player Data'!$K:$K,AL178)/INDEX('Player Data'!$E:$E,AL178)*M178*L178*AM178</f>
        <v>97.778014656895394</v>
      </c>
      <c r="T178" s="5">
        <f>INDEX('Player Data'!$L:$L,AL178)/INDEX('Player Data'!$E:$E,AL178)*M178*L178*AM178</f>
        <v>64.852764823451039</v>
      </c>
      <c r="U178" s="7">
        <f>INDEX('Player Data'!$M:$M,AL178)</f>
        <v>0.47799999999999998</v>
      </c>
      <c r="V178" s="7">
        <f>INDEX('Player Data'!$N:$N,AL178)</f>
        <v>0.76</v>
      </c>
      <c r="W178" s="5">
        <f t="shared" si="15"/>
        <v>258.29838539640241</v>
      </c>
      <c r="X178" s="5">
        <f>INDEX('Player Data'!$O:$O,AL178)/INDEX('Player Data'!$E:$E,AL178)*M178*L178*AM178</f>
        <v>540.37319120586278</v>
      </c>
      <c r="Y178" s="5">
        <f t="shared" si="16"/>
        <v>95.998055696202528</v>
      </c>
      <c r="Z178" s="5">
        <f>INDEX('Player Data'!$P:$P,AL178)/INDEX('Player Data'!$E:$E,AL178)*M178*L178*AM178</f>
        <v>126.31323117921386</v>
      </c>
      <c r="AB178" s="3">
        <f>(N178-Pool!$D$2)/Pool!$E$2</f>
        <v>-1.3039464588563074</v>
      </c>
      <c r="AC178" s="3">
        <f>(O178-Pool!$D$3)/Pool!$E$3</f>
        <v>0.13705456672466898</v>
      </c>
      <c r="AD178" s="3">
        <f>(P178-Pool!$D$4)/Pool!$E$4</f>
        <v>-1.3070784567835003</v>
      </c>
      <c r="AE178" s="3">
        <f>(Q178-Pool!$D$5)/Pool!$E$5</f>
        <v>-2.0434308735076354</v>
      </c>
      <c r="AF178" s="3">
        <f>(R178-Pool!$D$6)/Pool!$E$6</f>
        <v>0.21805435366905396</v>
      </c>
      <c r="AG178" s="3">
        <f>(S178-Pool!$D$7)/Pool!$E$7</f>
        <v>-0.36104449030820651</v>
      </c>
      <c r="AH178" s="3">
        <f>(AS178-Pool!$D$8)/Pool!$E$8</f>
        <v>-7.1776122627823596E-2</v>
      </c>
      <c r="AI178" s="3">
        <f>(AT178-Pool!$D$9)/Pool!$E$9</f>
        <v>-0.2272470313504768</v>
      </c>
      <c r="AJ178" s="3">
        <f>-(T178-Pool!$D$10)/Pool!$E$10</f>
        <v>1.3452099399421096</v>
      </c>
      <c r="AL178">
        <f>MATCH(B178,'Player Data'!$A:$A,0)</f>
        <v>177</v>
      </c>
      <c r="AM178" s="3">
        <f>1+IF(Settings!$F$10="ON",IFERROR(VLOOKUP(TRIM(F178),Settings!$D$12:$F$17,3,FALSE),0),0)</f>
        <v>1</v>
      </c>
      <c r="AN178" t="str">
        <f t="shared" si="17"/>
        <v>PF</v>
      </c>
      <c r="AO178" s="6">
        <f>X178*(U178-Pool!$B$12)</f>
        <v>-1.408628452898474</v>
      </c>
      <c r="AP178" s="6">
        <f>Z178*(V178-Pool!$B$13)</f>
        <v>-3.8019849628669116</v>
      </c>
      <c r="AQ178" s="3">
        <f>Settings!$B$2*(N178-Pool!$B$2)/Pool!$C$2+Settings!$B$3*(O178-Pool!$B$3)/Pool!$C$3+Settings!$B$4*(P178-Pool!$B$4)/Pool!$C$4+Settings!$B$5*(Q178-Pool!$B$5)/Pool!$C$5+Settings!$B$6*(R178-Pool!$B$6)/Pool!$C$6+Settings!$B$7*(S178-Pool!$B$7)/Pool!$C$7+Settings!$B$8*(AO178-Pool!$B$8)/Pool!$C$8+Settings!$B$9*(AP178-Pool!$B$9)/Pool!$C$9+Settings!$B$10*-(T178-Pool!$B$10)/Pool!$C$10</f>
        <v>-1.2998465322405421</v>
      </c>
      <c r="AR178">
        <f>IF(RANK(AQ178,$AQ$2:$AQ$266)&lt;=Settings!$F$5,1,0)</f>
        <v>0</v>
      </c>
      <c r="AS178" s="6">
        <f>X178*(U178-Pool!$D$12)</f>
        <v>-3.2820069067953446</v>
      </c>
      <c r="AT178" s="6">
        <f>Z178*(V178-Pool!$D$13)</f>
        <v>-5.0700148855440084</v>
      </c>
    </row>
    <row r="179" spans="1:46" x14ac:dyDescent="0.2">
      <c r="A179">
        <f t="shared" si="12"/>
        <v>178</v>
      </c>
      <c r="B179" t="s">
        <v>220</v>
      </c>
      <c r="C179" t="str">
        <f>INDEX('Player Data'!$C:$C,AL179)</f>
        <v>SF,PF</v>
      </c>
      <c r="D179">
        <f t="shared" si="13"/>
        <v>21</v>
      </c>
      <c r="E179" t="str">
        <f>INDEX('Player Data'!$B:$B,AL179)</f>
        <v>MEM</v>
      </c>
      <c r="F179" s="2"/>
      <c r="G179" s="3">
        <f>Settings!$B$2*AB179+Settings!$B$3*AC179+Settings!$B$4*AD179+Settings!$B$5*AE179+Settings!$B$6*AF179+Settings!$B$7*AG179+Settings!$B$8*AH179+Settings!$B$9*AI179+Settings!$B$10*AJ179</f>
        <v>-3.6407520967289635</v>
      </c>
      <c r="H179" s="3">
        <f>G179-LARGE($G$2:$G$266,Settings!$F$4)</f>
        <v>-0.42448733028179841</v>
      </c>
      <c r="I179" t="str">
        <f>IF(INDEX('Player Data'!$R:$R,AL179)="","",INDEX('Player Data'!$R:$R,AL179))</f>
        <v/>
      </c>
      <c r="J179" s="4" t="str">
        <f t="shared" si="14"/>
        <v/>
      </c>
      <c r="L179" s="5">
        <f>IF(Settings!$F$7="Yes",INDEX('Minutes &amp; Health'!$O:$O,AL179),Settings!$F$8)</f>
        <v>73</v>
      </c>
      <c r="M179" s="6">
        <f>INDEX('Minutes &amp; Health'!$P:$P,AL179)</f>
        <v>26.4</v>
      </c>
      <c r="N179" s="5">
        <f>INDEX('Player Data'!$F:$F,AL179)/INDEX('Player Data'!$E:$E,AL179)*M179*L179*AM179</f>
        <v>1059.0108864696733</v>
      </c>
      <c r="O179" s="5">
        <f>INDEX('Player Data'!$G:$G,AL179)/INDEX('Player Data'!$E:$E,AL179)*M179*L179*AM179</f>
        <v>202.81057542768272</v>
      </c>
      <c r="P179" s="5">
        <f>INDEX('Player Data'!$H:$H,AL179)/INDEX('Player Data'!$E:$E,AL179)*M179*L179*AM179</f>
        <v>134.87402799377915</v>
      </c>
      <c r="Q179" s="5">
        <f>INDEX('Player Data'!$I:$I,AL179)/INDEX('Player Data'!$E:$E,AL179)*M179*L179*AM179</f>
        <v>47.955209953343704</v>
      </c>
      <c r="R179" s="5">
        <f>INDEX('Player Data'!$J:$J,AL179)/INDEX('Player Data'!$E:$E,AL179)*M179*L179*AM179</f>
        <v>40.961741835147741</v>
      </c>
      <c r="S179" s="5">
        <f>INDEX('Player Data'!$K:$K,AL179)/INDEX('Player Data'!$E:$E,AL179)*M179*L179*AM179</f>
        <v>144.86469673405909</v>
      </c>
      <c r="T179" s="5">
        <f>INDEX('Player Data'!$L:$L,AL179)/INDEX('Player Data'!$E:$E,AL179)*M179*L179*AM179</f>
        <v>107.89922239502332</v>
      </c>
      <c r="U179" s="7">
        <f>INDEX('Player Data'!$M:$M,AL179)</f>
        <v>0.442</v>
      </c>
      <c r="V179" s="7">
        <f>INDEX('Player Data'!$N:$N,AL179)</f>
        <v>0.82399999999999995</v>
      </c>
      <c r="W179" s="5">
        <f t="shared" si="15"/>
        <v>333.13365399688951</v>
      </c>
      <c r="X179" s="5">
        <f>INDEX('Player Data'!$O:$O,AL179)/INDEX('Player Data'!$E:$E,AL179)*M179*L179*AM179</f>
        <v>753.69604976671837</v>
      </c>
      <c r="Y179" s="5">
        <f t="shared" si="16"/>
        <v>247.87488547433901</v>
      </c>
      <c r="Z179" s="5">
        <f>INDEX('Player Data'!$P:$P,AL179)/INDEX('Player Data'!$E:$E,AL179)*M179*L179*AM179</f>
        <v>300.81903576982893</v>
      </c>
      <c r="AB179" s="3">
        <f>(N179-Pool!$D$2)/Pool!$E$2</f>
        <v>-0.44460263611890594</v>
      </c>
      <c r="AC179" s="3">
        <f>(O179-Pool!$D$3)/Pool!$E$3</f>
        <v>-1.3190102067257881</v>
      </c>
      <c r="AD179" s="3">
        <f>(P179-Pool!$D$4)/Pool!$E$4</f>
        <v>-0.98195788083736335</v>
      </c>
      <c r="AE179" s="3">
        <f>(Q179-Pool!$D$5)/Pool!$E$5</f>
        <v>-1.1596448197147757</v>
      </c>
      <c r="AF179" s="3">
        <f>(R179-Pool!$D$6)/Pool!$E$6</f>
        <v>-0.27124299768614196</v>
      </c>
      <c r="AG179" s="3">
        <f>(S179-Pool!$D$7)/Pool!$E$7</f>
        <v>0.30213902395629411</v>
      </c>
      <c r="AH179" s="3">
        <f>(AS179-Pool!$D$8)/Pool!$E$8</f>
        <v>-0.6934998080563487</v>
      </c>
      <c r="AI179" s="3">
        <f>(AT179-Pool!$D$9)/Pool!$E$9</f>
        <v>0.32173128981433269</v>
      </c>
      <c r="AJ179" s="3">
        <f>-(T179-Pool!$D$10)/Pool!$E$10</f>
        <v>0.60533593863973389</v>
      </c>
      <c r="AL179">
        <f>MATCH(B179,'Player Data'!$A:$A,0)</f>
        <v>101</v>
      </c>
      <c r="AM179" s="3">
        <f>1+IF(Settings!$F$10="ON",IFERROR(VLOOKUP(TRIM(F179),Settings!$D$12:$F$17,3,FALSE),0),0)</f>
        <v>1</v>
      </c>
      <c r="AN179" t="str">
        <f t="shared" si="17"/>
        <v>SF</v>
      </c>
      <c r="AO179" s="6">
        <f>X179*(U179-Pool!$B$12)</f>
        <v>-29.097769805107568</v>
      </c>
      <c r="AP179" s="6">
        <f>Z179*(V179-Pool!$B$13)</f>
        <v>10.197868422530908</v>
      </c>
      <c r="AQ179" s="3">
        <f>Settings!$B$2*(N179-Pool!$B$2)/Pool!$C$2+Settings!$B$3*(O179-Pool!$B$3)/Pool!$C$3+Settings!$B$4*(P179-Pool!$B$4)/Pool!$C$4+Settings!$B$5*(Q179-Pool!$B$5)/Pool!$C$5+Settings!$B$6*(R179-Pool!$B$6)/Pool!$C$6+Settings!$B$7*(S179-Pool!$B$7)/Pool!$C$7+Settings!$B$8*(AO179-Pool!$B$8)/Pool!$C$8+Settings!$B$9*(AP179-Pool!$B$9)/Pool!$C$9+Settings!$B$10*-(T179-Pool!$B$10)/Pool!$C$10</f>
        <v>-1.4484585993237715</v>
      </c>
      <c r="AR179">
        <f>IF(RANK(AQ179,$AQ$2:$AQ$266)&lt;=Settings!$F$5,1,0)</f>
        <v>0</v>
      </c>
      <c r="AS179" s="6">
        <f>X179*(U179-Pool!$D$12)</f>
        <v>-31.710700948618438</v>
      </c>
      <c r="AT179" s="6">
        <f>Z179*(V179-Pool!$D$13)</f>
        <v>7.1780142464801395</v>
      </c>
    </row>
    <row r="180" spans="1:46" x14ac:dyDescent="0.2">
      <c r="A180">
        <f t="shared" si="12"/>
        <v>179</v>
      </c>
      <c r="B180" t="s">
        <v>221</v>
      </c>
      <c r="C180" t="str">
        <f>INDEX('Player Data'!$C:$C,AL180)</f>
        <v>SG,SF</v>
      </c>
      <c r="D180">
        <f t="shared" si="13"/>
        <v>8</v>
      </c>
      <c r="E180" t="str">
        <f>INDEX('Player Data'!$B:$B,AL180)</f>
        <v>ATL</v>
      </c>
      <c r="F180" s="2"/>
      <c r="G180" s="3">
        <f>Settings!$B$2*AB180+Settings!$B$3*AC180+Settings!$B$4*AD180+Settings!$B$5*AE180+Settings!$B$6*AF180+Settings!$B$7*AG180+Settings!$B$8*AH180+Settings!$B$9*AI180+Settings!$B$10*AJ180</f>
        <v>-3.6479670354617424</v>
      </c>
      <c r="H180" s="3">
        <f>G180-LARGE($G$2:$G$266,Settings!$F$4)</f>
        <v>-0.43170226901457731</v>
      </c>
      <c r="I180" t="str">
        <f>IF(INDEX('Player Data'!$R:$R,AL180)="","",INDEX('Player Data'!$R:$R,AL180))</f>
        <v/>
      </c>
      <c r="J180" s="4" t="str">
        <f t="shared" si="14"/>
        <v/>
      </c>
      <c r="L180" s="5">
        <f>IF(Settings!$F$7="Yes",INDEX('Minutes &amp; Health'!$O:$O,AL180),Settings!$F$8)</f>
        <v>75</v>
      </c>
      <c r="M180" s="6">
        <f>INDEX('Minutes &amp; Health'!$P:$P,AL180)</f>
        <v>27.9</v>
      </c>
      <c r="N180" s="5">
        <f>INDEX('Player Data'!$F:$F,AL180)/INDEX('Player Data'!$E:$E,AL180)*M180*L180*AM180</f>
        <v>669.8002392344498</v>
      </c>
      <c r="O180" s="5">
        <f>INDEX('Player Data'!$G:$G,AL180)/INDEX('Player Data'!$E:$E,AL180)*M180*L180*AM180</f>
        <v>267.31937799043061</v>
      </c>
      <c r="P180" s="5">
        <f>INDEX('Player Data'!$H:$H,AL180)/INDEX('Player Data'!$E:$E,AL180)*M180*L180*AM180</f>
        <v>107.12799043062201</v>
      </c>
      <c r="Q180" s="5">
        <f>INDEX('Player Data'!$I:$I,AL180)/INDEX('Player Data'!$E:$E,AL180)*M180*L180*AM180</f>
        <v>67.080143540669852</v>
      </c>
      <c r="R180" s="5">
        <f>INDEX('Player Data'!$J:$J,AL180)/INDEX('Player Data'!$E:$E,AL180)*M180*L180*AM180</f>
        <v>32.038277511961716</v>
      </c>
      <c r="S180" s="5">
        <f>INDEX('Player Data'!$K:$K,AL180)/INDEX('Player Data'!$E:$E,AL180)*M180*L180*AM180</f>
        <v>152.18181818181816</v>
      </c>
      <c r="T180" s="5">
        <f>INDEX('Player Data'!$L:$L,AL180)/INDEX('Player Data'!$E:$E,AL180)*M180*L180*AM180</f>
        <v>61.072966507177028</v>
      </c>
      <c r="U180" s="7">
        <f>INDEX('Player Data'!$M:$M,AL180)</f>
        <v>0.40899999999999997</v>
      </c>
      <c r="V180" s="7">
        <f>INDEX('Player Data'!$N:$N,AL180)</f>
        <v>0.749</v>
      </c>
      <c r="W180" s="5">
        <f t="shared" si="15"/>
        <v>229.15017559808609</v>
      </c>
      <c r="X180" s="5">
        <f>INDEX('Player Data'!$O:$O,AL180)/INDEX('Player Data'!$E:$E,AL180)*M180*L180*AM180</f>
        <v>560.2693779904306</v>
      </c>
      <c r="Y180" s="5">
        <f t="shared" si="16"/>
        <v>59.316768301435403</v>
      </c>
      <c r="Z180" s="5">
        <f>INDEX('Player Data'!$P:$P,AL180)/INDEX('Player Data'!$E:$E,AL180)*M180*L180*AM180</f>
        <v>79.194617224880375</v>
      </c>
      <c r="AB180" s="3">
        <f>(N180-Pool!$D$2)/Pool!$E$2</f>
        <v>-1.403991761434817</v>
      </c>
      <c r="AC180" s="3">
        <f>(O180-Pool!$D$3)/Pool!$E$3</f>
        <v>-0.94353609741786837</v>
      </c>
      <c r="AD180" s="3">
        <f>(P180-Pool!$D$4)/Pool!$E$4</f>
        <v>-1.1696134233156381</v>
      </c>
      <c r="AE180" s="3">
        <f>(Q180-Pool!$D$5)/Pool!$E$5</f>
        <v>-0.31531401774398127</v>
      </c>
      <c r="AF180" s="3">
        <f>(R180-Pool!$D$6)/Pool!$E$6</f>
        <v>-0.52949453166190241</v>
      </c>
      <c r="AG180" s="3">
        <f>(S180-Pool!$D$7)/Pool!$E$7</f>
        <v>0.40519564425654747</v>
      </c>
      <c r="AH180" s="3">
        <f>(AS180-Pool!$D$8)/Pool!$E$8</f>
        <v>-0.91986605330373994</v>
      </c>
      <c r="AI180" s="3">
        <f>(AT180-Pool!$D$9)/Pool!$E$9</f>
        <v>-0.18152316087518777</v>
      </c>
      <c r="AJ180" s="3">
        <f>-(T180-Pool!$D$10)/Pool!$E$10</f>
        <v>1.4101763660348452</v>
      </c>
      <c r="AL180">
        <f>MATCH(B180,'Player Data'!$A:$A,0)</f>
        <v>200</v>
      </c>
      <c r="AM180" s="3">
        <f>1+IF(Settings!$F$10="ON",IFERROR(VLOOKUP(TRIM(F180),Settings!$D$12:$F$17,3,FALSE),0),0)</f>
        <v>1</v>
      </c>
      <c r="AN180" t="str">
        <f t="shared" si="17"/>
        <v>SG</v>
      </c>
      <c r="AO180" s="6">
        <f>X180*(U180-Pool!$B$12)</f>
        <v>-40.119080310776013</v>
      </c>
      <c r="AP180" s="6">
        <f>Z180*(V180-Pool!$B$13)</f>
        <v>-3.2548716228793992</v>
      </c>
      <c r="AQ180" s="3">
        <f>Settings!$B$2*(N180-Pool!$B$2)/Pool!$C$2+Settings!$B$3*(O180-Pool!$B$3)/Pool!$C$3+Settings!$B$4*(P180-Pool!$B$4)/Pool!$C$4+Settings!$B$5*(Q180-Pool!$B$5)/Pool!$C$5+Settings!$B$6*(R180-Pool!$B$6)/Pool!$C$6+Settings!$B$7*(S180-Pool!$B$7)/Pool!$C$7+Settings!$B$8*(AO180-Pool!$B$8)/Pool!$C$8+Settings!$B$9*(AP180-Pool!$B$9)/Pool!$C$9+Settings!$B$10*-(T180-Pool!$B$10)/Pool!$C$10</f>
        <v>-1.7481160269190181</v>
      </c>
      <c r="AR180">
        <f>IF(RANK(AQ180,$AQ$2:$AQ$266)&lt;=Settings!$F$5,1,0)</f>
        <v>0</v>
      </c>
      <c r="AS180" s="6">
        <f>X180*(U180-Pool!$D$12)</f>
        <v>-42.06143533168899</v>
      </c>
      <c r="AT180" s="6">
        <f>Z180*(V180-Pool!$D$13)</f>
        <v>-4.0498884506385533</v>
      </c>
    </row>
    <row r="181" spans="1:46" x14ac:dyDescent="0.2">
      <c r="A181">
        <f t="shared" si="12"/>
        <v>180</v>
      </c>
      <c r="B181" t="s">
        <v>222</v>
      </c>
      <c r="C181" t="str">
        <f>INDEX('Player Data'!$C:$C,AL181)</f>
        <v>C,PF</v>
      </c>
      <c r="D181">
        <f t="shared" si="13"/>
        <v>38</v>
      </c>
      <c r="E181" t="str">
        <f>INDEX('Player Data'!$B:$B,AL181)</f>
        <v>TOR</v>
      </c>
      <c r="F181" s="2"/>
      <c r="G181" s="3">
        <f>Settings!$B$2*AB181+Settings!$B$3*AC181+Settings!$B$4*AD181+Settings!$B$5*AE181+Settings!$B$6*AF181+Settings!$B$7*AG181+Settings!$B$8*AH181+Settings!$B$9*AI181+Settings!$B$10*AJ181</f>
        <v>-3.6527188487943132</v>
      </c>
      <c r="H181" s="3">
        <f>G181-LARGE($G$2:$G$266,Settings!$F$4)</f>
        <v>-0.43645408234714811</v>
      </c>
      <c r="I181">
        <f>IF(INDEX('Player Data'!$R:$R,AL181)="","",INDEX('Player Data'!$R:$R,AL181))</f>
        <v>184</v>
      </c>
      <c r="J181" s="4">
        <f t="shared" si="14"/>
        <v>4</v>
      </c>
      <c r="L181" s="5">
        <f>IF(Settings!$F$7="Yes",INDEX('Minutes &amp; Health'!$O:$O,AL181),Settings!$F$8)</f>
        <v>72</v>
      </c>
      <c r="M181" s="6">
        <f>INDEX('Minutes &amp; Health'!$P:$P,AL181)</f>
        <v>19.899999999999999</v>
      </c>
      <c r="N181" s="5">
        <f>INDEX('Player Data'!$F:$F,AL181)/INDEX('Player Data'!$E:$E,AL181)*M181*L181*AM181</f>
        <v>565.13226480836238</v>
      </c>
      <c r="O181" s="5">
        <f>INDEX('Player Data'!$G:$G,AL181)/INDEX('Player Data'!$E:$E,AL181)*M181*L181*AM181</f>
        <v>318.5109407665505</v>
      </c>
      <c r="P181" s="5">
        <f>INDEX('Player Data'!$H:$H,AL181)/INDEX('Player Data'!$E:$E,AL181)*M181*L181*AM181</f>
        <v>115.82216027874563</v>
      </c>
      <c r="Q181" s="5">
        <f>INDEX('Player Data'!$I:$I,AL181)/INDEX('Player Data'!$E:$E,AL181)*M181*L181*AM181</f>
        <v>60.906480836236931</v>
      </c>
      <c r="R181" s="5">
        <f>INDEX('Player Data'!$J:$J,AL181)/INDEX('Player Data'!$E:$E,AL181)*M181*L181*AM181</f>
        <v>59.908013937282234</v>
      </c>
      <c r="S181" s="5">
        <f>INDEX('Player Data'!$K:$K,AL181)/INDEX('Player Data'!$E:$E,AL181)*M181*L181*AM181</f>
        <v>17.972404181184668</v>
      </c>
      <c r="T181" s="5">
        <f>INDEX('Player Data'!$L:$L,AL181)/INDEX('Player Data'!$E:$E,AL181)*M181*L181*AM181</f>
        <v>68.894216027874563</v>
      </c>
      <c r="U181" s="7">
        <f>INDEX('Player Data'!$M:$M,AL181)</f>
        <v>0.6</v>
      </c>
      <c r="V181" s="7">
        <f>INDEX('Player Data'!$N:$N,AL181)</f>
        <v>0.67500000000000004</v>
      </c>
      <c r="W181" s="5">
        <f t="shared" si="15"/>
        <v>231.84401393728217</v>
      </c>
      <c r="X181" s="5">
        <f>INDEX('Player Data'!$O:$O,AL181)/INDEX('Player Data'!$E:$E,AL181)*M181*L181*AM181</f>
        <v>386.40668989547032</v>
      </c>
      <c r="Y181" s="5">
        <f t="shared" si="16"/>
        <v>83.504282926829262</v>
      </c>
      <c r="Z181" s="5">
        <f>INDEX('Player Data'!$P:$P,AL181)/INDEX('Player Data'!$E:$E,AL181)*M181*L181*AM181</f>
        <v>123.7100487804878</v>
      </c>
      <c r="AB181" s="3">
        <f>(N181-Pool!$D$2)/Pool!$E$2</f>
        <v>-1.6619942522365241</v>
      </c>
      <c r="AC181" s="3">
        <f>(O181-Pool!$D$3)/Pool!$E$3</f>
        <v>-0.6455751111052227</v>
      </c>
      <c r="AD181" s="3">
        <f>(P181-Pool!$D$4)/Pool!$E$4</f>
        <v>-1.1108119041605458</v>
      </c>
      <c r="AE181" s="3">
        <f>(Q181-Pool!$D$5)/Pool!$E$5</f>
        <v>-0.58786992276345629</v>
      </c>
      <c r="AF181" s="3">
        <f>(R181-Pool!$D$6)/Pool!$E$6</f>
        <v>0.27707586775550641</v>
      </c>
      <c r="AG181" s="3">
        <f>(S181-Pool!$D$7)/Pool!$E$7</f>
        <v>-1.4850515954716821</v>
      </c>
      <c r="AH181" s="3">
        <f>(AS181-Pool!$D$8)/Pool!$E$8</f>
        <v>0.97964226809011212</v>
      </c>
      <c r="AI181" s="3">
        <f>(AT181-Pool!$D$9)/Pool!$E$9</f>
        <v>-0.69388047464614655</v>
      </c>
      <c r="AJ181" s="3">
        <f>-(T181-Pool!$D$10)/Pool!$E$10</f>
        <v>1.2757462757436453</v>
      </c>
      <c r="AL181">
        <f>MATCH(B181,'Player Data'!$A:$A,0)</f>
        <v>219</v>
      </c>
      <c r="AM181" s="3">
        <f>1+IF(Settings!$F$10="ON",IFERROR(VLOOKUP(TRIM(F181),Settings!$D$12:$F$17,3,FALSE),0),0)</f>
        <v>1</v>
      </c>
      <c r="AN181" t="str">
        <f t="shared" si="17"/>
        <v>C</v>
      </c>
      <c r="AO181" s="6">
        <f>X181*(U181-Pool!$B$12)</f>
        <v>46.134342922321139</v>
      </c>
      <c r="AP181" s="6">
        <f>Z181*(V181-Pool!$B$13)</f>
        <v>-14.238984211283908</v>
      </c>
      <c r="AQ181" s="3">
        <f>Settings!$B$2*(N181-Pool!$B$2)/Pool!$C$2+Settings!$B$3*(O181-Pool!$B$3)/Pool!$C$3+Settings!$B$4*(P181-Pool!$B$4)/Pool!$C$4+Settings!$B$5*(Q181-Pool!$B$5)/Pool!$C$5+Settings!$B$6*(R181-Pool!$B$6)/Pool!$C$6+Settings!$B$7*(S181-Pool!$B$7)/Pool!$C$7+Settings!$B$8*(AO181-Pool!$B$8)/Pool!$C$8+Settings!$B$9*(AP181-Pool!$B$9)/Pool!$C$9+Settings!$B$10*-(T181-Pool!$B$10)/Pool!$C$10</f>
        <v>-1.4174105141138678</v>
      </c>
      <c r="AR181">
        <f>IF(RANK(AQ181,$AQ$2:$AQ$266)&lt;=Settings!$F$5,1,0)</f>
        <v>0</v>
      </c>
      <c r="AS181" s="6">
        <f>X181*(U181-Pool!$D$12)</f>
        <v>44.794739146500199</v>
      </c>
      <c r="AT181" s="6">
        <f>Z181*(V181-Pool!$D$13)</f>
        <v>-15.480881375381758</v>
      </c>
    </row>
    <row r="182" spans="1:46" x14ac:dyDescent="0.2">
      <c r="A182">
        <f t="shared" si="12"/>
        <v>181</v>
      </c>
      <c r="B182" t="s">
        <v>223</v>
      </c>
      <c r="C182" t="str">
        <f>INDEX('Player Data'!$C:$C,AL182)</f>
        <v>SF,PF</v>
      </c>
      <c r="D182">
        <f t="shared" si="13"/>
        <v>22</v>
      </c>
      <c r="E182" t="str">
        <f>INDEX('Player Data'!$B:$B,AL182)</f>
        <v>CHA</v>
      </c>
      <c r="F182" s="2"/>
      <c r="G182" s="3">
        <f>Settings!$B$2*AB182+Settings!$B$3*AC182+Settings!$B$4*AD182+Settings!$B$5*AE182+Settings!$B$6*AF182+Settings!$B$7*AG182+Settings!$B$8*AH182+Settings!$B$9*AI182+Settings!$B$10*AJ182</f>
        <v>-3.6605275482154926</v>
      </c>
      <c r="H182" s="3">
        <f>G182-LARGE($G$2:$G$266,Settings!$F$4)</f>
        <v>-0.44426278176832756</v>
      </c>
      <c r="I182" t="str">
        <f>IF(INDEX('Player Data'!$R:$R,AL182)="","",INDEX('Player Data'!$R:$R,AL182))</f>
        <v/>
      </c>
      <c r="J182" s="4" t="str">
        <f t="shared" si="14"/>
        <v/>
      </c>
      <c r="L182" s="5">
        <f>IF(Settings!$F$7="Yes",INDEX('Minutes &amp; Health'!$O:$O,AL182),Settings!$F$8)</f>
        <v>77</v>
      </c>
      <c r="M182" s="6">
        <f>INDEX('Minutes &amp; Health'!$P:$P,AL182)</f>
        <v>22.3</v>
      </c>
      <c r="N182" s="5">
        <f>INDEX('Player Data'!$F:$F,AL182)/INDEX('Player Data'!$E:$E,AL182)*M182*L182*AM182</f>
        <v>607.68149010477305</v>
      </c>
      <c r="O182" s="5">
        <f>INDEX('Player Data'!$G:$G,AL182)/INDEX('Player Data'!$E:$E,AL182)*M182*L182*AM182</f>
        <v>294.8454598370198</v>
      </c>
      <c r="P182" s="5">
        <f>INDEX('Player Data'!$H:$H,AL182)/INDEX('Player Data'!$E:$E,AL182)*M182*L182*AM182</f>
        <v>151.92037252619326</v>
      </c>
      <c r="Q182" s="5">
        <f>INDEX('Player Data'!$I:$I,AL182)/INDEX('Player Data'!$E:$E,AL182)*M182*L182*AM182</f>
        <v>55.970663562281722</v>
      </c>
      <c r="R182" s="5">
        <f>INDEX('Player Data'!$J:$J,AL182)/INDEX('Player Data'!$E:$E,AL182)*M182*L182*AM182</f>
        <v>25.986379511059372</v>
      </c>
      <c r="S182" s="5">
        <f>INDEX('Player Data'!$K:$K,AL182)/INDEX('Player Data'!$E:$E,AL182)*M182*L182*AM182</f>
        <v>168.91146682188594</v>
      </c>
      <c r="T182" s="5">
        <f>INDEX('Player Data'!$L:$L,AL182)/INDEX('Player Data'!$E:$E,AL182)*M182*L182*AM182</f>
        <v>72.961757857974391</v>
      </c>
      <c r="U182" s="7">
        <f>INDEX('Player Data'!$M:$M,AL182)</f>
        <v>0.42499999999999999</v>
      </c>
      <c r="V182" s="7">
        <f>INDEX('Player Data'!$N:$N,AL182)</f>
        <v>0.72099999999999997</v>
      </c>
      <c r="W182" s="5">
        <f t="shared" si="15"/>
        <v>201.34446740395811</v>
      </c>
      <c r="X182" s="5">
        <f>INDEX('Player Data'!$O:$O,AL182)/INDEX('Player Data'!$E:$E,AL182)*M182*L182*AM182</f>
        <v>473.75168800931317</v>
      </c>
      <c r="Y182" s="5">
        <f t="shared" si="16"/>
        <v>36.103176897555294</v>
      </c>
      <c r="Z182" s="5">
        <f>INDEX('Player Data'!$P:$P,AL182)/INDEX('Player Data'!$E:$E,AL182)*M182*L182*AM182</f>
        <v>50.073754365541326</v>
      </c>
      <c r="AB182" s="3">
        <f>(N182-Pool!$D$2)/Pool!$E$2</f>
        <v>-1.5571120648401389</v>
      </c>
      <c r="AC182" s="3">
        <f>(O182-Pool!$D$3)/Pool!$E$3</f>
        <v>-0.78332027177094565</v>
      </c>
      <c r="AD182" s="3">
        <f>(P182-Pool!$D$4)/Pool!$E$4</f>
        <v>-0.86666786786811134</v>
      </c>
      <c r="AE182" s="3">
        <f>(Q182-Pool!$D$5)/Pool!$E$5</f>
        <v>-0.80577721840298866</v>
      </c>
      <c r="AF182" s="3">
        <f>(R182-Pool!$D$6)/Pool!$E$6</f>
        <v>-0.70464085214832173</v>
      </c>
      <c r="AG182" s="3">
        <f>(S182-Pool!$D$7)/Pool!$E$7</f>
        <v>0.64082123281147541</v>
      </c>
      <c r="AH182" s="3">
        <f>(AS182-Pool!$D$8)/Pool!$E$8</f>
        <v>-0.61204684160776412</v>
      </c>
      <c r="AI182" s="3">
        <f>(AT182-Pool!$D$9)/Pool!$E$9</f>
        <v>-0.17761783541856996</v>
      </c>
      <c r="AJ182" s="3">
        <f>-(T182-Pool!$D$10)/Pool!$E$10</f>
        <v>1.2058341710298723</v>
      </c>
      <c r="AL182">
        <f>MATCH(B182,'Player Data'!$A:$A,0)</f>
        <v>217</v>
      </c>
      <c r="AM182" s="3">
        <f>1+IF(Settings!$F$10="ON",IFERROR(VLOOKUP(TRIM(F182),Settings!$D$12:$F$17,3,FALSE),0),0)</f>
        <v>1</v>
      </c>
      <c r="AN182" t="str">
        <f t="shared" si="17"/>
        <v>SF</v>
      </c>
      <c r="AO182" s="6">
        <f>X182*(U182-Pool!$B$12)</f>
        <v>-26.343801002554734</v>
      </c>
      <c r="AP182" s="6">
        <f>Z182*(V182-Pool!$B$13)</f>
        <v>-3.4600792631789412</v>
      </c>
      <c r="AQ182" s="3">
        <f>Settings!$B$2*(N182-Pool!$B$2)/Pool!$C$2+Settings!$B$3*(O182-Pool!$B$3)/Pool!$C$3+Settings!$B$4*(P182-Pool!$B$4)/Pool!$C$4+Settings!$B$5*(Q182-Pool!$B$5)/Pool!$C$5+Settings!$B$6*(R182-Pool!$B$6)/Pool!$C$6+Settings!$B$7*(S182-Pool!$B$7)/Pool!$C$7+Settings!$B$8*(AO182-Pool!$B$8)/Pool!$C$8+Settings!$B$9*(AP182-Pool!$B$9)/Pool!$C$9+Settings!$B$10*-(T182-Pool!$B$10)/Pool!$C$10</f>
        <v>-1.6465796326105757</v>
      </c>
      <c r="AR182">
        <f>IF(RANK(AQ182,$AQ$2:$AQ$266)&lt;=Settings!$F$5,1,0)</f>
        <v>0</v>
      </c>
      <c r="AS182" s="6">
        <f>X182*(U182-Pool!$D$12)</f>
        <v>-27.986214466541345</v>
      </c>
      <c r="AT182" s="6">
        <f>Z182*(V182-Pool!$D$13)</f>
        <v>-3.962758343458364</v>
      </c>
    </row>
    <row r="183" spans="1:46" x14ac:dyDescent="0.2">
      <c r="A183">
        <f t="shared" si="12"/>
        <v>182</v>
      </c>
      <c r="B183" t="s">
        <v>224</v>
      </c>
      <c r="C183" t="str">
        <f>INDEX('Player Data'!$C:$C,AL183)</f>
        <v>C</v>
      </c>
      <c r="D183">
        <f t="shared" si="13"/>
        <v>39</v>
      </c>
      <c r="E183" t="str">
        <f>INDEX('Player Data'!$B:$B,AL183)</f>
        <v>NOR</v>
      </c>
      <c r="F183" s="2"/>
      <c r="G183" s="3">
        <f>Settings!$B$2*AB183+Settings!$B$3*AC183+Settings!$B$4*AD183+Settings!$B$5*AE183+Settings!$B$6*AF183+Settings!$B$7*AG183+Settings!$B$8*AH183+Settings!$B$9*AI183+Settings!$B$10*AJ183</f>
        <v>-3.7030907806795801</v>
      </c>
      <c r="H183" s="3">
        <f>G183-LARGE($G$2:$G$266,Settings!$F$4)</f>
        <v>-0.48682601423241501</v>
      </c>
      <c r="I183" t="str">
        <f>IF(INDEX('Player Data'!$R:$R,AL183)="","",INDEX('Player Data'!$R:$R,AL183))</f>
        <v/>
      </c>
      <c r="J183" s="4" t="str">
        <f t="shared" si="14"/>
        <v/>
      </c>
      <c r="L183" s="5">
        <f>IF(Settings!$F$7="Yes",INDEX('Minutes &amp; Health'!$O:$O,AL183),Settings!$F$8)</f>
        <v>73</v>
      </c>
      <c r="M183" s="6">
        <f>INDEX('Minutes &amp; Health'!$P:$P,AL183)</f>
        <v>25.1</v>
      </c>
      <c r="N183" s="5">
        <f>INDEX('Player Data'!$F:$F,AL183)/INDEX('Player Data'!$E:$E,AL183)*M183*L183*AM183</f>
        <v>574.40753686510106</v>
      </c>
      <c r="O183" s="5">
        <f>INDEX('Player Data'!$G:$G,AL183)/INDEX('Player Data'!$E:$E,AL183)*M183*L183*AM183</f>
        <v>529.37558711086842</v>
      </c>
      <c r="P183" s="5">
        <f>INDEX('Player Data'!$H:$H,AL183)/INDEX('Player Data'!$E:$E,AL183)*M183*L183*AM183</f>
        <v>106.07525942108138</v>
      </c>
      <c r="Q183" s="5">
        <f>INDEX('Player Data'!$I:$I,AL183)/INDEX('Player Data'!$E:$E,AL183)*M183*L183*AM183</f>
        <v>29.020589841616609</v>
      </c>
      <c r="R183" s="5">
        <f>INDEX('Player Data'!$J:$J,AL183)/INDEX('Player Data'!$E:$E,AL183)*M183*L183*AM183</f>
        <v>113.0802293828509</v>
      </c>
      <c r="S183" s="5">
        <f>INDEX('Player Data'!$K:$K,AL183)/INDEX('Player Data'!$E:$E,AL183)*M183*L183*AM183</f>
        <v>0</v>
      </c>
      <c r="T183" s="5">
        <f>INDEX('Player Data'!$L:$L,AL183)/INDEX('Player Data'!$E:$E,AL183)*M183*L183*AM183</f>
        <v>73.051829601310772</v>
      </c>
      <c r="U183" s="7">
        <f>INDEX('Player Data'!$M:$M,AL183)</f>
        <v>0.55300000000000005</v>
      </c>
      <c r="V183" s="7">
        <f>INDEX('Player Data'!$N:$N,AL183)</f>
        <v>0.58799999999999997</v>
      </c>
      <c r="W183" s="5">
        <f t="shared" si="15"/>
        <v>243.32673808301476</v>
      </c>
      <c r="X183" s="5">
        <f>INDEX('Player Data'!$O:$O,AL183)/INDEX('Player Data'!$E:$E,AL183)*M183*L183*AM183</f>
        <v>440.01218459858001</v>
      </c>
      <c r="Y183" s="5">
        <f t="shared" si="16"/>
        <v>87.733045789186249</v>
      </c>
      <c r="Z183" s="5">
        <f>INDEX('Player Data'!$P:$P,AL183)/INDEX('Player Data'!$E:$E,AL183)*M183*L183*AM183</f>
        <v>149.20586018569091</v>
      </c>
      <c r="AB183" s="3">
        <f>(N183-Pool!$D$2)/Pool!$E$2</f>
        <v>-1.6391310669439498</v>
      </c>
      <c r="AC183" s="3">
        <f>(O183-Pool!$D$3)/Pool!$E$3</f>
        <v>0.58176460262840768</v>
      </c>
      <c r="AD183" s="3">
        <f>(P183-Pool!$D$4)/Pool!$E$4</f>
        <v>-1.1767333880395872</v>
      </c>
      <c r="AE183" s="3">
        <f>(Q183-Pool!$D$5)/Pool!$E$5</f>
        <v>-1.9955736301834988</v>
      </c>
      <c r="AF183" s="3">
        <f>(R183-Pool!$D$6)/Pool!$E$6</f>
        <v>1.8159183740260911</v>
      </c>
      <c r="AG183" s="3">
        <f>(S183-Pool!$D$7)/Pool!$E$7</f>
        <v>-1.7381805406185855</v>
      </c>
      <c r="AH183" s="3">
        <f>(AS183-Pool!$D$8)/Pool!$E$8</f>
        <v>0.66327074988470069</v>
      </c>
      <c r="AI183" s="3">
        <f>(AT183-Pool!$D$9)/Pool!$E$9</f>
        <v>-1.4187119171481619</v>
      </c>
      <c r="AJ183" s="3">
        <f>-(T183-Pool!$D$10)/Pool!$E$10</f>
        <v>1.2042860357150031</v>
      </c>
      <c r="AL183">
        <f>MATCH(B183,'Player Data'!$A:$A,0)</f>
        <v>216</v>
      </c>
      <c r="AM183" s="3">
        <f>1+IF(Settings!$F$10="ON",IFERROR(VLOOKUP(TRIM(F183),Settings!$D$12:$F$17,3,FALSE),0),0)</f>
        <v>1</v>
      </c>
      <c r="AN183" t="str">
        <f t="shared" si="17"/>
        <v>C</v>
      </c>
      <c r="AO183" s="6">
        <f>X183*(U183-Pool!$B$12)</f>
        <v>31.853903421477746</v>
      </c>
      <c r="AP183" s="6">
        <f>Z183*(V183-Pool!$B$13)</f>
        <v>-30.154453201131798</v>
      </c>
      <c r="AQ183" s="3">
        <f>Settings!$B$2*(N183-Pool!$B$2)/Pool!$C$2+Settings!$B$3*(O183-Pool!$B$3)/Pool!$C$3+Settings!$B$4*(P183-Pool!$B$4)/Pool!$C$4+Settings!$B$5*(Q183-Pool!$B$5)/Pool!$C$5+Settings!$B$6*(R183-Pool!$B$6)/Pool!$C$6+Settings!$B$7*(S183-Pool!$B$7)/Pool!$C$7+Settings!$B$8*(AO183-Pool!$B$8)/Pool!$C$8+Settings!$B$9*(AP183-Pool!$B$9)/Pool!$C$9+Settings!$B$10*-(T183-Pool!$B$10)/Pool!$C$10</f>
        <v>-1.3119715571457102</v>
      </c>
      <c r="AR183">
        <f>IF(RANK(AQ183,$AQ$2:$AQ$266)&lt;=Settings!$F$5,1,0)</f>
        <v>0</v>
      </c>
      <c r="AS183" s="6">
        <f>X183*(U183-Pool!$D$12)</f>
        <v>30.328458859286204</v>
      </c>
      <c r="AT183" s="6">
        <f>Z183*(V183-Pool!$D$13)</f>
        <v>-31.652297042097253</v>
      </c>
    </row>
    <row r="184" spans="1:46" x14ac:dyDescent="0.2">
      <c r="A184">
        <f t="shared" si="12"/>
        <v>183</v>
      </c>
      <c r="B184" t="s">
        <v>225</v>
      </c>
      <c r="C184" t="str">
        <f>INDEX('Player Data'!$C:$C,AL184)</f>
        <v>SG,SF</v>
      </c>
      <c r="D184">
        <f t="shared" si="13"/>
        <v>9</v>
      </c>
      <c r="E184" t="str">
        <f>INDEX('Player Data'!$B:$B,AL184)</f>
        <v>DET</v>
      </c>
      <c r="F184" s="2"/>
      <c r="G184" s="3">
        <f>Settings!$B$2*AB184+Settings!$B$3*AC184+Settings!$B$4*AD184+Settings!$B$5*AE184+Settings!$B$6*AF184+Settings!$B$7*AG184+Settings!$B$8*AH184+Settings!$B$9*AI184+Settings!$B$10*AJ184</f>
        <v>-3.7172751442063854</v>
      </c>
      <c r="H184" s="3">
        <f>G184-LARGE($G$2:$G$266,Settings!$F$4)</f>
        <v>-0.5010103777592203</v>
      </c>
      <c r="I184" t="str">
        <f>IF(INDEX('Player Data'!$R:$R,AL184)="","",INDEX('Player Data'!$R:$R,AL184))</f>
        <v/>
      </c>
      <c r="J184" s="4" t="str">
        <f t="shared" si="14"/>
        <v/>
      </c>
      <c r="L184" s="5">
        <f>IF(Settings!$F$7="Yes",INDEX('Minutes &amp; Health'!$O:$O,AL184),Settings!$F$8)</f>
        <v>74</v>
      </c>
      <c r="M184" s="6">
        <f>INDEX('Minutes &amp; Health'!$P:$P,AL184)</f>
        <v>22.2</v>
      </c>
      <c r="N184" s="5">
        <f>INDEX('Player Data'!$F:$F,AL184)/INDEX('Player Data'!$E:$E,AL184)*M184*L184*AM184</f>
        <v>672.09993920972647</v>
      </c>
      <c r="O184" s="5">
        <f>INDEX('Player Data'!$G:$G,AL184)/INDEX('Player Data'!$E:$E,AL184)*M184*L184*AM184</f>
        <v>232.68838905775073</v>
      </c>
      <c r="P184" s="5">
        <f>INDEX('Player Data'!$H:$H,AL184)/INDEX('Player Data'!$E:$E,AL184)*M184*L184*AM184</f>
        <v>164.77933130699088</v>
      </c>
      <c r="Q184" s="5">
        <f>INDEX('Player Data'!$I:$I,AL184)/INDEX('Player Data'!$E:$E,AL184)*M184*L184*AM184</f>
        <v>68.90772036474165</v>
      </c>
      <c r="R184" s="5">
        <f>INDEX('Player Data'!$J:$J,AL184)/INDEX('Player Data'!$E:$E,AL184)*M184*L184*AM184</f>
        <v>33.954528875379935</v>
      </c>
      <c r="S184" s="5">
        <f>INDEX('Player Data'!$K:$K,AL184)/INDEX('Player Data'!$E:$E,AL184)*M184*L184*AM184</f>
        <v>104.8595744680851</v>
      </c>
      <c r="T184" s="5">
        <f>INDEX('Player Data'!$L:$L,AL184)/INDEX('Player Data'!$E:$E,AL184)*M184*L184*AM184</f>
        <v>72.902370820668693</v>
      </c>
      <c r="U184" s="7">
        <f>INDEX('Player Data'!$M:$M,AL184)</f>
        <v>0.44400000000000001</v>
      </c>
      <c r="V184" s="7">
        <f>INDEX('Player Data'!$N:$N,AL184)</f>
        <v>0.76400000000000001</v>
      </c>
      <c r="W184" s="5">
        <f t="shared" si="15"/>
        <v>252.1651062857143</v>
      </c>
      <c r="X184" s="5">
        <f>INDEX('Player Data'!$O:$O,AL184)/INDEX('Player Data'!$E:$E,AL184)*M184*L184*AM184</f>
        <v>567.93942857142861</v>
      </c>
      <c r="Y184" s="5">
        <f t="shared" si="16"/>
        <v>62.869406735562315</v>
      </c>
      <c r="Z184" s="5">
        <f>INDEX('Player Data'!$P:$P,AL184)/INDEX('Player Data'!$E:$E,AL184)*M184*L184*AM184</f>
        <v>82.289799392097265</v>
      </c>
      <c r="AB184" s="3">
        <f>(N184-Pool!$D$2)/Pool!$E$2</f>
        <v>-1.3983230903348811</v>
      </c>
      <c r="AC184" s="3">
        <f>(O184-Pool!$D$3)/Pool!$E$3</f>
        <v>-1.1451061034849057</v>
      </c>
      <c r="AD184" s="3">
        <f>(P184-Pool!$D$4)/Pool!$E$4</f>
        <v>-0.77969851665089285</v>
      </c>
      <c r="AE184" s="3">
        <f>(Q184-Pool!$D$5)/Pool!$E$5</f>
        <v>-0.23462984707818829</v>
      </c>
      <c r="AF184" s="3">
        <f>(R184-Pool!$D$6)/Pool!$E$6</f>
        <v>-0.47403682642963585</v>
      </c>
      <c r="AG184" s="3">
        <f>(S184-Pool!$D$7)/Pool!$E$7</f>
        <v>-0.26130559355683164</v>
      </c>
      <c r="AH184" s="3">
        <f>(AS184-Pool!$D$8)/Pool!$E$8</f>
        <v>-0.49773801091904185</v>
      </c>
      <c r="AI184" s="3">
        <f>(AT184-Pool!$D$9)/Pool!$E$9</f>
        <v>-0.13329205943668276</v>
      </c>
      <c r="AJ184" s="3">
        <f>-(T184-Pool!$D$10)/Pool!$E$10</f>
        <v>1.2068549036846745</v>
      </c>
      <c r="AL184">
        <f>MATCH(B184,'Player Data'!$A:$A,0)</f>
        <v>195</v>
      </c>
      <c r="AM184" s="3">
        <f>1+IF(Settings!$F$10="ON",IFERROR(VLOOKUP(TRIM(F184),Settings!$D$12:$F$17,3,FALSE),0),0)</f>
        <v>1</v>
      </c>
      <c r="AN184" t="str">
        <f t="shared" si="17"/>
        <v>SG</v>
      </c>
      <c r="AO184" s="6">
        <f>X184*(U184-Pool!$B$12)</f>
        <v>-20.790427856194388</v>
      </c>
      <c r="AP184" s="6">
        <f>Z184*(V184-Pool!$B$13)</f>
        <v>-2.1477355581535562</v>
      </c>
      <c r="AQ184" s="3">
        <f>Settings!$B$2*(N184-Pool!$B$2)/Pool!$C$2+Settings!$B$3*(O184-Pool!$B$3)/Pool!$C$3+Settings!$B$4*(P184-Pool!$B$4)/Pool!$C$4+Settings!$B$5*(Q184-Pool!$B$5)/Pool!$C$5+Settings!$B$6*(R184-Pool!$B$6)/Pool!$C$6+Settings!$B$7*(S184-Pool!$B$7)/Pool!$C$7+Settings!$B$8*(AO184-Pool!$B$8)/Pool!$C$8+Settings!$B$9*(AP184-Pool!$B$9)/Pool!$C$9+Settings!$B$10*-(T184-Pool!$B$10)/Pool!$C$10</f>
        <v>-1.7443858642646155</v>
      </c>
      <c r="AR184">
        <f>IF(RANK(AQ184,$AQ$2:$AQ$266)&lt;=Settings!$F$5,1,0)</f>
        <v>0</v>
      </c>
      <c r="AS184" s="6">
        <f>X184*(U184-Pool!$D$12)</f>
        <v>-22.759373588365033</v>
      </c>
      <c r="AT184" s="6">
        <f>Z184*(V184-Pool!$D$13)</f>
        <v>-2.9738242187486472</v>
      </c>
    </row>
    <row r="185" spans="1:46" x14ac:dyDescent="0.2">
      <c r="A185">
        <f t="shared" si="12"/>
        <v>184</v>
      </c>
      <c r="B185" t="s">
        <v>226</v>
      </c>
      <c r="C185" t="str">
        <f>INDEX('Player Data'!$C:$C,AL185)</f>
        <v>PG,SG</v>
      </c>
      <c r="D185">
        <f t="shared" si="13"/>
        <v>63</v>
      </c>
      <c r="E185" t="str">
        <f>INDEX('Player Data'!$B:$B,AL185)</f>
        <v>CHI</v>
      </c>
      <c r="F185" s="2"/>
      <c r="G185" s="3">
        <f>Settings!$B$2*AB185+Settings!$B$3*AC185+Settings!$B$4*AD185+Settings!$B$5*AE185+Settings!$B$6*AF185+Settings!$B$7*AG185+Settings!$B$8*AH185+Settings!$B$9*AI185+Settings!$B$10*AJ185</f>
        <v>-3.8309460658199628</v>
      </c>
      <c r="H185" s="3">
        <f>G185-LARGE($G$2:$G$266,Settings!$F$4)</f>
        <v>-0.6146812993727977</v>
      </c>
      <c r="I185" t="str">
        <f>IF(INDEX('Player Data'!$R:$R,AL185)="","",INDEX('Player Data'!$R:$R,AL185))</f>
        <v/>
      </c>
      <c r="J185" s="4" t="str">
        <f t="shared" si="14"/>
        <v/>
      </c>
      <c r="L185" s="5">
        <f>IF(Settings!$F$7="Yes",INDEX('Minutes &amp; Health'!$O:$O,AL185),Settings!$F$8)</f>
        <v>73</v>
      </c>
      <c r="M185" s="6">
        <f>INDEX('Minutes &amp; Health'!$P:$P,AL185)</f>
        <v>20.2</v>
      </c>
      <c r="N185" s="5">
        <f>INDEX('Player Data'!$F:$F,AL185)/INDEX('Player Data'!$E:$E,AL185)*M185*L185*AM185</f>
        <v>680.43112313937752</v>
      </c>
      <c r="O185" s="5">
        <f>INDEX('Player Data'!$G:$G,AL185)/INDEX('Player Data'!$E:$E,AL185)*M185*L185*AM185</f>
        <v>160.62963464140731</v>
      </c>
      <c r="P185" s="5">
        <f>INDEX('Player Data'!$H:$H,AL185)/INDEX('Player Data'!$E:$E,AL185)*M185*L185*AM185</f>
        <v>280.3535859269283</v>
      </c>
      <c r="Q185" s="5">
        <f>INDEX('Player Data'!$I:$I,AL185)/INDEX('Player Data'!$E:$E,AL185)*M185*L185*AM185</f>
        <v>61.857374830852507</v>
      </c>
      <c r="R185" s="5">
        <f>INDEX('Player Data'!$J:$J,AL185)/INDEX('Player Data'!$E:$E,AL185)*M185*L185*AM185</f>
        <v>6.9838971583220566</v>
      </c>
      <c r="S185" s="5">
        <f>INDEX('Player Data'!$K:$K,AL185)/INDEX('Player Data'!$E:$E,AL185)*M185*L185*AM185</f>
        <v>31.926387009472261</v>
      </c>
      <c r="T185" s="5">
        <f>INDEX('Player Data'!$L:$L,AL185)/INDEX('Player Data'!$E:$E,AL185)*M185*L185*AM185</f>
        <v>68.841271989174558</v>
      </c>
      <c r="U185" s="7">
        <f>INDEX('Player Data'!$M:$M,AL185)</f>
        <v>0.54500000000000004</v>
      </c>
      <c r="V185" s="7">
        <f>INDEX('Player Data'!$N:$N,AL185)</f>
        <v>0.84099999999999997</v>
      </c>
      <c r="W185" s="5">
        <f t="shared" si="15"/>
        <v>256.75699282814617</v>
      </c>
      <c r="X185" s="5">
        <f>INDEX('Player Data'!$O:$O,AL185)/INDEX('Player Data'!$E:$E,AL185)*M185*L185*AM185</f>
        <v>471.11374830852503</v>
      </c>
      <c r="Y185" s="5">
        <f t="shared" si="16"/>
        <v>135.00561619756428</v>
      </c>
      <c r="Z185" s="5">
        <f>INDEX('Player Data'!$P:$P,AL185)/INDEX('Player Data'!$E:$E,AL185)*M185*L185*AM185</f>
        <v>160.52986468200271</v>
      </c>
      <c r="AB185" s="3">
        <f>(N185-Pool!$D$2)/Pool!$E$2</f>
        <v>-1.3777870455994878</v>
      </c>
      <c r="AC185" s="3">
        <f>(O185-Pool!$D$3)/Pool!$E$3</f>
        <v>-1.5645247805871048</v>
      </c>
      <c r="AD185" s="3">
        <f>(P185-Pool!$D$4)/Pool!$E$4</f>
        <v>1.9680329549300489E-3</v>
      </c>
      <c r="AE185" s="3">
        <f>(Q185-Pool!$D$5)/Pool!$E$5</f>
        <v>-0.54588969389641151</v>
      </c>
      <c r="AF185" s="3">
        <f>(R185-Pool!$D$6)/Pool!$E$6</f>
        <v>-1.2545864830386335</v>
      </c>
      <c r="AG185" s="3">
        <f>(S185-Pool!$D$7)/Pool!$E$7</f>
        <v>-1.2885193497958218</v>
      </c>
      <c r="AH185" s="3">
        <f>(AS185-Pool!$D$8)/Pool!$E$8</f>
        <v>0.62772850137913505</v>
      </c>
      <c r="AI185" s="3">
        <f>(AT185-Pool!$D$9)/Pool!$E$9</f>
        <v>0.29400848535106622</v>
      </c>
      <c r="AJ185" s="3">
        <f>-(T185-Pool!$D$10)/Pool!$E$10</f>
        <v>1.2766562674123663</v>
      </c>
      <c r="AL185">
        <f>MATCH(B185,'Player Data'!$A:$A,0)</f>
        <v>187</v>
      </c>
      <c r="AM185" s="3">
        <f>1+IF(Settings!$F$10="ON",IFERROR(VLOOKUP(TRIM(F185),Settings!$D$12:$F$17,3,FALSE),0),0)</f>
        <v>1</v>
      </c>
      <c r="AN185" t="str">
        <f t="shared" si="17"/>
        <v>PG</v>
      </c>
      <c r="AO185" s="6">
        <f>X185*(U185-Pool!$B$12)</f>
        <v>30.336536099850381</v>
      </c>
      <c r="AP185" s="6">
        <f>Z185*(V185-Pool!$B$13)</f>
        <v>8.1710251361712665</v>
      </c>
      <c r="AQ185" s="3">
        <f>Settings!$B$2*(N185-Pool!$B$2)/Pool!$C$2+Settings!$B$3*(O185-Pool!$B$3)/Pool!$C$3+Settings!$B$4*(P185-Pool!$B$4)/Pool!$C$4+Settings!$B$5*(Q185-Pool!$B$5)/Pool!$C$5+Settings!$B$6*(R185-Pool!$B$6)/Pool!$C$6+Settings!$B$7*(S185-Pool!$B$7)/Pool!$C$7+Settings!$B$8*(AO185-Pool!$B$8)/Pool!$C$8+Settings!$B$9*(AP185-Pool!$B$9)/Pool!$C$9+Settings!$B$10*-(T185-Pool!$B$10)/Pool!$C$10</f>
        <v>-1.6171267853223563</v>
      </c>
      <c r="AR185">
        <f>IF(RANK(AQ185,$AQ$2:$AQ$266)&lt;=Settings!$F$5,1,0)</f>
        <v>0</v>
      </c>
      <c r="AS185" s="6">
        <f>X185*(U185-Pool!$D$12)</f>
        <v>28.703267907092172</v>
      </c>
      <c r="AT185" s="6">
        <f>Z185*(V185-Pool!$D$13)</f>
        <v>6.5595021785226146</v>
      </c>
    </row>
    <row r="186" spans="1:46" x14ac:dyDescent="0.2">
      <c r="A186">
        <f t="shared" si="12"/>
        <v>185</v>
      </c>
      <c r="B186" t="s">
        <v>227</v>
      </c>
      <c r="C186" t="str">
        <f>INDEX('Player Data'!$C:$C,AL186)</f>
        <v>PF,SF,SG</v>
      </c>
      <c r="D186">
        <f t="shared" si="13"/>
        <v>52</v>
      </c>
      <c r="E186" t="str">
        <f>INDEX('Player Data'!$B:$B,AL186)</f>
        <v>MIL</v>
      </c>
      <c r="F186" s="2"/>
      <c r="G186" s="3">
        <f>Settings!$B$2*AB186+Settings!$B$3*AC186+Settings!$B$4*AD186+Settings!$B$5*AE186+Settings!$B$6*AF186+Settings!$B$7*AG186+Settings!$B$8*AH186+Settings!$B$9*AI186+Settings!$B$10*AJ186</f>
        <v>-3.8778991714646449</v>
      </c>
      <c r="H186" s="3">
        <f>G186-LARGE($G$2:$G$266,Settings!$F$4)</f>
        <v>-0.66163440501747983</v>
      </c>
      <c r="I186">
        <f>IF(INDEX('Player Data'!$R:$R,AL186)="","",INDEX('Player Data'!$R:$R,AL186))</f>
        <v>123</v>
      </c>
      <c r="J186" s="4">
        <f t="shared" si="14"/>
        <v>-62</v>
      </c>
      <c r="L186" s="5">
        <f>IF(Settings!$F$7="Yes",INDEX('Minutes &amp; Health'!$O:$O,AL186),Settings!$F$8)</f>
        <v>76</v>
      </c>
      <c r="M186" s="6">
        <f>INDEX('Minutes &amp; Health'!$P:$P,AL186)</f>
        <v>26.9</v>
      </c>
      <c r="N186" s="5">
        <f>INDEX('Player Data'!$F:$F,AL186)/INDEX('Player Data'!$E:$E,AL186)*M186*L186*AM186</f>
        <v>1007.2263671874999</v>
      </c>
      <c r="O186" s="5">
        <f>INDEX('Player Data'!$G:$G,AL186)/INDEX('Player Data'!$E:$E,AL186)*M186*L186*AM186</f>
        <v>339.40234375</v>
      </c>
      <c r="P186" s="5">
        <f>INDEX('Player Data'!$H:$H,AL186)/INDEX('Player Data'!$E:$E,AL186)*M186*L186*AM186</f>
        <v>301.46914062499997</v>
      </c>
      <c r="Q186" s="5">
        <f>INDEX('Player Data'!$I:$I,AL186)/INDEX('Player Data'!$E:$E,AL186)*M186*L186*AM186</f>
        <v>52.906835937499991</v>
      </c>
      <c r="R186" s="5">
        <f>INDEX('Player Data'!$J:$J,AL186)/INDEX('Player Data'!$E:$E,AL186)*M186*L186*AM186</f>
        <v>19.96484375</v>
      </c>
      <c r="S186" s="5">
        <f>INDEX('Player Data'!$K:$K,AL186)/INDEX('Player Data'!$E:$E,AL186)*M186*L186*AM186</f>
        <v>56.899804687500001</v>
      </c>
      <c r="T186" s="5">
        <f>INDEX('Player Data'!$L:$L,AL186)/INDEX('Player Data'!$E:$E,AL186)*M186*L186*AM186</f>
        <v>148.73808593749999</v>
      </c>
      <c r="U186" s="7">
        <f>INDEX('Player Data'!$M:$M,AL186)</f>
        <v>0.497</v>
      </c>
      <c r="V186" s="7">
        <f>INDEX('Player Data'!$N:$N,AL186)</f>
        <v>0.76500000000000001</v>
      </c>
      <c r="W186" s="5">
        <f t="shared" si="15"/>
        <v>401.862357421875</v>
      </c>
      <c r="X186" s="5">
        <f>INDEX('Player Data'!$O:$O,AL186)/INDEX('Player Data'!$E:$E,AL186)*M186*L186*AM186</f>
        <v>808.576171875</v>
      </c>
      <c r="Y186" s="5">
        <f t="shared" si="16"/>
        <v>146.54544697265624</v>
      </c>
      <c r="Z186" s="5">
        <f>INDEX('Player Data'!$P:$P,AL186)/INDEX('Player Data'!$E:$E,AL186)*M186*L186*AM186</f>
        <v>191.56267578124999</v>
      </c>
      <c r="AB186" s="3">
        <f>(N186-Pool!$D$2)/Pool!$E$2</f>
        <v>-0.57224946441598423</v>
      </c>
      <c r="AC186" s="3">
        <f>(O186-Pool!$D$3)/Pool!$E$3</f>
        <v>-0.52397649795822687</v>
      </c>
      <c r="AD186" s="3">
        <f>(P186-Pool!$D$4)/Pool!$E$4</f>
        <v>0.14477944747048954</v>
      </c>
      <c r="AE186" s="3">
        <f>(Q186-Pool!$D$5)/Pool!$E$5</f>
        <v>-0.94103959846409013</v>
      </c>
      <c r="AF186" s="3">
        <f>(R186-Pool!$D$6)/Pool!$E$6</f>
        <v>-0.87890846737741024</v>
      </c>
      <c r="AG186" s="3">
        <f>(S186-Pool!$D$7)/Pool!$E$7</f>
        <v>-0.93678594730701203</v>
      </c>
      <c r="AH186" s="3">
        <f>(AS186-Pool!$D$8)/Pool!$E$8</f>
        <v>0.22858054473950115</v>
      </c>
      <c r="AI186" s="3">
        <f>(AT186-Pool!$D$9)/Pool!$E$9</f>
        <v>-0.30170481516088848</v>
      </c>
      <c r="AJ186" s="3">
        <f>-(T186-Pool!$D$10)/Pool!$E$10</f>
        <v>-9.659437299102408E-2</v>
      </c>
      <c r="AL186">
        <f>MATCH(B186,'Player Data'!$A:$A,0)</f>
        <v>119</v>
      </c>
      <c r="AM186" s="3">
        <f>1+IF(Settings!$F$10="ON",IFERROR(VLOOKUP(TRIM(F186),Settings!$D$12:$F$17,3,FALSE),0),0)</f>
        <v>1</v>
      </c>
      <c r="AN186" t="str">
        <f t="shared" si="17"/>
        <v>PF</v>
      </c>
      <c r="AO186" s="6">
        <f>X186*(U186-Pool!$B$12)</f>
        <v>13.255175413551509</v>
      </c>
      <c r="AP186" s="6">
        <f>Z186*(V186-Pool!$B$13)</f>
        <v>-4.8081575013218076</v>
      </c>
      <c r="AQ186" s="3">
        <f>Settings!$B$2*(N186-Pool!$B$2)/Pool!$C$2+Settings!$B$3*(O186-Pool!$B$3)/Pool!$C$3+Settings!$B$4*(P186-Pool!$B$4)/Pool!$C$4+Settings!$B$5*(Q186-Pool!$B$5)/Pool!$C$5+Settings!$B$6*(R186-Pool!$B$6)/Pool!$C$6+Settings!$B$7*(S186-Pool!$B$7)/Pool!$C$7+Settings!$B$8*(AO186-Pool!$B$8)/Pool!$C$8+Settings!$B$9*(AP186-Pool!$B$9)/Pool!$C$9+Settings!$B$10*-(T186-Pool!$B$10)/Pool!$C$10</f>
        <v>-1.7467131888411402</v>
      </c>
      <c r="AR186">
        <f>IF(RANK(AQ186,$AQ$2:$AQ$266)&lt;=Settings!$F$5,1,0)</f>
        <v>0</v>
      </c>
      <c r="AS186" s="6">
        <f>X186*(U186-Pool!$D$12)</f>
        <v>10.451984575484996</v>
      </c>
      <c r="AT186" s="6">
        <f>Z186*(V186-Pool!$D$13)</f>
        <v>-6.7312118218472499</v>
      </c>
    </row>
    <row r="187" spans="1:46" x14ac:dyDescent="0.2">
      <c r="A187">
        <f t="shared" si="12"/>
        <v>186</v>
      </c>
      <c r="B187" t="s">
        <v>228</v>
      </c>
      <c r="C187" t="str">
        <f>INDEX('Player Data'!$C:$C,AL187)</f>
        <v>SF,PF</v>
      </c>
      <c r="D187">
        <f t="shared" si="13"/>
        <v>23</v>
      </c>
      <c r="E187" t="str">
        <f>INDEX('Player Data'!$B:$B,AL187)</f>
        <v>SAC</v>
      </c>
      <c r="F187" s="2"/>
      <c r="G187" s="3">
        <f>Settings!$B$2*AB187+Settings!$B$3*AC187+Settings!$B$4*AD187+Settings!$B$5*AE187+Settings!$B$6*AF187+Settings!$B$7*AG187+Settings!$B$8*AH187+Settings!$B$9*AI187+Settings!$B$10*AJ187</f>
        <v>-3.9178792903740298</v>
      </c>
      <c r="H187" s="3">
        <f>G187-LARGE($G$2:$G$266,Settings!$F$4)</f>
        <v>-0.70161452392686474</v>
      </c>
      <c r="I187">
        <f>IF(INDEX('Player Data'!$R:$R,AL187)="","",INDEX('Player Data'!$R:$R,AL187))</f>
        <v>98</v>
      </c>
      <c r="J187" s="4">
        <f t="shared" si="14"/>
        <v>-88</v>
      </c>
      <c r="L187" s="5">
        <f>IF(Settings!$F$7="Yes",INDEX('Minutes &amp; Health'!$O:$O,AL187),Settings!$F$8)</f>
        <v>72</v>
      </c>
      <c r="M187" s="6">
        <f>INDEX('Minutes &amp; Health'!$P:$P,AL187)</f>
        <v>26.9</v>
      </c>
      <c r="N187" s="5">
        <f>INDEX('Player Data'!$F:$F,AL187)/INDEX('Player Data'!$E:$E,AL187)*M187*L187*AM187</f>
        <v>1049.4334710743801</v>
      </c>
      <c r="O187" s="5">
        <f>INDEX('Player Data'!$G:$G,AL187)/INDEX('Player Data'!$E:$E,AL187)*M187*L187*AM187</f>
        <v>270.11157024793386</v>
      </c>
      <c r="P187" s="5">
        <f>INDEX('Player Data'!$H:$H,AL187)/INDEX('Player Data'!$E:$E,AL187)*M187*L187*AM187</f>
        <v>114.04710743801651</v>
      </c>
      <c r="Q187" s="5">
        <f>INDEX('Player Data'!$I:$I,AL187)/INDEX('Player Data'!$E:$E,AL187)*M187*L187*AM187</f>
        <v>48.019834710743801</v>
      </c>
      <c r="R187" s="5">
        <f>INDEX('Player Data'!$J:$J,AL187)/INDEX('Player Data'!$E:$E,AL187)*M187*L187*AM187</f>
        <v>14.005785123966941</v>
      </c>
      <c r="S187" s="5">
        <f>INDEX('Player Data'!$K:$K,AL187)/INDEX('Player Data'!$E:$E,AL187)*M187*L187*AM187</f>
        <v>133.05495867768593</v>
      </c>
      <c r="T187" s="5">
        <f>INDEX('Player Data'!$L:$L,AL187)/INDEX('Player Data'!$E:$E,AL187)*M187*L187*AM187</f>
        <v>104.04297520661156</v>
      </c>
      <c r="U187" s="7">
        <f>INDEX('Player Data'!$M:$M,AL187)</f>
        <v>0.45500000000000002</v>
      </c>
      <c r="V187" s="7">
        <f>INDEX('Player Data'!$N:$N,AL187)</f>
        <v>0.85199999999999998</v>
      </c>
      <c r="W187" s="5">
        <f t="shared" si="15"/>
        <v>364.6056012396694</v>
      </c>
      <c r="X187" s="5">
        <f>INDEX('Player Data'!$O:$O,AL187)/INDEX('Player Data'!$E:$E,AL187)*M187*L187*AM187</f>
        <v>801.33099173553717</v>
      </c>
      <c r="Y187" s="5">
        <f t="shared" si="16"/>
        <v>187.17651371900826</v>
      </c>
      <c r="Z187" s="5">
        <f>INDEX('Player Data'!$P:$P,AL187)/INDEX('Player Data'!$E:$E,AL187)*M187*L187*AM187</f>
        <v>219.69074380165287</v>
      </c>
      <c r="AB187" s="3">
        <f>(N187-Pool!$D$2)/Pool!$E$2</f>
        <v>-0.46821059300330314</v>
      </c>
      <c r="AC187" s="3">
        <f>(O187-Pool!$D$3)/Pool!$E$3</f>
        <v>-0.92728411537429023</v>
      </c>
      <c r="AD187" s="3">
        <f>(P187-Pool!$D$4)/Pool!$E$4</f>
        <v>-1.1228171680832377</v>
      </c>
      <c r="AE187" s="3">
        <f>(Q187-Pool!$D$5)/Pool!$E$5</f>
        <v>-1.1567917549972622</v>
      </c>
      <c r="AF187" s="3">
        <f>(R187-Pool!$D$6)/Pool!$E$6</f>
        <v>-1.0513679489742465</v>
      </c>
      <c r="AG187" s="3">
        <f>(S187-Pool!$D$7)/Pool!$E$7</f>
        <v>0.13580699032661572</v>
      </c>
      <c r="AH187" s="3">
        <f>(AS187-Pool!$D$8)/Pool!$E$8</f>
        <v>-0.50950816880310834</v>
      </c>
      <c r="AI187" s="3">
        <f>(AT187-Pool!$D$9)/Pool!$E$9</f>
        <v>0.51067711570401886</v>
      </c>
      <c r="AJ187" s="3">
        <f>-(T187-Pool!$D$10)/Pool!$E$10</f>
        <v>0.67161635283078325</v>
      </c>
      <c r="AL187">
        <f>MATCH(B187,'Player Data'!$A:$A,0)</f>
        <v>100</v>
      </c>
      <c r="AM187" s="3">
        <f>1+IF(Settings!$F$10="ON",IFERROR(VLOOKUP(TRIM(F187),Settings!$D$12:$F$17,3,FALSE),0),0)</f>
        <v>1</v>
      </c>
      <c r="AN187" t="str">
        <f t="shared" si="17"/>
        <v>SF</v>
      </c>
      <c r="AO187" s="6">
        <f>X187*(U187-Pool!$B$12)</f>
        <v>-20.519498146047937</v>
      </c>
      <c r="AP187" s="6">
        <f>Z187*(V187-Pool!$B$13)</f>
        <v>13.598932343398769</v>
      </c>
      <c r="AQ187" s="3">
        <f>Settings!$B$2*(N187-Pool!$B$2)/Pool!$C$2+Settings!$B$3*(O187-Pool!$B$3)/Pool!$C$3+Settings!$B$4*(P187-Pool!$B$4)/Pool!$C$4+Settings!$B$5*(Q187-Pool!$B$5)/Pool!$C$5+Settings!$B$6*(R187-Pool!$B$6)/Pool!$C$6+Settings!$B$7*(S187-Pool!$B$7)/Pool!$C$7+Settings!$B$8*(AO187-Pool!$B$8)/Pool!$C$8+Settings!$B$9*(AP187-Pool!$B$9)/Pool!$C$9+Settings!$B$10*-(T187-Pool!$B$10)/Pool!$C$10</f>
        <v>-1.7814709021534099</v>
      </c>
      <c r="AR187">
        <f>IF(RANK(AQ187,$AQ$2:$AQ$266)&lt;=Settings!$F$5,1,0)</f>
        <v>0</v>
      </c>
      <c r="AS187" s="6">
        <f>X187*(U187-Pool!$D$12)</f>
        <v>-23.297571223668964</v>
      </c>
      <c r="AT187" s="6">
        <f>Z187*(V187-Pool!$D$13)</f>
        <v>11.393506717951496</v>
      </c>
    </row>
    <row r="188" spans="1:46" x14ac:dyDescent="0.2">
      <c r="A188">
        <f t="shared" si="12"/>
        <v>187</v>
      </c>
      <c r="B188" t="s">
        <v>229</v>
      </c>
      <c r="C188" t="str">
        <f>INDEX('Player Data'!$C:$C,AL188)</f>
        <v>C,PF</v>
      </c>
      <c r="D188">
        <f t="shared" si="13"/>
        <v>40</v>
      </c>
      <c r="E188" t="str">
        <f>INDEX('Player Data'!$B:$B,AL188)</f>
        <v>UTH</v>
      </c>
      <c r="F188" s="2"/>
      <c r="G188" s="3">
        <f>Settings!$B$2*AB188+Settings!$B$3*AC188+Settings!$B$4*AD188+Settings!$B$5*AE188+Settings!$B$6*AF188+Settings!$B$7*AG188+Settings!$B$8*AH188+Settings!$B$9*AI188+Settings!$B$10*AJ188</f>
        <v>-3.950638506867227</v>
      </c>
      <c r="H188" s="3">
        <f>G188-LARGE($G$2:$G$266,Settings!$F$4)</f>
        <v>-0.73437374042006187</v>
      </c>
      <c r="I188">
        <f>IF(INDEX('Player Data'!$R:$R,AL188)="","",INDEX('Player Data'!$R:$R,AL188))</f>
        <v>173</v>
      </c>
      <c r="J188" s="4">
        <f t="shared" si="14"/>
        <v>-14</v>
      </c>
      <c r="L188" s="5">
        <f>IF(Settings!$F$7="Yes",INDEX('Minutes &amp; Health'!$O:$O,AL188),Settings!$F$8)</f>
        <v>76</v>
      </c>
      <c r="M188" s="6">
        <f>INDEX('Minutes &amp; Health'!$P:$P,AL188)</f>
        <v>19.899999999999999</v>
      </c>
      <c r="N188" s="5">
        <f>INDEX('Player Data'!$F:$F,AL188)/INDEX('Player Data'!$E:$E,AL188)*M188*L188*AM188</f>
        <v>694.26552179656528</v>
      </c>
      <c r="O188" s="5">
        <f>INDEX('Player Data'!$G:$G,AL188)/INDEX('Player Data'!$E:$E,AL188)*M188*L188*AM188</f>
        <v>429.54557463672387</v>
      </c>
      <c r="P188" s="5">
        <f>INDEX('Player Data'!$H:$H,AL188)/INDEX('Player Data'!$E:$E,AL188)*M188*L188*AM188</f>
        <v>155.83513870541611</v>
      </c>
      <c r="Q188" s="5">
        <f>INDEX('Player Data'!$I:$I,AL188)/INDEX('Player Data'!$E:$E,AL188)*M188*L188*AM188</f>
        <v>59.936591809775422</v>
      </c>
      <c r="R188" s="5">
        <f>INDEX('Player Data'!$J:$J,AL188)/INDEX('Player Data'!$E:$E,AL188)*M188*L188*AM188</f>
        <v>29.968295904887711</v>
      </c>
      <c r="S188" s="5">
        <f>INDEX('Player Data'!$K:$K,AL188)/INDEX('Player Data'!$E:$E,AL188)*M188*L188*AM188</f>
        <v>61.934478203434608</v>
      </c>
      <c r="T188" s="5">
        <f>INDEX('Player Data'!$L:$L,AL188)/INDEX('Player Data'!$E:$E,AL188)*M188*L188*AM188</f>
        <v>96.897490092470278</v>
      </c>
      <c r="U188" s="7">
        <f>INDEX('Player Data'!$M:$M,AL188)</f>
        <v>0.49199999999999999</v>
      </c>
      <c r="V188" s="7">
        <f>INDEX('Player Data'!$N:$N,AL188)</f>
        <v>0.72499999999999998</v>
      </c>
      <c r="W188" s="5">
        <f t="shared" si="15"/>
        <v>255.27473944517831</v>
      </c>
      <c r="X188" s="5">
        <f>INDEX('Player Data'!$O:$O,AL188)/INDEX('Player Data'!$E:$E,AL188)*M188*L188*AM188</f>
        <v>518.85109643328929</v>
      </c>
      <c r="Y188" s="5">
        <f t="shared" si="16"/>
        <v>121.8161281373844</v>
      </c>
      <c r="Z188" s="5">
        <f>INDEX('Player Data'!$P:$P,AL188)/INDEX('Player Data'!$E:$E,AL188)*M188*L188*AM188</f>
        <v>168.0222457067371</v>
      </c>
      <c r="AB188" s="3">
        <f>(N188-Pool!$D$2)/Pool!$E$2</f>
        <v>-1.3436857903505028</v>
      </c>
      <c r="AC188" s="3">
        <f>(O188-Pool!$D$3)/Pool!$E$3</f>
        <v>7.0304937034553925E-4</v>
      </c>
      <c r="AD188" s="3">
        <f>(P188-Pool!$D$4)/Pool!$E$4</f>
        <v>-0.84019102160256931</v>
      </c>
      <c r="AE188" s="3">
        <f>(Q188-Pool!$D$5)/Pool!$E$5</f>
        <v>-0.63068874750842674</v>
      </c>
      <c r="AF188" s="3">
        <f>(R188-Pool!$D$6)/Pool!$E$6</f>
        <v>-0.58940130171974547</v>
      </c>
      <c r="AG188" s="3">
        <f>(S188-Pool!$D$7)/Pool!$E$7</f>
        <v>-0.86587603545549863</v>
      </c>
      <c r="AH188" s="3">
        <f>(AS188-Pool!$D$8)/Pool!$E$8</f>
        <v>8.9941391605920823E-2</v>
      </c>
      <c r="AI188" s="3">
        <f>(AT188-Pool!$D$9)/Pool!$E$9</f>
        <v>-0.56587158932556914</v>
      </c>
      <c r="AJ188" s="3">
        <f>-(T188-Pool!$D$10)/Pool!$E$10</f>
        <v>0.79443153811882017</v>
      </c>
      <c r="AL188">
        <f>MATCH(B188,'Player Data'!$A:$A,0)</f>
        <v>193</v>
      </c>
      <c r="AM188" s="3">
        <f>1+IF(Settings!$F$10="ON",IFERROR(VLOOKUP(TRIM(F188),Settings!$D$12:$F$17,3,FALSE),0),0)</f>
        <v>1</v>
      </c>
      <c r="AN188" t="str">
        <f t="shared" si="17"/>
        <v>C</v>
      </c>
      <c r="AO188" s="6">
        <f>X188*(U188-Pool!$B$12)</f>
        <v>5.9113900413575671</v>
      </c>
      <c r="AP188" s="6">
        <f>Z188*(V188-Pool!$B$13)</f>
        <v>-10.938190603532822</v>
      </c>
      <c r="AQ188" s="3">
        <f>Settings!$B$2*(N188-Pool!$B$2)/Pool!$C$2+Settings!$B$3*(O188-Pool!$B$3)/Pool!$C$3+Settings!$B$4*(P188-Pool!$B$4)/Pool!$C$4+Settings!$B$5*(Q188-Pool!$B$5)/Pool!$C$5+Settings!$B$6*(R188-Pool!$B$6)/Pool!$C$6+Settings!$B$7*(S188-Pool!$B$7)/Pool!$C$7+Settings!$B$8*(AO188-Pool!$B$8)/Pool!$C$8+Settings!$B$9*(AP188-Pool!$B$9)/Pool!$C$9+Settings!$B$10*-(T188-Pool!$B$10)/Pool!$C$10</f>
        <v>-1.882938271004746</v>
      </c>
      <c r="AR188">
        <f>IF(RANK(AQ188,$AQ$2:$AQ$266)&lt;=Settings!$F$5,1,0)</f>
        <v>0</v>
      </c>
      <c r="AS188" s="6">
        <f>X188*(U188-Pool!$D$12)</f>
        <v>4.1126248904258045</v>
      </c>
      <c r="AT188" s="6">
        <f>Z188*(V188-Pool!$D$13)</f>
        <v>-12.624927877550135</v>
      </c>
    </row>
    <row r="189" spans="1:46" x14ac:dyDescent="0.2">
      <c r="A189">
        <f t="shared" si="12"/>
        <v>188</v>
      </c>
      <c r="B189" t="s">
        <v>230</v>
      </c>
      <c r="C189" t="str">
        <f>INDEX('Player Data'!$C:$C,AL189)</f>
        <v>PG,SG</v>
      </c>
      <c r="D189">
        <f t="shared" si="13"/>
        <v>64</v>
      </c>
      <c r="E189" t="str">
        <f>INDEX('Player Data'!$B:$B,AL189)</f>
        <v>SAC</v>
      </c>
      <c r="F189" s="2"/>
      <c r="G189" s="3">
        <f>Settings!$B$2*AB189+Settings!$B$3*AC189+Settings!$B$4*AD189+Settings!$B$5*AE189+Settings!$B$6*AF189+Settings!$B$7*AG189+Settings!$B$8*AH189+Settings!$B$9*AI189+Settings!$B$10*AJ189</f>
        <v>-3.9588650091233188</v>
      </c>
      <c r="H189" s="3">
        <f>G189-LARGE($G$2:$G$266,Settings!$F$4)</f>
        <v>-0.74260024267615377</v>
      </c>
      <c r="I189" t="str">
        <f>IF(INDEX('Player Data'!$R:$R,AL189)="","",INDEX('Player Data'!$R:$R,AL189))</f>
        <v/>
      </c>
      <c r="J189" s="4" t="str">
        <f t="shared" si="14"/>
        <v/>
      </c>
      <c r="L189" s="5">
        <f>IF(Settings!$F$7="Yes",INDEX('Minutes &amp; Health'!$O:$O,AL189),Settings!$F$8)</f>
        <v>73</v>
      </c>
      <c r="M189" s="6">
        <f>INDEX('Minutes &amp; Health'!$P:$P,AL189)</f>
        <v>23.1</v>
      </c>
      <c r="N189" s="5">
        <f>INDEX('Player Data'!$F:$F,AL189)/INDEX('Player Data'!$E:$E,AL189)*M189*L189*AM189</f>
        <v>921.52451154529308</v>
      </c>
      <c r="O189" s="5">
        <f>INDEX('Player Data'!$G:$G,AL189)/INDEX('Player Data'!$E:$E,AL189)*M189*L189*AM189</f>
        <v>173.72184724689166</v>
      </c>
      <c r="P189" s="5">
        <f>INDEX('Player Data'!$H:$H,AL189)/INDEX('Player Data'!$E:$E,AL189)*M189*L189*AM189</f>
        <v>274.56039076376555</v>
      </c>
      <c r="Q189" s="5">
        <f>INDEX('Player Data'!$I:$I,AL189)/INDEX('Player Data'!$E:$E,AL189)*M189*L189*AM189</f>
        <v>45.926465364120787</v>
      </c>
      <c r="R189" s="5">
        <f>INDEX('Player Data'!$J:$J,AL189)/INDEX('Player Data'!$E:$E,AL189)*M189*L189*AM189</f>
        <v>31.948845470692717</v>
      </c>
      <c r="S189" s="5">
        <f>INDEX('Player Data'!$K:$K,AL189)/INDEX('Player Data'!$E:$E,AL189)*M189*L189*AM189</f>
        <v>129.79218472468918</v>
      </c>
      <c r="T189" s="5">
        <f>INDEX('Player Data'!$L:$L,AL189)/INDEX('Player Data'!$E:$E,AL189)*M189*L189*AM189</f>
        <v>126.79698046181174</v>
      </c>
      <c r="U189" s="7">
        <f>INDEX('Player Data'!$M:$M,AL189)</f>
        <v>0.44500000000000001</v>
      </c>
      <c r="V189" s="7">
        <f>INDEX('Player Data'!$N:$N,AL189)</f>
        <v>0.86299999999999999</v>
      </c>
      <c r="W189" s="5">
        <f t="shared" si="15"/>
        <v>334.1939092362345</v>
      </c>
      <c r="X189" s="5">
        <f>INDEX('Player Data'!$O:$O,AL189)/INDEX('Player Data'!$E:$E,AL189)*M189*L189*AM189</f>
        <v>750.99754884547076</v>
      </c>
      <c r="Y189" s="5">
        <f t="shared" si="16"/>
        <v>123.38404504440498</v>
      </c>
      <c r="Z189" s="5">
        <f>INDEX('Player Data'!$P:$P,AL189)/INDEX('Player Data'!$E:$E,AL189)*M189*L189*AM189</f>
        <v>142.97108348134992</v>
      </c>
      <c r="AB189" s="3">
        <f>(N189-Pool!$D$2)/Pool!$E$2</f>
        <v>-0.78350120921431166</v>
      </c>
      <c r="AC189" s="3">
        <f>(O189-Pool!$D$3)/Pool!$E$3</f>
        <v>-1.4883214304763575</v>
      </c>
      <c r="AD189" s="3">
        <f>(P189-Pool!$D$4)/Pool!$E$4</f>
        <v>-3.7213243958980458E-2</v>
      </c>
      <c r="AE189" s="3">
        <f>(Q189-Pool!$D$5)/Pool!$E$5</f>
        <v>-1.2492101788932064</v>
      </c>
      <c r="AF189" s="3">
        <f>(R189-Pool!$D$6)/Pool!$E$6</f>
        <v>-0.53208275984412212</v>
      </c>
      <c r="AG189" s="3">
        <f>(S189-Pool!$D$7)/Pool!$E$7</f>
        <v>8.9853064482932607E-2</v>
      </c>
      <c r="AH189" s="3">
        <f>(AS189-Pool!$D$8)/Pool!$E$8</f>
        <v>-0.64174482136933497</v>
      </c>
      <c r="AI189" s="3">
        <f>(AT189-Pool!$D$9)/Pool!$E$9</f>
        <v>0.40283056056927591</v>
      </c>
      <c r="AJ189" s="3">
        <f>-(T189-Pool!$D$10)/Pool!$E$10</f>
        <v>0.28052500958078536</v>
      </c>
      <c r="AL189">
        <f>MATCH(B189,'Player Data'!$A:$A,0)</f>
        <v>130</v>
      </c>
      <c r="AM189" s="3">
        <f>1+IF(Settings!$F$10="ON",IFERROR(VLOOKUP(TRIM(F189),Settings!$D$12:$F$17,3,FALSE),0),0)</f>
        <v>1</v>
      </c>
      <c r="AN189" t="str">
        <f t="shared" si="17"/>
        <v>PG</v>
      </c>
      <c r="AO189" s="6">
        <f>X189*(U189-Pool!$B$12)</f>
        <v>-26.740596755012401</v>
      </c>
      <c r="AP189" s="6">
        <f>Z189*(V189-Pool!$B$13)</f>
        <v>10.422640991129793</v>
      </c>
      <c r="AQ189" s="3">
        <f>Settings!$B$2*(N189-Pool!$B$2)/Pool!$C$2+Settings!$B$3*(O189-Pool!$B$3)/Pool!$C$3+Settings!$B$4*(P189-Pool!$B$4)/Pool!$C$4+Settings!$B$5*(Q189-Pool!$B$5)/Pool!$C$5+Settings!$B$6*(R189-Pool!$B$6)/Pool!$C$6+Settings!$B$7*(S189-Pool!$B$7)/Pool!$C$7+Settings!$B$8*(AO189-Pool!$B$8)/Pool!$C$8+Settings!$B$9*(AP189-Pool!$B$9)/Pool!$C$9+Settings!$B$10*-(T189-Pool!$B$10)/Pool!$C$10</f>
        <v>-1.7710295804797966</v>
      </c>
      <c r="AR189">
        <f>IF(RANK(AQ189,$AQ$2:$AQ$266)&lt;=Settings!$F$5,1,0)</f>
        <v>0</v>
      </c>
      <c r="AS189" s="6">
        <f>X189*(U189-Pool!$D$12)</f>
        <v>-29.344172672235295</v>
      </c>
      <c r="AT189" s="6">
        <f>Z189*(V189-Pool!$D$13)</f>
        <v>8.9873866615600004</v>
      </c>
    </row>
    <row r="190" spans="1:46" x14ac:dyDescent="0.2">
      <c r="A190">
        <f t="shared" si="12"/>
        <v>189</v>
      </c>
      <c r="B190" t="s">
        <v>231</v>
      </c>
      <c r="C190" t="str">
        <f>INDEX('Player Data'!$C:$C,AL190)</f>
        <v>PG,SF,SG</v>
      </c>
      <c r="D190">
        <f t="shared" si="13"/>
        <v>65</v>
      </c>
      <c r="E190" t="str">
        <f>INDEX('Player Data'!$B:$B,AL190)</f>
        <v>PHO</v>
      </c>
      <c r="F190" s="2"/>
      <c r="G190" s="3">
        <f>Settings!$B$2*AB190+Settings!$B$3*AC190+Settings!$B$4*AD190+Settings!$B$5*AE190+Settings!$B$6*AF190+Settings!$B$7*AG190+Settings!$B$8*AH190+Settings!$B$9*AI190+Settings!$B$10*AJ190</f>
        <v>-3.9681156979050036</v>
      </c>
      <c r="H190" s="3">
        <f>G190-LARGE($G$2:$G$266,Settings!$F$4)</f>
        <v>-0.75185093145783854</v>
      </c>
      <c r="I190">
        <f>IF(INDEX('Player Data'!$R:$R,AL190)="","",INDEX('Player Data'!$R:$R,AL190))</f>
        <v>95</v>
      </c>
      <c r="J190" s="4">
        <f t="shared" si="14"/>
        <v>-94</v>
      </c>
      <c r="L190" s="5">
        <f>IF(Settings!$F$7="Yes",INDEX('Minutes &amp; Health'!$O:$O,AL190),Settings!$F$8)</f>
        <v>76</v>
      </c>
      <c r="M190" s="6">
        <f>INDEX('Minutes &amp; Health'!$P:$P,AL190)</f>
        <v>21.2</v>
      </c>
      <c r="N190" s="5">
        <f>INDEX('Player Data'!$F:$F,AL190)/INDEX('Player Data'!$E:$E,AL190)*M190*L190*AM190</f>
        <v>595.96431226765799</v>
      </c>
      <c r="O190" s="5">
        <f>INDEX('Player Data'!$G:$G,AL190)/INDEX('Player Data'!$E:$E,AL190)*M190*L190*AM190</f>
        <v>182.68252788104087</v>
      </c>
      <c r="P190" s="5">
        <f>INDEX('Player Data'!$H:$H,AL190)/INDEX('Player Data'!$E:$E,AL190)*M190*L190*AM190</f>
        <v>170.70334572490705</v>
      </c>
      <c r="Q190" s="5">
        <f>INDEX('Player Data'!$I:$I,AL190)/INDEX('Player Data'!$E:$E,AL190)*M190*L190*AM190</f>
        <v>56.901115241635686</v>
      </c>
      <c r="R190" s="5">
        <f>INDEX('Player Data'!$J:$J,AL190)/INDEX('Player Data'!$E:$E,AL190)*M190*L190*AM190</f>
        <v>7.9861214374225522</v>
      </c>
      <c r="S190" s="5">
        <f>INDEX('Player Data'!$K:$K,AL190)/INDEX('Player Data'!$E:$E,AL190)*M190*L190*AM190</f>
        <v>111.80570012391574</v>
      </c>
      <c r="T190" s="5">
        <f>INDEX('Player Data'!$L:$L,AL190)/INDEX('Player Data'!$E:$E,AL190)*M190*L190*AM190</f>
        <v>58.897645600991325</v>
      </c>
      <c r="U190" s="7">
        <f>INDEX('Player Data'!$M:$M,AL190)</f>
        <v>0.501</v>
      </c>
      <c r="V190" s="7">
        <f>INDEX('Player Data'!$N:$N,AL190)</f>
        <v>0.9</v>
      </c>
      <c r="W190" s="5">
        <f t="shared" si="15"/>
        <v>207.25422631970261</v>
      </c>
      <c r="X190" s="5">
        <f>INDEX('Player Data'!$O:$O,AL190)/INDEX('Player Data'!$E:$E,AL190)*M190*L190*AM190</f>
        <v>413.68109045848826</v>
      </c>
      <c r="Y190" s="5">
        <f t="shared" si="16"/>
        <v>69.718840148698874</v>
      </c>
      <c r="Z190" s="5">
        <f>INDEX('Player Data'!$P:$P,AL190)/INDEX('Player Data'!$E:$E,AL190)*M190*L190*AM190</f>
        <v>77.465377942998742</v>
      </c>
      <c r="AB190" s="3">
        <f>(N190-Pool!$D$2)/Pool!$E$2</f>
        <v>-1.5859944530177854</v>
      </c>
      <c r="AC190" s="3">
        <f>(O190-Pool!$D$3)/Pool!$E$3</f>
        <v>-1.436165702168934</v>
      </c>
      <c r="AD190" s="3">
        <f>(P190-Pool!$D$4)/Pool!$E$4</f>
        <v>-0.73963246625675194</v>
      </c>
      <c r="AE190" s="3">
        <f>(Q190-Pool!$D$5)/Pool!$E$5</f>
        <v>-0.76469948032683566</v>
      </c>
      <c r="AF190" s="3">
        <f>(R190-Pool!$D$6)/Pool!$E$6</f>
        <v>-1.2255813850081589</v>
      </c>
      <c r="AG190" s="3">
        <f>(S190-Pool!$D$7)/Pool!$E$7</f>
        <v>-0.16347419368441038</v>
      </c>
      <c r="AH190" s="3">
        <f>(AS190-Pool!$D$8)/Pool!$E$8</f>
        <v>0.15313376084950542</v>
      </c>
      <c r="AI190" s="3">
        <f>(AT190-Pool!$D$9)/Pool!$E$9</f>
        <v>0.34673287005721853</v>
      </c>
      <c r="AJ190" s="3">
        <f>-(T190-Pool!$D$10)/Pool!$E$10</f>
        <v>1.4475653516511486</v>
      </c>
      <c r="AL190">
        <f>MATCH(B190,'Player Data'!$A:$A,0)</f>
        <v>218</v>
      </c>
      <c r="AM190" s="3">
        <f>1+IF(Settings!$F$10="ON",IFERROR(VLOOKUP(TRIM(F190),Settings!$D$12:$F$17,3,FALSE),0),0)</f>
        <v>1</v>
      </c>
      <c r="AN190" t="str">
        <f t="shared" si="17"/>
        <v>PG</v>
      </c>
      <c r="AO190" s="6">
        <f>X190*(U190-Pool!$B$12)</f>
        <v>8.4362937550812092</v>
      </c>
      <c r="AP190" s="6">
        <f>Z190*(V190-Pool!$B$13)</f>
        <v>8.5134715882777883</v>
      </c>
      <c r="AQ190" s="3">
        <f>Settings!$B$2*(N190-Pool!$B$2)/Pool!$C$2+Settings!$B$3*(O190-Pool!$B$3)/Pool!$C$3+Settings!$B$4*(P190-Pool!$B$4)/Pool!$C$4+Settings!$B$5*(Q190-Pool!$B$5)/Pool!$C$5+Settings!$B$6*(R190-Pool!$B$6)/Pool!$C$6+Settings!$B$7*(S190-Pool!$B$7)/Pool!$C$7+Settings!$B$8*(AO190-Pool!$B$8)/Pool!$C$8+Settings!$B$9*(AP190-Pool!$B$9)/Pool!$C$9+Settings!$B$10*-(T190-Pool!$B$10)/Pool!$C$10</f>
        <v>-1.8075750624500981</v>
      </c>
      <c r="AR190">
        <f>IF(RANK(AQ190,$AQ$2:$AQ$266)&lt;=Settings!$F$5,1,0)</f>
        <v>0</v>
      </c>
      <c r="AS190" s="6">
        <f>X190*(U190-Pool!$D$12)</f>
        <v>7.002134447658694</v>
      </c>
      <c r="AT190" s="6">
        <f>Z190*(V190-Pool!$D$13)</f>
        <v>7.7358142020626746</v>
      </c>
    </row>
    <row r="191" spans="1:46" x14ac:dyDescent="0.2">
      <c r="A191">
        <f t="shared" si="12"/>
        <v>190</v>
      </c>
      <c r="B191" t="s">
        <v>232</v>
      </c>
      <c r="C191" t="str">
        <f>INDEX('Player Data'!$C:$C,AL191)</f>
        <v>PF,SF,SG</v>
      </c>
      <c r="D191">
        <f t="shared" si="13"/>
        <v>53</v>
      </c>
      <c r="E191" t="str">
        <f>INDEX('Player Data'!$B:$B,AL191)</f>
        <v>CLE</v>
      </c>
      <c r="F191" s="2"/>
      <c r="G191" s="3">
        <f>Settings!$B$2*AB191+Settings!$B$3*AC191+Settings!$B$4*AD191+Settings!$B$5*AE191+Settings!$B$6*AF191+Settings!$B$7*AG191+Settings!$B$8*AH191+Settings!$B$9*AI191+Settings!$B$10*AJ191</f>
        <v>-3.9691922384974054</v>
      </c>
      <c r="H191" s="3">
        <f>G191-LARGE($G$2:$G$266,Settings!$F$4)</f>
        <v>-0.75292747205024035</v>
      </c>
      <c r="I191" t="str">
        <f>IF(INDEX('Player Data'!$R:$R,AL191)="","",INDEX('Player Data'!$R:$R,AL191))</f>
        <v/>
      </c>
      <c r="J191" s="4" t="str">
        <f t="shared" si="14"/>
        <v/>
      </c>
      <c r="L191" s="5">
        <f>IF(Settings!$F$7="Yes",INDEX('Minutes &amp; Health'!$O:$O,AL191),Settings!$F$8)</f>
        <v>70</v>
      </c>
      <c r="M191" s="6">
        <f>INDEX('Minutes &amp; Health'!$P:$P,AL191)</f>
        <v>23.5</v>
      </c>
      <c r="N191" s="5">
        <f>INDEX('Player Data'!$F:$F,AL191)/INDEX('Player Data'!$E:$E,AL191)*M191*L191*AM191</f>
        <v>775.41412911084046</v>
      </c>
      <c r="O191" s="5">
        <f>INDEX('Player Data'!$G:$G,AL191)/INDEX('Player Data'!$E:$E,AL191)*M191*L191*AM191</f>
        <v>324.59196102314252</v>
      </c>
      <c r="P191" s="5">
        <f>INDEX('Player Data'!$H:$H,AL191)/INDEX('Player Data'!$E:$E,AL191)*M191*L191*AM191</f>
        <v>143.26126674786843</v>
      </c>
      <c r="Q191" s="5">
        <f>INDEX('Player Data'!$I:$I,AL191)/INDEX('Player Data'!$E:$E,AL191)*M191*L191*AM191</f>
        <v>51.093179049939096</v>
      </c>
      <c r="R191" s="5">
        <f>INDEX('Player Data'!$J:$J,AL191)/INDEX('Player Data'!$E:$E,AL191)*M191*L191*AM191</f>
        <v>24.043848964677224</v>
      </c>
      <c r="S191" s="5">
        <f>INDEX('Player Data'!$K:$K,AL191)/INDEX('Player Data'!$E:$E,AL191)*M191*L191*AM191</f>
        <v>114.20828258221682</v>
      </c>
      <c r="T191" s="5">
        <f>INDEX('Player Data'!$L:$L,AL191)/INDEX('Player Data'!$E:$E,AL191)*M191*L191*AM191</f>
        <v>91.166260657734469</v>
      </c>
      <c r="U191" s="7">
        <f>INDEX('Player Data'!$M:$M,AL191)</f>
        <v>0.48499999999999999</v>
      </c>
      <c r="V191" s="7">
        <f>INDEX('Player Data'!$N:$N,AL191)</f>
        <v>0.74099999999999999</v>
      </c>
      <c r="W191" s="5">
        <f t="shared" si="15"/>
        <v>290.94860535931787</v>
      </c>
      <c r="X191" s="5">
        <f>INDEX('Player Data'!$O:$O,AL191)/INDEX('Player Data'!$E:$E,AL191)*M191*L191*AM191</f>
        <v>599.8940316686967</v>
      </c>
      <c r="Y191" s="5">
        <f t="shared" si="16"/>
        <v>79.283389768574921</v>
      </c>
      <c r="Z191" s="5">
        <f>INDEX('Player Data'!$P:$P,AL191)/INDEX('Player Data'!$E:$E,AL191)*M191*L191*AM191</f>
        <v>106.99512789281366</v>
      </c>
      <c r="AB191" s="3">
        <f>(N191-Pool!$D$2)/Pool!$E$2</f>
        <v>-1.1436576257951909</v>
      </c>
      <c r="AC191" s="3">
        <f>(O191-Pool!$D$3)/Pool!$E$3</f>
        <v>-0.61018047388022756</v>
      </c>
      <c r="AD191" s="3">
        <f>(P191-Pool!$D$4)/Pool!$E$4</f>
        <v>-0.9252322372311077</v>
      </c>
      <c r="AE191" s="3">
        <f>(Q191-Pool!$D$5)/Pool!$E$5</f>
        <v>-1.0211092294189885</v>
      </c>
      <c r="AF191" s="3">
        <f>(R191-Pool!$D$6)/Pool!$E$6</f>
        <v>-0.7608590960084427</v>
      </c>
      <c r="AG191" s="3">
        <f>(S191-Pool!$D$7)/Pool!$E$7</f>
        <v>-0.12963547310105658</v>
      </c>
      <c r="AH191" s="3">
        <f>(AS191-Pool!$D$8)/Pool!$E$8</f>
        <v>1.2153932135437145E-2</v>
      </c>
      <c r="AI191" s="3">
        <f>(AT191-Pool!$D$9)/Pool!$E$9</f>
        <v>-0.28361081162329782</v>
      </c>
      <c r="AJ191" s="3">
        <f>-(T191-Pool!$D$10)/Pool!$E$10</f>
        <v>0.89293877642546948</v>
      </c>
      <c r="AL191">
        <f>MATCH(B191,'Player Data'!$A:$A,0)</f>
        <v>160</v>
      </c>
      <c r="AM191" s="3">
        <f>1+IF(Settings!$F$10="ON",IFERROR(VLOOKUP(TRIM(F191),Settings!$D$12:$F$17,3,FALSE),0),0)</f>
        <v>1</v>
      </c>
      <c r="AN191" t="str">
        <f t="shared" si="17"/>
        <v>PF</v>
      </c>
      <c r="AO191" s="6">
        <f>X191*(U191-Pool!$B$12)</f>
        <v>2.6354726462958515</v>
      </c>
      <c r="AP191" s="6">
        <f>Z191*(V191-Pool!$B$13)</f>
        <v>-5.2534241054599367</v>
      </c>
      <c r="AQ191" s="3">
        <f>Settings!$B$2*(N191-Pool!$B$2)/Pool!$C$2+Settings!$B$3*(O191-Pool!$B$3)/Pool!$C$3+Settings!$B$4*(P191-Pool!$B$4)/Pool!$C$4+Settings!$B$5*(Q191-Pool!$B$5)/Pool!$C$5+Settings!$B$6*(R191-Pool!$B$6)/Pool!$C$6+Settings!$B$7*(S191-Pool!$B$7)/Pool!$C$7+Settings!$B$8*(AO191-Pool!$B$8)/Pool!$C$8+Settings!$B$9*(AP191-Pool!$B$9)/Pool!$C$9+Settings!$B$10*-(T191-Pool!$B$10)/Pool!$C$10</f>
        <v>-1.8759439849916033</v>
      </c>
      <c r="AR191">
        <f>IF(RANK(AQ191,$AQ$2:$AQ$266)&lt;=Settings!$F$5,1,0)</f>
        <v>0</v>
      </c>
      <c r="AS191" s="6">
        <f>X191*(U191-Pool!$D$12)</f>
        <v>0.55574594660225951</v>
      </c>
      <c r="AT191" s="6">
        <f>Z191*(V191-Pool!$D$13)</f>
        <v>-6.3275239640587326</v>
      </c>
    </row>
    <row r="192" spans="1:46" x14ac:dyDescent="0.2">
      <c r="A192">
        <f t="shared" si="12"/>
        <v>191</v>
      </c>
      <c r="B192" t="s">
        <v>233</v>
      </c>
      <c r="C192" t="str">
        <f>INDEX('Player Data'!$C:$C,AL192)</f>
        <v>SG,SF</v>
      </c>
      <c r="D192">
        <f t="shared" si="13"/>
        <v>10</v>
      </c>
      <c r="E192" t="str">
        <f>INDEX('Player Data'!$B:$B,AL192)</f>
        <v>MIA</v>
      </c>
      <c r="F192" s="2"/>
      <c r="G192" s="3">
        <f>Settings!$B$2*AB192+Settings!$B$3*AC192+Settings!$B$4*AD192+Settings!$B$5*AE192+Settings!$B$6*AF192+Settings!$B$7*AG192+Settings!$B$8*AH192+Settings!$B$9*AI192+Settings!$B$10*AJ192</f>
        <v>-3.9854033123726822</v>
      </c>
      <c r="H192" s="3">
        <f>G192-LARGE($G$2:$G$266,Settings!$F$4)</f>
        <v>-0.76913854592551711</v>
      </c>
      <c r="I192">
        <f>IF(INDEX('Player Data'!$R:$R,AL192)="","",INDEX('Player Data'!$R:$R,AL192))</f>
        <v>130</v>
      </c>
      <c r="J192" s="4">
        <f t="shared" si="14"/>
        <v>-61</v>
      </c>
      <c r="L192" s="5">
        <f>IF(Settings!$F$7="Yes",INDEX('Minutes &amp; Health'!$O:$O,AL192),Settings!$F$8)</f>
        <v>74</v>
      </c>
      <c r="M192" s="6">
        <f>INDEX('Minutes &amp; Health'!$P:$P,AL192)</f>
        <v>23.6</v>
      </c>
      <c r="N192" s="5">
        <f>INDEX('Player Data'!$F:$F,AL192)/INDEX('Player Data'!$E:$E,AL192)*M192*L192*AM192</f>
        <v>939.60114351057769</v>
      </c>
      <c r="O192" s="5">
        <f>INDEX('Player Data'!$G:$G,AL192)/INDEX('Player Data'!$E:$E,AL192)*M192*L192*AM192</f>
        <v>183.72647226986854</v>
      </c>
      <c r="P192" s="5">
        <f>INDEX('Player Data'!$H:$H,AL192)/INDEX('Player Data'!$E:$E,AL192)*M192*L192*AM192</f>
        <v>125.81269296740997</v>
      </c>
      <c r="Q192" s="5">
        <f>INDEX('Player Data'!$I:$I,AL192)/INDEX('Player Data'!$E:$E,AL192)*M192*L192*AM192</f>
        <v>42.936077758719271</v>
      </c>
      <c r="R192" s="5">
        <f>INDEX('Player Data'!$J:$J,AL192)/INDEX('Player Data'!$E:$E,AL192)*M192*L192*AM192</f>
        <v>21.967295597484281</v>
      </c>
      <c r="S192" s="5">
        <f>INDEX('Player Data'!$K:$K,AL192)/INDEX('Player Data'!$E:$E,AL192)*M192*L192*AM192</f>
        <v>222.66849628359063</v>
      </c>
      <c r="T192" s="5">
        <f>INDEX('Player Data'!$L:$L,AL192)/INDEX('Player Data'!$E:$E,AL192)*M192*L192*AM192</f>
        <v>72.891480846197823</v>
      </c>
      <c r="U192" s="7">
        <f>INDEX('Player Data'!$M:$M,AL192)</f>
        <v>0.41</v>
      </c>
      <c r="V192" s="7">
        <f>INDEX('Player Data'!$N:$N,AL192)</f>
        <v>0.83199999999999996</v>
      </c>
      <c r="W192" s="5">
        <f t="shared" si="15"/>
        <v>325.91578410520299</v>
      </c>
      <c r="X192" s="5">
        <f>INDEX('Player Data'!$O:$O,AL192)/INDEX('Player Data'!$E:$E,AL192)*M192*L192*AM192</f>
        <v>794.91654659805613</v>
      </c>
      <c r="Y192" s="5">
        <f t="shared" si="16"/>
        <v>65.131833230417399</v>
      </c>
      <c r="Z192" s="5">
        <f>INDEX('Player Data'!$P:$P,AL192)/INDEX('Player Data'!$E:$E,AL192)*M192*L192*AM192</f>
        <v>78.283453401943987</v>
      </c>
      <c r="AB192" s="3">
        <f>(N192-Pool!$D$2)/Pool!$E$2</f>
        <v>-0.73894301366384185</v>
      </c>
      <c r="AC192" s="3">
        <f>(O192-Pool!$D$3)/Pool!$E$3</f>
        <v>-1.4300894137557241</v>
      </c>
      <c r="AD192" s="3">
        <f>(P192-Pool!$D$4)/Pool!$E$4</f>
        <v>-1.0432426583873153</v>
      </c>
      <c r="AE192" s="3">
        <f>(Q192-Pool!$D$5)/Pool!$E$5</f>
        <v>-1.3812303165602666</v>
      </c>
      <c r="AF192" s="3">
        <f>(R192-Pool!$D$6)/Pool!$E$6</f>
        <v>-0.82095605757377321</v>
      </c>
      <c r="AG192" s="3">
        <f>(S192-Pool!$D$7)/Pool!$E$7</f>
        <v>1.3979519997746392</v>
      </c>
      <c r="AH192" s="3">
        <f>(AS192-Pool!$D$8)/Pool!$E$8</f>
        <v>-1.2877318936987268</v>
      </c>
      <c r="AI192" s="3">
        <f>(AT192-Pool!$D$9)/Pool!$E$9</f>
        <v>0.11179596307968644</v>
      </c>
      <c r="AJ192" s="3">
        <f>-(T192-Pool!$D$10)/Pool!$E$10</f>
        <v>1.2070420784126401</v>
      </c>
      <c r="AL192">
        <f>MATCH(B192,'Player Data'!$A:$A,0)</f>
        <v>128</v>
      </c>
      <c r="AM192" s="3">
        <f>1+IF(Settings!$F$10="ON",IFERROR(VLOOKUP(TRIM(F192),Settings!$D$12:$F$17,3,FALSE),0),0)</f>
        <v>1</v>
      </c>
      <c r="AN192" t="str">
        <f t="shared" si="17"/>
        <v>SG</v>
      </c>
      <c r="AO192" s="6">
        <f>X192*(U192-Pool!$B$12)</f>
        <v>-56.126489523674167</v>
      </c>
      <c r="AP192" s="6">
        <f>Z192*(V192-Pool!$B$13)</f>
        <v>3.2801035302904848</v>
      </c>
      <c r="AQ192" s="3">
        <f>Settings!$B$2*(N192-Pool!$B$2)/Pool!$C$2+Settings!$B$3*(O192-Pool!$B$3)/Pool!$C$3+Settings!$B$4*(P192-Pool!$B$4)/Pool!$C$4+Settings!$B$5*(Q192-Pool!$B$5)/Pool!$C$5+Settings!$B$6*(R192-Pool!$B$6)/Pool!$C$6+Settings!$B$7*(S192-Pool!$B$7)/Pool!$C$7+Settings!$B$8*(AO192-Pool!$B$8)/Pool!$C$8+Settings!$B$9*(AP192-Pool!$B$9)/Pool!$C$9+Settings!$B$10*-(T192-Pool!$B$10)/Pool!$C$10</f>
        <v>-2.0315709495051384</v>
      </c>
      <c r="AR192">
        <f>IF(RANK(AQ192,$AQ$2:$AQ$266)&lt;=Settings!$F$5,1,0)</f>
        <v>0</v>
      </c>
      <c r="AS192" s="6">
        <f>X192*(U192-Pool!$D$12)</f>
        <v>-58.88232485243973</v>
      </c>
      <c r="AT192" s="6">
        <f>Z192*(V192-Pool!$D$13)</f>
        <v>2.4942336698059218</v>
      </c>
    </row>
    <row r="193" spans="1:46" x14ac:dyDescent="0.2">
      <c r="A193">
        <f t="shared" si="12"/>
        <v>192</v>
      </c>
      <c r="B193" t="s">
        <v>234</v>
      </c>
      <c r="C193" t="str">
        <f>INDEX('Player Data'!$C:$C,AL193)</f>
        <v>C</v>
      </c>
      <c r="D193">
        <f t="shared" si="13"/>
        <v>41</v>
      </c>
      <c r="E193" t="str">
        <f>INDEX('Player Data'!$B:$B,AL193)</f>
        <v>CHA</v>
      </c>
      <c r="F193" s="2"/>
      <c r="G193" s="3">
        <f>Settings!$B$2*AB193+Settings!$B$3*AC193+Settings!$B$4*AD193+Settings!$B$5*AE193+Settings!$B$6*AF193+Settings!$B$7*AG193+Settings!$B$8*AH193+Settings!$B$9*AI193+Settings!$B$10*AJ193</f>
        <v>-4.0005425669146168</v>
      </c>
      <c r="H193" s="3">
        <f>G193-LARGE($G$2:$G$266,Settings!$F$4)</f>
        <v>-0.78427780046745177</v>
      </c>
      <c r="I193" t="str">
        <f>IF(INDEX('Player Data'!$R:$R,AL193)="","",INDEX('Player Data'!$R:$R,AL193))</f>
        <v/>
      </c>
      <c r="J193" s="4" t="str">
        <f t="shared" si="14"/>
        <v/>
      </c>
      <c r="L193" s="5">
        <f>IF(Settings!$F$7="Yes",INDEX('Minutes &amp; Health'!$O:$O,AL193),Settings!$F$8)</f>
        <v>74</v>
      </c>
      <c r="M193" s="6">
        <f>INDEX('Minutes &amp; Health'!$P:$P,AL193)</f>
        <v>19.399999999999999</v>
      </c>
      <c r="N193" s="5">
        <f>INDEX('Player Data'!$F:$F,AL193)/INDEX('Player Data'!$E:$E,AL193)*M193*L193*AM193</f>
        <v>454.24061196105697</v>
      </c>
      <c r="O193" s="5">
        <f>INDEX('Player Data'!$G:$G,AL193)/INDEX('Player Data'!$E:$E,AL193)*M193*L193*AM193</f>
        <v>341.42920723226706</v>
      </c>
      <c r="P193" s="5">
        <f>INDEX('Player Data'!$H:$H,AL193)/INDEX('Player Data'!$E:$E,AL193)*M193*L193*AM193</f>
        <v>48.918219749652295</v>
      </c>
      <c r="Q193" s="5">
        <f>INDEX('Player Data'!$I:$I,AL193)/INDEX('Player Data'!$E:$E,AL193)*M193*L193*AM193</f>
        <v>30.948261474269817</v>
      </c>
      <c r="R193" s="5">
        <f>INDEX('Player Data'!$J:$J,AL193)/INDEX('Player Data'!$E:$E,AL193)*M193*L193*AM193</f>
        <v>92.84478442280944</v>
      </c>
      <c r="S193" s="5">
        <f>INDEX('Player Data'!$K:$K,AL193)/INDEX('Player Data'!$E:$E,AL193)*M193*L193*AM193</f>
        <v>0</v>
      </c>
      <c r="T193" s="5">
        <f>INDEX('Player Data'!$L:$L,AL193)/INDEX('Player Data'!$E:$E,AL193)*M193*L193*AM193</f>
        <v>58.901529902642551</v>
      </c>
      <c r="U193" s="7">
        <f>INDEX('Player Data'!$M:$M,AL193)</f>
        <v>0.70799999999999996</v>
      </c>
      <c r="V193" s="7">
        <f>INDEX('Player Data'!$N:$N,AL193)</f>
        <v>0.72399999999999998</v>
      </c>
      <c r="W193" s="5">
        <f t="shared" si="15"/>
        <v>191.05300239221137</v>
      </c>
      <c r="X193" s="5">
        <f>INDEX('Player Data'!$O:$O,AL193)/INDEX('Player Data'!$E:$E,AL193)*M193*L193*AM193</f>
        <v>269.84887343532682</v>
      </c>
      <c r="Y193" s="5">
        <f t="shared" si="16"/>
        <v>72.206886342141857</v>
      </c>
      <c r="Z193" s="5">
        <f>INDEX('Player Data'!$P:$P,AL193)/INDEX('Player Data'!$E:$E,AL193)*M193*L193*AM193</f>
        <v>99.733268428372739</v>
      </c>
      <c r="AB193" s="3">
        <f>(N193-Pool!$D$2)/Pool!$E$2</f>
        <v>-1.9353378685680556</v>
      </c>
      <c r="AC193" s="3">
        <f>(O193-Pool!$D$3)/Pool!$E$3</f>
        <v>-0.51217911945391015</v>
      </c>
      <c r="AD193" s="3">
        <f>(P193-Pool!$D$4)/Pool!$E$4</f>
        <v>-1.5633051737073433</v>
      </c>
      <c r="AE193" s="3">
        <f>(Q193-Pool!$D$5)/Pool!$E$5</f>
        <v>-1.9104704569827815</v>
      </c>
      <c r="AF193" s="3">
        <f>(R193-Pool!$D$6)/Pool!$E$6</f>
        <v>1.2302899104220646</v>
      </c>
      <c r="AG193" s="3">
        <f>(S193-Pool!$D$7)/Pool!$E$7</f>
        <v>-1.7381805406185855</v>
      </c>
      <c r="AH193" s="3">
        <f>(AS193-Pool!$D$8)/Pool!$E$8</f>
        <v>1.3214977376261945</v>
      </c>
      <c r="AI193" s="3">
        <f>(AT193-Pool!$D$9)/Pool!$E$9</f>
        <v>-0.34035564467459806</v>
      </c>
      <c r="AJ193" s="3">
        <f>-(T193-Pool!$D$10)/Pool!$E$10</f>
        <v>1.4474985890423977</v>
      </c>
      <c r="AL193">
        <f>MATCH(B193,'Player Data'!$A:$A,0)</f>
        <v>240</v>
      </c>
      <c r="AM193" s="3">
        <f>1+IF(Settings!$F$10="ON",IFERROR(VLOOKUP(TRIM(F193),Settings!$D$12:$F$17,3,FALSE),0),0)</f>
        <v>1</v>
      </c>
      <c r="AN193" t="str">
        <f t="shared" si="17"/>
        <v>C</v>
      </c>
      <c r="AO193" s="6">
        <f>X193*(U193-Pool!$B$12)</f>
        <v>61.361807027584064</v>
      </c>
      <c r="AP193" s="6">
        <f>Z193*(V193-Pool!$B$13)</f>
        <v>-6.592334858142169</v>
      </c>
      <c r="AQ193" s="3">
        <f>Settings!$B$2*(N193-Pool!$B$2)/Pool!$C$2+Settings!$B$3*(O193-Pool!$B$3)/Pool!$C$3+Settings!$B$4*(P193-Pool!$B$4)/Pool!$C$4+Settings!$B$5*(Q193-Pool!$B$5)/Pool!$C$5+Settings!$B$6*(R193-Pool!$B$6)/Pool!$C$6+Settings!$B$7*(S193-Pool!$B$7)/Pool!$C$7+Settings!$B$8*(AO193-Pool!$B$8)/Pool!$C$8+Settings!$B$9*(AP193-Pool!$B$9)/Pool!$C$9+Settings!$B$10*-(T193-Pool!$B$10)/Pool!$C$10</f>
        <v>-1.3970692899926025</v>
      </c>
      <c r="AR193">
        <f>IF(RANK(AQ193,$AQ$2:$AQ$266)&lt;=Settings!$F$5,1,0)</f>
        <v>0</v>
      </c>
      <c r="AS193" s="6">
        <f>X193*(U193-Pool!$D$12)</f>
        <v>60.426288623767661</v>
      </c>
      <c r="AT193" s="6">
        <f>Z193*(V193-Pool!$D$13)</f>
        <v>-7.5935345541117441</v>
      </c>
    </row>
    <row r="194" spans="1:46" x14ac:dyDescent="0.2">
      <c r="A194">
        <f t="shared" ref="A194:A257" si="18">RANK(H194,$H$2:$H$266)</f>
        <v>193</v>
      </c>
      <c r="B194" t="s">
        <v>235</v>
      </c>
      <c r="C194" t="str">
        <f>INDEX('Player Data'!$C:$C,AL194)</f>
        <v>C</v>
      </c>
      <c r="D194">
        <f t="shared" ref="D194:D257" si="19">SUMPRODUCT(($AN$2:$AN$266=AN194)*($H$2:$H$266&gt;H194))+1</f>
        <v>42</v>
      </c>
      <c r="E194" t="str">
        <f>INDEX('Player Data'!$B:$B,AL194)</f>
        <v>UTH</v>
      </c>
      <c r="F194" s="2"/>
      <c r="G194" s="3">
        <f>Settings!$B$2*AB194+Settings!$B$3*AC194+Settings!$B$4*AD194+Settings!$B$5*AE194+Settings!$B$6*AF194+Settings!$B$7*AG194+Settings!$B$8*AH194+Settings!$B$9*AI194+Settings!$B$10*AJ194</f>
        <v>-4.0197536009229138</v>
      </c>
      <c r="H194" s="3">
        <f>G194-LARGE($G$2:$G$266,Settings!$F$4)</f>
        <v>-0.8034888344757487</v>
      </c>
      <c r="I194">
        <f>IF(INDEX('Player Data'!$R:$R,AL194)="","",INDEX('Player Data'!$R:$R,AL194))</f>
        <v>166</v>
      </c>
      <c r="J194" s="4">
        <f t="shared" ref="J194:J257" si="20">IF(I194="","",I194-A194)</f>
        <v>-27</v>
      </c>
      <c r="L194" s="5">
        <f>IF(Settings!$F$7="Yes",INDEX('Minutes &amp; Health'!$O:$O,AL194),Settings!$F$8)</f>
        <v>68</v>
      </c>
      <c r="M194" s="6">
        <f>INDEX('Minutes &amp; Health'!$P:$P,AL194)</f>
        <v>22.9</v>
      </c>
      <c r="N194" s="5">
        <f>INDEX('Player Data'!$F:$F,AL194)/INDEX('Player Data'!$E:$E,AL194)*M194*L194*AM194</f>
        <v>627.0805394990366</v>
      </c>
      <c r="O194" s="5">
        <f>INDEX('Player Data'!$G:$G,AL194)/INDEX('Player Data'!$E:$E,AL194)*M194*L194*AM194</f>
        <v>560.07193320488113</v>
      </c>
      <c r="P194" s="5">
        <f>INDEX('Player Data'!$H:$H,AL194)/INDEX('Player Data'!$E:$E,AL194)*M194*L194*AM194</f>
        <v>220.02825947334617</v>
      </c>
      <c r="Q194" s="5">
        <f>INDEX('Player Data'!$I:$I,AL194)/INDEX('Player Data'!$E:$E,AL194)*M194*L194*AM194</f>
        <v>68.008734746306999</v>
      </c>
      <c r="R194" s="5">
        <f>INDEX('Player Data'!$J:$J,AL194)/INDEX('Player Data'!$E:$E,AL194)*M194*L194*AM194</f>
        <v>40.005138086062942</v>
      </c>
      <c r="S194" s="5">
        <f>INDEX('Player Data'!$K:$K,AL194)/INDEX('Player Data'!$E:$E,AL194)*M194*L194*AM194</f>
        <v>33.004238921001921</v>
      </c>
      <c r="T194" s="5">
        <f>INDEX('Player Data'!$L:$L,AL194)/INDEX('Player Data'!$E:$E,AL194)*M194*L194*AM194</f>
        <v>132.01695568400768</v>
      </c>
      <c r="U194" s="7">
        <f>INDEX('Player Data'!$M:$M,AL194)</f>
        <v>0.495</v>
      </c>
      <c r="V194" s="7">
        <f>INDEX('Player Data'!$N:$N,AL194)</f>
        <v>0.61499999999999999</v>
      </c>
      <c r="W194" s="5">
        <f t="shared" ref="W194:W257" si="21">X194*U194</f>
        <v>247.82883005780343</v>
      </c>
      <c r="X194" s="5">
        <f>INDEX('Player Data'!$O:$O,AL194)/INDEX('Player Data'!$E:$E,AL194)*M194*L194*AM194</f>
        <v>500.66430314707765</v>
      </c>
      <c r="Y194" s="5">
        <f t="shared" ref="Y194:Y257" si="22">Z194*V194</f>
        <v>98.47414759152214</v>
      </c>
      <c r="Z194" s="5">
        <f>INDEX('Player Data'!$P:$P,AL194)/INDEX('Player Data'!$E:$E,AL194)*M194*L194*AM194</f>
        <v>160.1205651894669</v>
      </c>
      <c r="AB194" s="3">
        <f>(N194-Pool!$D$2)/Pool!$E$2</f>
        <v>-1.5092941617007245</v>
      </c>
      <c r="AC194" s="3">
        <f>(O194-Pool!$D$3)/Pool!$E$3</f>
        <v>0.76043298199331688</v>
      </c>
      <c r="AD194" s="3">
        <f>(P194-Pool!$D$4)/Pool!$E$4</f>
        <v>-0.40603191424682289</v>
      </c>
      <c r="AE194" s="3">
        <f>(Q194-Pool!$D$5)/Pool!$E$5</f>
        <v>-0.27431841617607766</v>
      </c>
      <c r="AF194" s="3">
        <f>(R194-Pool!$D$6)/Pool!$E$6</f>
        <v>-0.29892780446754103</v>
      </c>
      <c r="AG194" s="3">
        <f>(S194-Pool!$D$7)/Pool!$E$7</f>
        <v>-1.2733385473478274</v>
      </c>
      <c r="AH194" s="3">
        <f>(AS194-Pool!$D$8)/Pool!$E$8</f>
        <v>0.11963672035129075</v>
      </c>
      <c r="AI194" s="3">
        <f>(AT194-Pool!$D$9)/Pool!$E$9</f>
        <v>-1.3287175669191458</v>
      </c>
      <c r="AJ194" s="3">
        <f>-(T194-Pool!$D$10)/Pool!$E$10</f>
        <v>0.19080510759061783</v>
      </c>
      <c r="AL194">
        <f>MATCH(B194,'Player Data'!$A:$A,0)</f>
        <v>189</v>
      </c>
      <c r="AM194" s="3">
        <f>1+IF(Settings!$F$10="ON",IFERROR(VLOOKUP(TRIM(F194),Settings!$D$12:$F$17,3,FALSE),0),0)</f>
        <v>1</v>
      </c>
      <c r="AN194" t="str">
        <f t="shared" ref="AN194:AN257" si="23">IFERROR(LEFT(C194,FIND(",",C194)-1),C194)</f>
        <v>C</v>
      </c>
      <c r="AO194" s="6">
        <f>X194*(U194-Pool!$B$12)</f>
        <v>7.2061766261800715</v>
      </c>
      <c r="AP194" s="6">
        <f>Z194*(V194-Pool!$B$13)</f>
        <v>-28.037056081111452</v>
      </c>
      <c r="AQ194" s="3">
        <f>Settings!$B$2*(N194-Pool!$B$2)/Pool!$C$2+Settings!$B$3*(O194-Pool!$B$3)/Pool!$C$3+Settings!$B$4*(P194-Pool!$B$4)/Pool!$C$4+Settings!$B$5*(Q194-Pool!$B$5)/Pool!$C$5+Settings!$B$6*(R194-Pool!$B$6)/Pool!$C$6+Settings!$B$7*(S194-Pool!$B$7)/Pool!$C$7+Settings!$B$8*(AO194-Pool!$B$8)/Pool!$C$8+Settings!$B$9*(AP194-Pool!$B$9)/Pool!$C$9+Settings!$B$10*-(T194-Pool!$B$10)/Pool!$C$10</f>
        <v>-2.0586916111765925</v>
      </c>
      <c r="AR194">
        <f>IF(RANK(AQ194,$AQ$2:$AQ$266)&lt;=Settings!$F$5,1,0)</f>
        <v>0</v>
      </c>
      <c r="AS194" s="6">
        <f>X194*(U194-Pool!$D$12)</f>
        <v>5.4704618767899458</v>
      </c>
      <c r="AT194" s="6">
        <f>Z194*(V194-Pool!$D$13)</f>
        <v>-29.644470173845267</v>
      </c>
    </row>
    <row r="195" spans="1:46" x14ac:dyDescent="0.2">
      <c r="A195">
        <f t="shared" si="18"/>
        <v>194</v>
      </c>
      <c r="B195" t="s">
        <v>236</v>
      </c>
      <c r="C195" t="str">
        <f>INDEX('Player Data'!$C:$C,AL195)</f>
        <v>PF,SF</v>
      </c>
      <c r="D195">
        <f t="shared" si="19"/>
        <v>54</v>
      </c>
      <c r="E195" t="str">
        <f>INDEX('Player Data'!$B:$B,AL195)</f>
        <v>DAL</v>
      </c>
      <c r="F195" s="2"/>
      <c r="G195" s="3">
        <f>Settings!$B$2*AB195+Settings!$B$3*AC195+Settings!$B$4*AD195+Settings!$B$5*AE195+Settings!$B$6*AF195+Settings!$B$7*AG195+Settings!$B$8*AH195+Settings!$B$9*AI195+Settings!$B$10*AJ195</f>
        <v>-4.192024247525624</v>
      </c>
      <c r="H195" s="3">
        <f>G195-LARGE($G$2:$G$266,Settings!$F$4)</f>
        <v>-0.97575948107845889</v>
      </c>
      <c r="I195" t="str">
        <f>IF(INDEX('Player Data'!$R:$R,AL195)="","",INDEX('Player Data'!$R:$R,AL195))</f>
        <v/>
      </c>
      <c r="J195" s="4" t="str">
        <f t="shared" si="20"/>
        <v/>
      </c>
      <c r="L195" s="5">
        <f>IF(Settings!$F$7="Yes",INDEX('Minutes &amp; Health'!$O:$O,AL195),Settings!$F$8)</f>
        <v>72</v>
      </c>
      <c r="M195" s="6">
        <f>INDEX('Minutes &amp; Health'!$P:$P,AL195)</f>
        <v>21.9</v>
      </c>
      <c r="N195" s="5">
        <f>INDEX('Player Data'!$F:$F,AL195)/INDEX('Player Data'!$E:$E,AL195)*M195*L195*AM195</f>
        <v>711.90970196575768</v>
      </c>
      <c r="O195" s="5">
        <f>INDEX('Player Data'!$G:$G,AL195)/INDEX('Player Data'!$E:$E,AL195)*M195*L195*AM195</f>
        <v>348.95573874445154</v>
      </c>
      <c r="P195" s="5">
        <f>INDEX('Player Data'!$H:$H,AL195)/INDEX('Player Data'!$E:$E,AL195)*M195*L195*AM195</f>
        <v>155.98021559923905</v>
      </c>
      <c r="Q195" s="5">
        <f>INDEX('Player Data'!$I:$I,AL195)/INDEX('Player Data'!$E:$E,AL195)*M195*L195*AM195</f>
        <v>42.994546607482555</v>
      </c>
      <c r="R195" s="5">
        <f>INDEX('Player Data'!$J:$J,AL195)/INDEX('Player Data'!$E:$E,AL195)*M195*L195*AM195</f>
        <v>34.995561192136968</v>
      </c>
      <c r="S195" s="5">
        <f>INDEX('Player Data'!$K:$K,AL195)/INDEX('Player Data'!$E:$E,AL195)*M195*L195*AM195</f>
        <v>92.98820545339251</v>
      </c>
      <c r="T195" s="5">
        <f>INDEX('Player Data'!$L:$L,AL195)/INDEX('Player Data'!$E:$E,AL195)*M195*L195*AM195</f>
        <v>59.992390615091942</v>
      </c>
      <c r="U195" s="7">
        <f>INDEX('Player Data'!$M:$M,AL195)</f>
        <v>0.48399999999999999</v>
      </c>
      <c r="V195" s="7">
        <f>INDEX('Player Data'!$N:$N,AL195)</f>
        <v>0.67100000000000004</v>
      </c>
      <c r="W195" s="5">
        <f t="shared" si="21"/>
        <v>265.34354404565624</v>
      </c>
      <c r="X195" s="5">
        <f>INDEX('Player Data'!$O:$O,AL195)/INDEX('Player Data'!$E:$E,AL195)*M195*L195*AM195</f>
        <v>548.2304629042485</v>
      </c>
      <c r="Y195" s="5">
        <f t="shared" si="22"/>
        <v>88.225309575142674</v>
      </c>
      <c r="Z195" s="5">
        <f>INDEX('Player Data'!$P:$P,AL195)/INDEX('Player Data'!$E:$E,AL195)*M195*L195*AM195</f>
        <v>131.48332276474318</v>
      </c>
      <c r="AB195" s="3">
        <f>(N195-Pool!$D$2)/Pool!$E$2</f>
        <v>-1.3001935716774422</v>
      </c>
      <c r="AC195" s="3">
        <f>(O195-Pool!$D$3)/Pool!$E$3</f>
        <v>-0.46837086998335792</v>
      </c>
      <c r="AD195" s="3">
        <f>(P195-Pool!$D$4)/Pool!$E$4</f>
        <v>-0.83920981903807923</v>
      </c>
      <c r="AE195" s="3">
        <f>(Q195-Pool!$D$5)/Pool!$E$5</f>
        <v>-1.3786490239381932</v>
      </c>
      <c r="AF195" s="3">
        <f>(R195-Pool!$D$6)/Pool!$E$6</f>
        <v>-0.44390859562332341</v>
      </c>
      <c r="AG195" s="3">
        <f>(S195-Pool!$D$7)/Pool!$E$7</f>
        <v>-0.4285056568229747</v>
      </c>
      <c r="AH195" s="3">
        <f>(AS195-Pool!$D$8)/Pool!$E$8</f>
        <v>-8.8235021646362259E-4</v>
      </c>
      <c r="AI195" s="3">
        <f>(AT195-Pool!$D$9)/Pool!$E$9</f>
        <v>-0.761053451034992</v>
      </c>
      <c r="AJ195" s="3">
        <f>-(T195-Pool!$D$10)/Pool!$E$10</f>
        <v>1.4287490908092029</v>
      </c>
      <c r="AL195">
        <f>MATCH(B195,'Player Data'!$A:$A,0)</f>
        <v>178</v>
      </c>
      <c r="AM195" s="3">
        <f>1+IF(Settings!$F$10="ON",IFERROR(VLOOKUP(TRIM(F195),Settings!$D$12:$F$17,3,FALSE),0),0)</f>
        <v>1</v>
      </c>
      <c r="AN195" t="str">
        <f t="shared" si="23"/>
        <v>PF</v>
      </c>
      <c r="AO195" s="6">
        <f>X195*(U195-Pool!$B$12)</f>
        <v>1.860272226864474</v>
      </c>
      <c r="AP195" s="6">
        <f>Z195*(V195-Pool!$B$13)</f>
        <v>-15.659618673532249</v>
      </c>
      <c r="AQ195" s="3">
        <f>Settings!$B$2*(N195-Pool!$B$2)/Pool!$C$2+Settings!$B$3*(O195-Pool!$B$3)/Pool!$C$3+Settings!$B$4*(P195-Pool!$B$4)/Pool!$C$4+Settings!$B$5*(Q195-Pool!$B$5)/Pool!$C$5+Settings!$B$6*(R195-Pool!$B$6)/Pool!$C$6+Settings!$B$7*(S195-Pool!$B$7)/Pool!$C$7+Settings!$B$8*(AO195-Pool!$B$8)/Pool!$C$8+Settings!$B$9*(AP195-Pool!$B$9)/Pool!$C$9+Settings!$B$10*-(T195-Pool!$B$10)/Pool!$C$10</f>
        <v>-2.1115748118033153</v>
      </c>
      <c r="AR195">
        <f>IF(RANK(AQ195,$AQ$2:$AQ$266)&lt;=Settings!$F$5,1,0)</f>
        <v>0</v>
      </c>
      <c r="AS195" s="6">
        <f>X195*(U195-Pool!$D$12)</f>
        <v>-4.0346000851157096E-2</v>
      </c>
      <c r="AT195" s="6">
        <f>Z195*(V195-Pool!$D$13)</f>
        <v>-16.979549974807846</v>
      </c>
    </row>
    <row r="196" spans="1:46" x14ac:dyDescent="0.2">
      <c r="A196">
        <f t="shared" si="18"/>
        <v>195</v>
      </c>
      <c r="B196" t="s">
        <v>237</v>
      </c>
      <c r="C196" t="str">
        <f>INDEX('Player Data'!$C:$C,AL196)</f>
        <v>C</v>
      </c>
      <c r="D196">
        <f t="shared" si="19"/>
        <v>43</v>
      </c>
      <c r="E196" t="str">
        <f>INDEX('Player Data'!$B:$B,AL196)</f>
        <v>WAS</v>
      </c>
      <c r="F196" s="2"/>
      <c r="G196" s="3">
        <f>Settings!$B$2*AB196+Settings!$B$3*AC196+Settings!$B$4*AD196+Settings!$B$5*AE196+Settings!$B$6*AF196+Settings!$B$7*AG196+Settings!$B$8*AH196+Settings!$B$9*AI196+Settings!$B$10*AJ196</f>
        <v>-4.232889243114176</v>
      </c>
      <c r="H196" s="3">
        <f>G196-LARGE($G$2:$G$266,Settings!$F$4)</f>
        <v>-1.0166244766670109</v>
      </c>
      <c r="I196">
        <f>IF(INDEX('Player Data'!$R:$R,AL196)="","",INDEX('Player Data'!$R:$R,AL196))</f>
        <v>168</v>
      </c>
      <c r="J196" s="4">
        <f t="shared" si="20"/>
        <v>-27</v>
      </c>
      <c r="L196" s="5">
        <f>IF(Settings!$F$7="Yes",INDEX('Minutes &amp; Health'!$O:$O,AL196),Settings!$F$8)</f>
        <v>71</v>
      </c>
      <c r="M196" s="6">
        <f>INDEX('Minutes &amp; Health'!$P:$P,AL196)</f>
        <v>22.5</v>
      </c>
      <c r="N196" s="5">
        <f>INDEX('Player Data'!$F:$F,AL196)/INDEX('Player Data'!$E:$E,AL196)*M196*L196*AM196</f>
        <v>711.22260488415782</v>
      </c>
      <c r="O196" s="5">
        <f>INDEX('Player Data'!$G:$G,AL196)/INDEX('Player Data'!$E:$E,AL196)*M196*L196*AM196</f>
        <v>491.15372573575456</v>
      </c>
      <c r="P196" s="5">
        <f>INDEX('Player Data'!$H:$H,AL196)/INDEX('Player Data'!$E:$E,AL196)*M196*L196*AM196</f>
        <v>61.019098309329991</v>
      </c>
      <c r="Q196" s="5">
        <f>INDEX('Player Data'!$I:$I,AL196)/INDEX('Player Data'!$E:$E,AL196)*M196*L196*AM196</f>
        <v>35.010958046336881</v>
      </c>
      <c r="R196" s="5">
        <f>INDEX('Player Data'!$J:$J,AL196)/INDEX('Player Data'!$E:$E,AL196)*M196*L196*AM196</f>
        <v>53.016593613024412</v>
      </c>
      <c r="S196" s="5">
        <f>INDEX('Player Data'!$K:$K,AL196)/INDEX('Player Data'!$E:$E,AL196)*M196*L196*AM196</f>
        <v>1.0003130870381967</v>
      </c>
      <c r="T196" s="5">
        <f>INDEX('Player Data'!$L:$L,AL196)/INDEX('Player Data'!$E:$E,AL196)*M196*L196*AM196</f>
        <v>77.024107701941134</v>
      </c>
      <c r="U196" s="7">
        <f>INDEX('Player Data'!$M:$M,AL196)</f>
        <v>0.59</v>
      </c>
      <c r="V196" s="7">
        <f>INDEX('Player Data'!$N:$N,AL196)</f>
        <v>0.67100000000000004</v>
      </c>
      <c r="W196" s="5">
        <f t="shared" si="21"/>
        <v>309.72894176581087</v>
      </c>
      <c r="X196" s="5">
        <f>INDEX('Player Data'!$O:$O,AL196)/INDEX('Player Data'!$E:$E,AL196)*M196*L196*AM196</f>
        <v>524.96430807764557</v>
      </c>
      <c r="Y196" s="5">
        <f t="shared" si="22"/>
        <v>90.814724013775844</v>
      </c>
      <c r="Z196" s="5">
        <f>INDEX('Player Data'!$P:$P,AL196)/INDEX('Player Data'!$E:$E,AL196)*M196*L196*AM196</f>
        <v>135.34236067626802</v>
      </c>
      <c r="AB196" s="3">
        <f>(N196-Pool!$D$2)/Pool!$E$2</f>
        <v>-1.301887239291126</v>
      </c>
      <c r="AC196" s="3">
        <f>(O196-Pool!$D$3)/Pool!$E$3</f>
        <v>0.35929388877579682</v>
      </c>
      <c r="AD196" s="3">
        <f>(P196-Pool!$D$4)/Pool!$E$4</f>
        <v>-1.4814629673955007</v>
      </c>
      <c r="AE196" s="3">
        <f>(Q196-Pool!$D$5)/Pool!$E$5</f>
        <v>-1.7311098417317787</v>
      </c>
      <c r="AF196" s="3">
        <f>(R196-Pool!$D$6)/Pool!$E$6</f>
        <v>7.7633161923531327E-2</v>
      </c>
      <c r="AG196" s="3">
        <f>(S196-Pool!$D$7)/Pool!$E$7</f>
        <v>-1.7240918191550596</v>
      </c>
      <c r="AH196" s="3">
        <f>(AS196-Pool!$D$8)/Pool!$E$8</f>
        <v>1.2161146522601198</v>
      </c>
      <c r="AI196" s="3">
        <f>(AT196-Pool!$D$9)/Pool!$E$9</f>
        <v>-0.78339038364731839</v>
      </c>
      <c r="AJ196" s="3">
        <f>-(T196-Pool!$D$10)/Pool!$E$10</f>
        <v>1.1360113051471599</v>
      </c>
      <c r="AL196">
        <f>MATCH(B196,'Player Data'!$A:$A,0)</f>
        <v>175</v>
      </c>
      <c r="AM196" s="3">
        <f>1+IF(Settings!$F$10="ON",IFERROR(VLOOKUP(TRIM(F196),Settings!$D$12:$F$17,3,FALSE),0),0)</f>
        <v>1</v>
      </c>
      <c r="AN196" t="str">
        <f t="shared" si="23"/>
        <v>C</v>
      </c>
      <c r="AO196" s="6">
        <f>X196*(U196-Pool!$B$12)</f>
        <v>57.427541461201237</v>
      </c>
      <c r="AP196" s="6">
        <f>Z196*(V196-Pool!$B$13)</f>
        <v>-16.119228766055617</v>
      </c>
      <c r="AQ196" s="3">
        <f>Settings!$B$2*(N196-Pool!$B$2)/Pool!$C$2+Settings!$B$3*(O196-Pool!$B$3)/Pool!$C$3+Settings!$B$4*(P196-Pool!$B$4)/Pool!$C$4+Settings!$B$5*(Q196-Pool!$B$5)/Pool!$C$5+Settings!$B$6*(R196-Pool!$B$6)/Pool!$C$6+Settings!$B$7*(S196-Pool!$B$7)/Pool!$C$7+Settings!$B$8*(AO196-Pool!$B$8)/Pool!$C$8+Settings!$B$9*(AP196-Pool!$B$9)/Pool!$C$9+Settings!$B$10*-(T196-Pool!$B$10)/Pool!$C$10</f>
        <v>-1.8904872806532416</v>
      </c>
      <c r="AR196">
        <f>IF(RANK(AQ196,$AQ$2:$AQ$266)&lt;=Settings!$F$5,1,0)</f>
        <v>0</v>
      </c>
      <c r="AS196" s="6">
        <f>X196*(U196-Pool!$D$12)</f>
        <v>55.607582884753505</v>
      </c>
      <c r="AT196" s="6">
        <f>Z196*(V196-Pool!$D$13)</f>
        <v>-17.477900075000054</v>
      </c>
    </row>
    <row r="197" spans="1:46" x14ac:dyDescent="0.2">
      <c r="A197">
        <f t="shared" si="18"/>
        <v>196</v>
      </c>
      <c r="B197" t="s">
        <v>238</v>
      </c>
      <c r="C197" t="str">
        <f>INDEX('Player Data'!$C:$C,AL197)</f>
        <v>SG,SF</v>
      </c>
      <c r="D197">
        <f t="shared" si="19"/>
        <v>11</v>
      </c>
      <c r="E197" t="str">
        <f>INDEX('Player Data'!$B:$B,AL197)</f>
        <v>MIA</v>
      </c>
      <c r="F197" s="2"/>
      <c r="G197" s="3">
        <f>Settings!$B$2*AB197+Settings!$B$3*AC197+Settings!$B$4*AD197+Settings!$B$5*AE197+Settings!$B$6*AF197+Settings!$B$7*AG197+Settings!$B$8*AH197+Settings!$B$9*AI197+Settings!$B$10*AJ197</f>
        <v>-4.2464646316354244</v>
      </c>
      <c r="H197" s="3">
        <f>G197-LARGE($G$2:$G$266,Settings!$F$4)</f>
        <v>-1.0301998651882593</v>
      </c>
      <c r="I197" t="str">
        <f>IF(INDEX('Player Data'!$R:$R,AL197)="","",INDEX('Player Data'!$R:$R,AL197))</f>
        <v/>
      </c>
      <c r="J197" s="4" t="str">
        <f t="shared" si="20"/>
        <v/>
      </c>
      <c r="L197" s="5">
        <f>IF(Settings!$F$7="Yes",INDEX('Minutes &amp; Health'!$O:$O,AL197),Settings!$F$8)</f>
        <v>79</v>
      </c>
      <c r="M197" s="6">
        <f>INDEX('Minutes &amp; Health'!$P:$P,AL197)</f>
        <v>25.1</v>
      </c>
      <c r="N197" s="5">
        <f>INDEX('Player Data'!$F:$F,AL197)/INDEX('Player Data'!$E:$E,AL197)*M197*L197*AM197</f>
        <v>901.49989919354846</v>
      </c>
      <c r="O197" s="5">
        <f>INDEX('Player Data'!$G:$G,AL197)/INDEX('Player Data'!$E:$E,AL197)*M197*L197*AM197</f>
        <v>185.89687500000002</v>
      </c>
      <c r="P197" s="5">
        <f>INDEX('Player Data'!$H:$H,AL197)/INDEX('Player Data'!$E:$E,AL197)*M197*L197*AM197</f>
        <v>102.94289314516131</v>
      </c>
      <c r="Q197" s="5">
        <f>INDEX('Player Data'!$I:$I,AL197)/INDEX('Player Data'!$E:$E,AL197)*M197*L197*AM197</f>
        <v>39.977822580645167</v>
      </c>
      <c r="R197" s="5">
        <f>INDEX('Player Data'!$J:$J,AL197)/INDEX('Player Data'!$E:$E,AL197)*M197*L197*AM197</f>
        <v>7.9955645161290327</v>
      </c>
      <c r="S197" s="5">
        <f>INDEX('Player Data'!$K:$K,AL197)/INDEX('Player Data'!$E:$E,AL197)*M197*L197*AM197</f>
        <v>181.8990927419355</v>
      </c>
      <c r="T197" s="5">
        <f>INDEX('Player Data'!$L:$L,AL197)/INDEX('Player Data'!$E:$E,AL197)*M197*L197*AM197</f>
        <v>41.976713709677419</v>
      </c>
      <c r="U197" s="7">
        <f>INDEX('Player Data'!$M:$M,AL197)</f>
        <v>0.43</v>
      </c>
      <c r="V197" s="7">
        <f>INDEX('Player Data'!$N:$N,AL197)</f>
        <v>0.82399999999999995</v>
      </c>
      <c r="W197" s="5">
        <f t="shared" si="21"/>
        <v>291.29240756048381</v>
      </c>
      <c r="X197" s="5">
        <f>INDEX('Player Data'!$O:$O,AL197)/INDEX('Player Data'!$E:$E,AL197)*M197*L197*AM197</f>
        <v>677.42420362903215</v>
      </c>
      <c r="Y197" s="5">
        <f t="shared" si="22"/>
        <v>137.03757935483873</v>
      </c>
      <c r="Z197" s="5">
        <f>INDEX('Player Data'!$P:$P,AL197)/INDEX('Player Data'!$E:$E,AL197)*M197*L197*AM197</f>
        <v>166.3077419354839</v>
      </c>
      <c r="AB197" s="3">
        <f>(N197-Pool!$D$2)/Pool!$E$2</f>
        <v>-0.83286110074194464</v>
      </c>
      <c r="AC197" s="3">
        <f>(O197-Pool!$D$3)/Pool!$E$3</f>
        <v>-1.4174565636707623</v>
      </c>
      <c r="AD197" s="3">
        <f>(P197-Pool!$D$4)/Pool!$E$4</f>
        <v>-1.1979186074212895</v>
      </c>
      <c r="AE197" s="3">
        <f>(Q197-Pool!$D$5)/Pool!$E$5</f>
        <v>-1.5118318663921986</v>
      </c>
      <c r="AF197" s="3">
        <f>(R197-Pool!$D$6)/Pool!$E$6</f>
        <v>-1.2253080954568056</v>
      </c>
      <c r="AG197" s="3">
        <f>(S197-Pool!$D$7)/Pool!$E$7</f>
        <v>0.82374300643519915</v>
      </c>
      <c r="AH197" s="3">
        <f>(AS197-Pool!$D$8)/Pool!$E$8</f>
        <v>-0.8010994649397436</v>
      </c>
      <c r="AI197" s="3">
        <f>(AT197-Pool!$D$9)/Pool!$E$9</f>
        <v>0.17786907727458987</v>
      </c>
      <c r="AJ197" s="3">
        <f>-(T197-Pool!$D$10)/Pool!$E$10</f>
        <v>1.738398983277532</v>
      </c>
      <c r="AL197">
        <f>MATCH(B197,'Player Data'!$A:$A,0)</f>
        <v>153</v>
      </c>
      <c r="AM197" s="3">
        <f>1+IF(Settings!$F$10="ON",IFERROR(VLOOKUP(TRIM(F197),Settings!$D$12:$F$17,3,FALSE),0),0)</f>
        <v>1</v>
      </c>
      <c r="AN197" t="str">
        <f t="shared" si="23"/>
        <v>SG</v>
      </c>
      <c r="AO197" s="6">
        <f>X197*(U197-Pool!$B$12)</f>
        <v>-34.282250651442467</v>
      </c>
      <c r="AP197" s="6">
        <f>Z197*(V197-Pool!$B$13)</f>
        <v>5.637889455918506</v>
      </c>
      <c r="AQ197" s="3">
        <f>Settings!$B$2*(N197-Pool!$B$2)/Pool!$C$2+Settings!$B$3*(O197-Pool!$B$3)/Pool!$C$3+Settings!$B$4*(P197-Pool!$B$4)/Pool!$C$4+Settings!$B$5*(Q197-Pool!$B$5)/Pool!$C$5+Settings!$B$6*(R197-Pool!$B$6)/Pool!$C$6+Settings!$B$7*(S197-Pool!$B$7)/Pool!$C$7+Settings!$B$8*(AO197-Pool!$B$8)/Pool!$C$8+Settings!$B$9*(AP197-Pool!$B$9)/Pool!$C$9+Settings!$B$10*-(T197-Pool!$B$10)/Pool!$C$10</f>
        <v>-2.2142935217116952</v>
      </c>
      <c r="AR197">
        <f>IF(RANK(AQ197,$AQ$2:$AQ$266)&lt;=Settings!$F$5,1,0)</f>
        <v>0</v>
      </c>
      <c r="AS197" s="6">
        <f>X197*(U197-Pool!$D$12)</f>
        <v>-36.630760769782896</v>
      </c>
      <c r="AT197" s="6">
        <f>Z197*(V197-Pool!$D$13)</f>
        <v>3.9683636969910658</v>
      </c>
    </row>
    <row r="198" spans="1:46" x14ac:dyDescent="0.2">
      <c r="A198">
        <f t="shared" si="18"/>
        <v>197</v>
      </c>
      <c r="B198" t="s">
        <v>239</v>
      </c>
      <c r="C198" t="str">
        <f>INDEX('Player Data'!$C:$C,AL198)</f>
        <v>SF,SG</v>
      </c>
      <c r="D198">
        <f t="shared" si="19"/>
        <v>24</v>
      </c>
      <c r="E198" t="str">
        <f>INDEX('Player Data'!$B:$B,AL198)</f>
        <v>CLE</v>
      </c>
      <c r="F198" s="2"/>
      <c r="G198" s="3">
        <f>Settings!$B$2*AB198+Settings!$B$3*AC198+Settings!$B$4*AD198+Settings!$B$5*AE198+Settings!$B$6*AF198+Settings!$B$7*AG198+Settings!$B$8*AH198+Settings!$B$9*AI198+Settings!$B$10*AJ198</f>
        <v>-4.2488793466391401</v>
      </c>
      <c r="H198" s="3">
        <f>G198-LARGE($G$2:$G$266,Settings!$F$4)</f>
        <v>-1.0326145801919751</v>
      </c>
      <c r="I198" t="str">
        <f>IF(INDEX('Player Data'!$R:$R,AL198)="","",INDEX('Player Data'!$R:$R,AL198))</f>
        <v/>
      </c>
      <c r="J198" s="4" t="str">
        <f t="shared" si="20"/>
        <v/>
      </c>
      <c r="L198" s="5">
        <f>IF(Settings!$F$7="Yes",INDEX('Minutes &amp; Health'!$O:$O,AL198),Settings!$F$8)</f>
        <v>70</v>
      </c>
      <c r="M198" s="6">
        <f>INDEX('Minutes &amp; Health'!$P:$P,AL198)</f>
        <v>22.6</v>
      </c>
      <c r="N198" s="5">
        <f>INDEX('Player Data'!$F:$F,AL198)/INDEX('Player Data'!$E:$E,AL198)*M198*L198*AM198</f>
        <v>678.71293375394328</v>
      </c>
      <c r="O198" s="5">
        <f>INDEX('Player Data'!$G:$G,AL198)/INDEX('Player Data'!$E:$E,AL198)*M198*L198*AM198</f>
        <v>163.68958990536279</v>
      </c>
      <c r="P198" s="5">
        <f>INDEX('Player Data'!$H:$H,AL198)/INDEX('Player Data'!$E:$E,AL198)*M198*L198*AM198</f>
        <v>135.74258675078863</v>
      </c>
      <c r="Q198" s="5">
        <f>INDEX('Player Data'!$I:$I,AL198)/INDEX('Player Data'!$E:$E,AL198)*M198*L198*AM198</f>
        <v>45.912933753943214</v>
      </c>
      <c r="R198" s="5">
        <f>INDEX('Player Data'!$J:$J,AL198)/INDEX('Player Data'!$E:$E,AL198)*M198*L198*AM198</f>
        <v>9.9810725552050492</v>
      </c>
      <c r="S198" s="5">
        <f>INDEX('Player Data'!$K:$K,AL198)/INDEX('Player Data'!$E:$E,AL198)*M198*L198*AM198</f>
        <v>166.68391167192428</v>
      </c>
      <c r="T198" s="5">
        <f>INDEX('Player Data'!$L:$L,AL198)/INDEX('Player Data'!$E:$E,AL198)*M198*L198*AM198</f>
        <v>45.912933753943214</v>
      </c>
      <c r="U198" s="7">
        <f>INDEX('Player Data'!$M:$M,AL198)</f>
        <v>0.441</v>
      </c>
      <c r="V198" s="7">
        <f>INDEX('Player Data'!$N:$N,AL198)</f>
        <v>0.86799999999999999</v>
      </c>
      <c r="W198" s="5">
        <f t="shared" si="21"/>
        <v>218.80617047318614</v>
      </c>
      <c r="X198" s="5">
        <f>INDEX('Player Data'!$O:$O,AL198)/INDEX('Player Data'!$E:$E,AL198)*M198*L198*AM198</f>
        <v>496.15911671924295</v>
      </c>
      <c r="Y198" s="5">
        <f t="shared" si="22"/>
        <v>74.420074700315467</v>
      </c>
      <c r="Z198" s="5">
        <f>INDEX('Player Data'!$P:$P,AL198)/INDEX('Player Data'!$E:$E,AL198)*M198*L198*AM198</f>
        <v>85.737413249211372</v>
      </c>
      <c r="AB198" s="3">
        <f>(N198-Pool!$D$2)/Pool!$E$2</f>
        <v>-1.3820223156860809</v>
      </c>
      <c r="AC198" s="3">
        <f>(O198-Pool!$D$3)/Pool!$E$3</f>
        <v>-1.5467142813744092</v>
      </c>
      <c r="AD198" s="3">
        <f>(P198-Pool!$D$4)/Pool!$E$4</f>
        <v>-0.97608353339766629</v>
      </c>
      <c r="AE198" s="3">
        <f>(Q198-Pool!$D$5)/Pool!$E$5</f>
        <v>-1.2498075747074724</v>
      </c>
      <c r="AF198" s="3">
        <f>(R198-Pool!$D$6)/Pool!$E$6</f>
        <v>-1.1678460517659635</v>
      </c>
      <c r="AG198" s="3">
        <f>(S198-Pool!$D$7)/Pool!$E$7</f>
        <v>0.6094476514206979</v>
      </c>
      <c r="AH198" s="3">
        <f>(AS198-Pool!$D$8)/Pool!$E$8</f>
        <v>-0.46738264337203123</v>
      </c>
      <c r="AI198" s="3">
        <f>(AT198-Pool!$D$9)/Pool!$E$9</f>
        <v>0.26078539079094482</v>
      </c>
      <c r="AJ198" s="3">
        <f>-(T198-Pool!$D$10)/Pool!$E$10</f>
        <v>1.6707440114528396</v>
      </c>
      <c r="AL198">
        <f>MATCH(B198,'Player Data'!$A:$A,0)</f>
        <v>184</v>
      </c>
      <c r="AM198" s="3">
        <f>1+IF(Settings!$F$10="ON",IFERROR(VLOOKUP(TRIM(F198),Settings!$D$12:$F$17,3,FALSE),0),0)</f>
        <v>1</v>
      </c>
      <c r="AN198" t="str">
        <f t="shared" si="23"/>
        <v>SF</v>
      </c>
      <c r="AO198" s="6">
        <f>X198*(U198-Pool!$B$12)</f>
        <v>-19.651259862531248</v>
      </c>
      <c r="AP198" s="6">
        <f>Z198*(V198-Pool!$B$13)</f>
        <v>6.6789738798116369</v>
      </c>
      <c r="AQ198" s="3">
        <f>Settings!$B$2*(N198-Pool!$B$2)/Pool!$C$2+Settings!$B$3*(O198-Pool!$B$3)/Pool!$C$3+Settings!$B$4*(P198-Pool!$B$4)/Pool!$C$4+Settings!$B$5*(Q198-Pool!$B$5)/Pool!$C$5+Settings!$B$6*(R198-Pool!$B$6)/Pool!$C$6+Settings!$B$7*(S198-Pool!$B$7)/Pool!$C$7+Settings!$B$8*(AO198-Pool!$B$8)/Pool!$C$8+Settings!$B$9*(AP198-Pool!$B$9)/Pool!$C$9+Settings!$B$10*-(T198-Pool!$B$10)/Pool!$C$10</f>
        <v>-2.1548197797766502</v>
      </c>
      <c r="AR198">
        <f>IF(RANK(AQ198,$AQ$2:$AQ$266)&lt;=Settings!$F$5,1,0)</f>
        <v>0</v>
      </c>
      <c r="AS198" s="6">
        <f>X198*(U198-Pool!$D$12)</f>
        <v>-21.37135592594278</v>
      </c>
      <c r="AT198" s="6">
        <f>Z198*(V198-Pool!$D$13)</f>
        <v>5.8182754044580722</v>
      </c>
    </row>
    <row r="199" spans="1:46" x14ac:dyDescent="0.2">
      <c r="A199">
        <f t="shared" si="18"/>
        <v>198</v>
      </c>
      <c r="B199" t="s">
        <v>240</v>
      </c>
      <c r="C199" t="str">
        <f>INDEX('Player Data'!$C:$C,AL199)</f>
        <v>SG,SF</v>
      </c>
      <c r="D199">
        <f t="shared" si="19"/>
        <v>12</v>
      </c>
      <c r="E199" t="str">
        <f>INDEX('Player Data'!$B:$B,AL199)</f>
        <v>WAS</v>
      </c>
      <c r="F199" s="2"/>
      <c r="G199" s="3">
        <f>Settings!$B$2*AB199+Settings!$B$3*AC199+Settings!$B$4*AD199+Settings!$B$5*AE199+Settings!$B$6*AF199+Settings!$B$7*AG199+Settings!$B$8*AH199+Settings!$B$9*AI199+Settings!$B$10*AJ199</f>
        <v>-4.2739100721382002</v>
      </c>
      <c r="H199" s="3">
        <f>G199-LARGE($G$2:$G$266,Settings!$F$4)</f>
        <v>-1.0576453056910351</v>
      </c>
      <c r="I199" t="str">
        <f>IF(INDEX('Player Data'!$R:$R,AL199)="","",INDEX('Player Data'!$R:$R,AL199))</f>
        <v/>
      </c>
      <c r="J199" s="4" t="str">
        <f t="shared" si="20"/>
        <v/>
      </c>
      <c r="L199" s="5">
        <f>IF(Settings!$F$7="Yes",INDEX('Minutes &amp; Health'!$O:$O,AL199),Settings!$F$8)</f>
        <v>73</v>
      </c>
      <c r="M199" s="6">
        <f>INDEX('Minutes &amp; Health'!$P:$P,AL199)</f>
        <v>23.1</v>
      </c>
      <c r="N199" s="5">
        <f>INDEX('Player Data'!$F:$F,AL199)/INDEX('Player Data'!$E:$E,AL199)*M199*L199*AM199</f>
        <v>677.12046263345201</v>
      </c>
      <c r="O199" s="5">
        <f>INDEX('Player Data'!$G:$G,AL199)/INDEX('Player Data'!$E:$E,AL199)*M199*L199*AM199</f>
        <v>260.04626334519577</v>
      </c>
      <c r="P199" s="5">
        <f>INDEX('Player Data'!$H:$H,AL199)/INDEX('Player Data'!$E:$E,AL199)*M199*L199*AM199</f>
        <v>154.02740213523131</v>
      </c>
      <c r="Q199" s="5">
        <f>INDEX('Player Data'!$I:$I,AL199)/INDEX('Player Data'!$E:$E,AL199)*M199*L199*AM199</f>
        <v>76.013523131672599</v>
      </c>
      <c r="R199" s="5">
        <f>INDEX('Player Data'!$J:$J,AL199)/INDEX('Player Data'!$E:$E,AL199)*M199*L199*AM199</f>
        <v>50.008896797153028</v>
      </c>
      <c r="S199" s="5">
        <f>INDEX('Player Data'!$K:$K,AL199)/INDEX('Player Data'!$E:$E,AL199)*M199*L199*AM199</f>
        <v>60.010676156583642</v>
      </c>
      <c r="T199" s="5">
        <f>INDEX('Player Data'!$L:$L,AL199)/INDEX('Player Data'!$E:$E,AL199)*M199*L199*AM199</f>
        <v>96.017081850533813</v>
      </c>
      <c r="U199" s="7">
        <f>INDEX('Player Data'!$M:$M,AL199)</f>
        <v>0.433</v>
      </c>
      <c r="V199" s="7">
        <f>INDEX('Player Data'!$N:$N,AL199)</f>
        <v>0.747</v>
      </c>
      <c r="W199" s="5">
        <f t="shared" si="21"/>
        <v>245.33814670818506</v>
      </c>
      <c r="X199" s="5">
        <f>INDEX('Player Data'!$O:$O,AL199)/INDEX('Player Data'!$E:$E,AL199)*M199*L199*AM199</f>
        <v>566.60080071174377</v>
      </c>
      <c r="Y199" s="5">
        <f t="shared" si="22"/>
        <v>126.41488975088969</v>
      </c>
      <c r="Z199" s="5">
        <f>INDEX('Player Data'!$P:$P,AL199)/INDEX('Player Data'!$E:$E,AL199)*M199*L199*AM199</f>
        <v>169.23010676156585</v>
      </c>
      <c r="AB199" s="3">
        <f>(N199-Pool!$D$2)/Pool!$E$2</f>
        <v>-1.385947695133513</v>
      </c>
      <c r="AC199" s="3">
        <f>(O199-Pool!$D$3)/Pool!$E$3</f>
        <v>-0.98586933156304746</v>
      </c>
      <c r="AD199" s="3">
        <f>(P199-Pool!$D$4)/Pool!$E$4</f>
        <v>-0.85241733629574534</v>
      </c>
      <c r="AE199" s="3">
        <f>(Q199-Pool!$D$5)/Pool!$E$5</f>
        <v>7.9078335041983402E-2</v>
      </c>
      <c r="AF199" s="3">
        <f>(R199-Pool!$D$6)/Pool!$E$6</f>
        <v>-9.41176685088751E-3</v>
      </c>
      <c r="AG199" s="3">
        <f>(S199-Pool!$D$7)/Pool!$E$7</f>
        <v>-0.89297146341725386</v>
      </c>
      <c r="AH199" s="3">
        <f>(AS199-Pool!$D$8)/Pool!$E$8</f>
        <v>-0.63286940309461159</v>
      </c>
      <c r="AI199" s="3">
        <f>(AT199-Pool!$D$9)/Pool!$E$9</f>
        <v>-0.40306523172605502</v>
      </c>
      <c r="AJ199" s="3">
        <f>-(T199-Pool!$D$10)/Pool!$E$10</f>
        <v>0.80956382090093004</v>
      </c>
      <c r="AL199">
        <f>MATCH(B199,'Player Data'!$A:$A,0)</f>
        <v>190</v>
      </c>
      <c r="AM199" s="3">
        <f>1+IF(Settings!$F$10="ON",IFERROR(VLOOKUP(TRIM(F199),Settings!$D$12:$F$17,3,FALSE),0),0)</f>
        <v>1</v>
      </c>
      <c r="AN199" t="str">
        <f t="shared" si="23"/>
        <v>SG</v>
      </c>
      <c r="AO199" s="6">
        <f>X199*(U199-Pool!$B$12)</f>
        <v>-26.974033822271466</v>
      </c>
      <c r="AP199" s="6">
        <f>Z199*(V199-Pool!$B$13)</f>
        <v>-7.2937595954364438</v>
      </c>
      <c r="AQ199" s="3">
        <f>Settings!$B$2*(N199-Pool!$B$2)/Pool!$C$2+Settings!$B$3*(O199-Pool!$B$3)/Pool!$C$3+Settings!$B$4*(P199-Pool!$B$4)/Pool!$C$4+Settings!$B$5*(Q199-Pool!$B$5)/Pool!$C$5+Settings!$B$6*(R199-Pool!$B$6)/Pool!$C$6+Settings!$B$7*(S199-Pool!$B$7)/Pool!$C$7+Settings!$B$8*(AO199-Pool!$B$8)/Pool!$C$8+Settings!$B$9*(AP199-Pool!$B$9)/Pool!$C$9+Settings!$B$10*-(T199-Pool!$B$10)/Pool!$C$10</f>
        <v>-2.3257059055217586</v>
      </c>
      <c r="AR199">
        <f>IF(RANK(AQ199,$AQ$2:$AQ$266)&lt;=Settings!$F$5,1,0)</f>
        <v>0</v>
      </c>
      <c r="AS199" s="6">
        <f>X199*(U199-Pool!$D$12)</f>
        <v>-28.938338767980216</v>
      </c>
      <c r="AT199" s="6">
        <f>Z199*(V199-Pool!$D$13)</f>
        <v>-8.992622313048706</v>
      </c>
    </row>
    <row r="200" spans="1:46" x14ac:dyDescent="0.2">
      <c r="A200">
        <f t="shared" si="18"/>
        <v>199</v>
      </c>
      <c r="B200" t="s">
        <v>241</v>
      </c>
      <c r="C200" t="str">
        <f>INDEX('Player Data'!$C:$C,AL200)</f>
        <v>PF,C</v>
      </c>
      <c r="D200">
        <f t="shared" si="19"/>
        <v>55</v>
      </c>
      <c r="E200" t="str">
        <f>INDEX('Player Data'!$B:$B,AL200)</f>
        <v>LAC</v>
      </c>
      <c r="F200" s="2"/>
      <c r="G200" s="3">
        <f>Settings!$B$2*AB200+Settings!$B$3*AC200+Settings!$B$4*AD200+Settings!$B$5*AE200+Settings!$B$6*AF200+Settings!$B$7*AG200+Settings!$B$8*AH200+Settings!$B$9*AI200+Settings!$B$10*AJ200</f>
        <v>-4.3379957653009109</v>
      </c>
      <c r="H200" s="3">
        <f>G200-LARGE($G$2:$G$266,Settings!$F$4)</f>
        <v>-1.1217309988537458</v>
      </c>
      <c r="I200" t="str">
        <f>IF(INDEX('Player Data'!$R:$R,AL200)="","",INDEX('Player Data'!$R:$R,AL200))</f>
        <v/>
      </c>
      <c r="J200" s="4" t="str">
        <f t="shared" si="20"/>
        <v/>
      </c>
      <c r="L200" s="5">
        <f>IF(Settings!$F$7="Yes",INDEX('Minutes &amp; Health'!$O:$O,AL200),Settings!$F$8)</f>
        <v>73</v>
      </c>
      <c r="M200" s="6">
        <f>INDEX('Minutes &amp; Health'!$P:$P,AL200)</f>
        <v>17.5</v>
      </c>
      <c r="N200" s="5">
        <f>INDEX('Player Data'!$F:$F,AL200)/INDEX('Player Data'!$E:$E,AL200)*M200*L200*AM200</f>
        <v>501.58894984326025</v>
      </c>
      <c r="O200" s="5">
        <f>INDEX('Player Data'!$G:$G,AL200)/INDEX('Player Data'!$E:$E,AL200)*M200*L200*AM200</f>
        <v>399.46904388714734</v>
      </c>
      <c r="P200" s="5">
        <f>INDEX('Player Data'!$H:$H,AL200)/INDEX('Player Data'!$E:$E,AL200)*M200*L200*AM200</f>
        <v>73.085815047021939</v>
      </c>
      <c r="Q200" s="5">
        <f>INDEX('Player Data'!$I:$I,AL200)/INDEX('Player Data'!$E:$E,AL200)*M200*L200*AM200</f>
        <v>50.058777429467085</v>
      </c>
      <c r="R200" s="5">
        <f>INDEX('Player Data'!$J:$J,AL200)/INDEX('Player Data'!$E:$E,AL200)*M200*L200*AM200</f>
        <v>66.077586206896555</v>
      </c>
      <c r="S200" s="5">
        <f>INDEX('Player Data'!$K:$K,AL200)/INDEX('Player Data'!$E:$E,AL200)*M200*L200*AM200</f>
        <v>0</v>
      </c>
      <c r="T200" s="5">
        <f>INDEX('Player Data'!$L:$L,AL200)/INDEX('Player Data'!$E:$E,AL200)*M200*L200*AM200</f>
        <v>80.094043887147336</v>
      </c>
      <c r="U200" s="7">
        <f>INDEX('Player Data'!$M:$M,AL200)</f>
        <v>0.64400000000000002</v>
      </c>
      <c r="V200" s="7">
        <f>INDEX('Player Data'!$N:$N,AL200)</f>
        <v>0.63900000000000001</v>
      </c>
      <c r="W200" s="5">
        <f t="shared" si="21"/>
        <v>213.67248746081506</v>
      </c>
      <c r="X200" s="5">
        <f>INDEX('Player Data'!$O:$O,AL200)/INDEX('Player Data'!$E:$E,AL200)*M200*L200*AM200</f>
        <v>331.78957680250784</v>
      </c>
      <c r="Y200" s="5">
        <f t="shared" si="22"/>
        <v>74.275111481191217</v>
      </c>
      <c r="Z200" s="5">
        <f>INDEX('Player Data'!$P:$P,AL200)/INDEX('Player Data'!$E:$E,AL200)*M200*L200*AM200</f>
        <v>116.23648119122257</v>
      </c>
      <c r="AB200" s="3">
        <f>(N200-Pool!$D$2)/Pool!$E$2</f>
        <v>-1.8186260550844027</v>
      </c>
      <c r="AC200" s="3">
        <f>(O200-Pool!$D$3)/Pool!$E$3</f>
        <v>-0.1743576887868202</v>
      </c>
      <c r="AD200" s="3">
        <f>(P200-Pool!$D$4)/Pool!$E$4</f>
        <v>-1.3998518086781908</v>
      </c>
      <c r="AE200" s="3">
        <f>(Q200-Pool!$D$5)/Pool!$E$5</f>
        <v>-1.0667761670731823</v>
      </c>
      <c r="AF200" s="3">
        <f>(R200-Pool!$D$6)/Pool!$E$6</f>
        <v>0.45562776698396001</v>
      </c>
      <c r="AG200" s="3">
        <f>(S200-Pool!$D$7)/Pool!$E$7</f>
        <v>-1.7381805406185855</v>
      </c>
      <c r="AH200" s="3">
        <f>(AS200-Pool!$D$8)/Pool!$E$8</f>
        <v>1.1604419537896513</v>
      </c>
      <c r="AI200" s="3">
        <f>(AT200-Pool!$D$9)/Pool!$E$9</f>
        <v>-0.83951907483779886</v>
      </c>
      <c r="AJ200" s="3">
        <f>-(T200-Pool!$D$10)/Pool!$E$10</f>
        <v>1.0832458490044583</v>
      </c>
      <c r="AL200">
        <f>MATCH(B200,'Player Data'!$A:$A,0)</f>
        <v>228</v>
      </c>
      <c r="AM200" s="3">
        <f>1+IF(Settings!$F$10="ON",IFERROR(VLOOKUP(TRIM(F200),Settings!$D$12:$F$17,3,FALSE),0),0)</f>
        <v>1</v>
      </c>
      <c r="AN200" t="str">
        <f t="shared" si="23"/>
        <v>PF</v>
      </c>
      <c r="AO200" s="6">
        <f>X200*(U200-Pool!$B$12)</f>
        <v>54.212170738930098</v>
      </c>
      <c r="AP200" s="6">
        <f>Z200*(V200-Pool!$B$13)</f>
        <v>-17.56329246631336</v>
      </c>
      <c r="AQ200" s="3">
        <f>Settings!$B$2*(N200-Pool!$B$2)/Pool!$C$2+Settings!$B$3*(O200-Pool!$B$3)/Pool!$C$3+Settings!$B$4*(P200-Pool!$B$4)/Pool!$C$4+Settings!$B$5*(Q200-Pool!$B$5)/Pool!$C$5+Settings!$B$6*(R200-Pool!$B$6)/Pool!$C$6+Settings!$B$7*(S200-Pool!$B$7)/Pool!$C$7+Settings!$B$8*(AO200-Pool!$B$8)/Pool!$C$8+Settings!$B$9*(AP200-Pool!$B$9)/Pool!$C$9+Settings!$B$10*-(T200-Pool!$B$10)/Pool!$C$10</f>
        <v>-2.0164403115557095</v>
      </c>
      <c r="AR200">
        <f>IF(RANK(AQ200,$AQ$2:$AQ$266)&lt;=Settings!$F$5,1,0)</f>
        <v>0</v>
      </c>
      <c r="AS200" s="6">
        <f>X200*(U200-Pool!$D$12)</f>
        <v>53.061914851841529</v>
      </c>
      <c r="AT200" s="6">
        <f>Z200*(V200-Pool!$D$13)</f>
        <v>-18.730164177860697</v>
      </c>
    </row>
    <row r="201" spans="1:46" x14ac:dyDescent="0.2">
      <c r="A201">
        <f t="shared" si="18"/>
        <v>200</v>
      </c>
      <c r="B201" t="s">
        <v>242</v>
      </c>
      <c r="C201" t="str">
        <f>INDEX('Player Data'!$C:$C,AL201)</f>
        <v>SF,SG</v>
      </c>
      <c r="D201">
        <f t="shared" si="19"/>
        <v>25</v>
      </c>
      <c r="E201" t="str">
        <f>INDEX('Player Data'!$B:$B,AL201)</f>
        <v>LAC</v>
      </c>
      <c r="F201" s="2"/>
      <c r="G201" s="3">
        <f>Settings!$B$2*AB201+Settings!$B$3*AC201+Settings!$B$4*AD201+Settings!$B$5*AE201+Settings!$B$6*AF201+Settings!$B$7*AG201+Settings!$B$8*AH201+Settings!$B$9*AI201+Settings!$B$10*AJ201</f>
        <v>-4.3396034564586676</v>
      </c>
      <c r="H201" s="3">
        <f>G201-LARGE($G$2:$G$266,Settings!$F$4)</f>
        <v>-1.1233386900115025</v>
      </c>
      <c r="I201" t="str">
        <f>IF(INDEX('Player Data'!$R:$R,AL201)="","",INDEX('Player Data'!$R:$R,AL201))</f>
        <v/>
      </c>
      <c r="J201" s="4" t="str">
        <f t="shared" si="20"/>
        <v/>
      </c>
      <c r="L201" s="5">
        <f>IF(Settings!$F$7="Yes",INDEX('Minutes &amp; Health'!$O:$O,AL201),Settings!$F$8)</f>
        <v>66</v>
      </c>
      <c r="M201" s="6">
        <f>INDEX('Minutes &amp; Health'!$P:$P,AL201)</f>
        <v>23.8</v>
      </c>
      <c r="N201" s="5">
        <f>INDEX('Player Data'!$F:$F,AL201)/INDEX('Player Data'!$E:$E,AL201)*M201*L201*AM201</f>
        <v>813.93269598470351</v>
      </c>
      <c r="O201" s="5">
        <f>INDEX('Player Data'!$G:$G,AL201)/INDEX('Player Data'!$E:$E,AL201)*M201*L201*AM201</f>
        <v>171.19617590822182</v>
      </c>
      <c r="P201" s="5">
        <f>INDEX('Player Data'!$H:$H,AL201)/INDEX('Player Data'!$E:$E,AL201)*M201*L201*AM201</f>
        <v>180.20650095602292</v>
      </c>
      <c r="Q201" s="5">
        <f>INDEX('Player Data'!$I:$I,AL201)/INDEX('Player Data'!$E:$E,AL201)*M201*L201*AM201</f>
        <v>54.061950286806884</v>
      </c>
      <c r="R201" s="5">
        <f>INDEX('Player Data'!$J:$J,AL201)/INDEX('Player Data'!$E:$E,AL201)*M201*L201*AM201</f>
        <v>23.026386233269598</v>
      </c>
      <c r="S201" s="5">
        <f>INDEX('Player Data'!$K:$K,AL201)/INDEX('Player Data'!$E:$E,AL201)*M201*L201*AM201</f>
        <v>91.104397705544926</v>
      </c>
      <c r="T201" s="5">
        <f>INDEX('Player Data'!$L:$L,AL201)/INDEX('Player Data'!$E:$E,AL201)*M201*L201*AM201</f>
        <v>95.108986615678788</v>
      </c>
      <c r="U201" s="7">
        <f>INDEX('Player Data'!$M:$M,AL201)</f>
        <v>0.497</v>
      </c>
      <c r="V201" s="7">
        <f>INDEX('Player Data'!$N:$N,AL201)</f>
        <v>0.80400000000000005</v>
      </c>
      <c r="W201" s="5">
        <f t="shared" si="21"/>
        <v>304.56270233269601</v>
      </c>
      <c r="X201" s="5">
        <f>INDEX('Player Data'!$O:$O,AL201)/INDEX('Player Data'!$E:$E,AL201)*M201*L201*AM201</f>
        <v>612.80221797323145</v>
      </c>
      <c r="Y201" s="5">
        <f t="shared" si="22"/>
        <v>113.65503877629064</v>
      </c>
      <c r="Z201" s="5">
        <f>INDEX('Player Data'!$P:$P,AL201)/INDEX('Player Data'!$E:$E,AL201)*M201*L201*AM201</f>
        <v>141.36198852772466</v>
      </c>
      <c r="AB201" s="3">
        <f>(N201-Pool!$D$2)/Pool!$E$2</f>
        <v>-1.0487108548267077</v>
      </c>
      <c r="AC201" s="3">
        <f>(O201-Pool!$D$3)/Pool!$E$3</f>
        <v>-1.5030221249338178</v>
      </c>
      <c r="AD201" s="3">
        <f>(P201-Pool!$D$4)/Pool!$E$4</f>
        <v>-0.67535951390847504</v>
      </c>
      <c r="AE201" s="3">
        <f>(Q201-Pool!$D$5)/Pool!$E$5</f>
        <v>-0.89004341484520533</v>
      </c>
      <c r="AF201" s="3">
        <f>(R201-Pool!$D$6)/Pool!$E$6</f>
        <v>-0.79030520590843401</v>
      </c>
      <c r="AG201" s="3">
        <f>(S201-Pool!$D$7)/Pool!$E$7</f>
        <v>-0.45503779260542238</v>
      </c>
      <c r="AH201" s="3">
        <f>(AS201-Pool!$D$8)/Pool!$E$8</f>
        <v>0.17323620170141452</v>
      </c>
      <c r="AI201" s="3">
        <f>(AT201-Pool!$D$9)/Pool!$E$9</f>
        <v>2.4467266625115842E-2</v>
      </c>
      <c r="AJ201" s="3">
        <f>-(T201-Pool!$D$10)/Pool!$E$10</f>
        <v>0.82517198224286381</v>
      </c>
      <c r="AL201">
        <f>MATCH(B201,'Player Data'!$A:$A,0)</f>
        <v>131</v>
      </c>
      <c r="AM201" s="3">
        <f>1+IF(Settings!$F$10="ON",IFERROR(VLOOKUP(TRIM(F201),Settings!$D$12:$F$17,3,FALSE),0),0)</f>
        <v>1</v>
      </c>
      <c r="AN201" t="str">
        <f t="shared" si="23"/>
        <v>SF</v>
      </c>
      <c r="AO201" s="6">
        <f>X201*(U201-Pool!$B$12)</f>
        <v>10.045807897371894</v>
      </c>
      <c r="AP201" s="6">
        <f>Z201*(V201-Pool!$B$13)</f>
        <v>1.9649800943349547</v>
      </c>
      <c r="AQ201" s="3">
        <f>Settings!$B$2*(N201-Pool!$B$2)/Pool!$C$2+Settings!$B$3*(O201-Pool!$B$3)/Pool!$C$3+Settings!$B$4*(P201-Pool!$B$4)/Pool!$C$4+Settings!$B$5*(Q201-Pool!$B$5)/Pool!$C$5+Settings!$B$6*(R201-Pool!$B$6)/Pool!$C$6+Settings!$B$7*(S201-Pool!$B$7)/Pool!$C$7+Settings!$B$8*(AO201-Pool!$B$8)/Pool!$C$8+Settings!$B$9*(AP201-Pool!$B$9)/Pool!$C$9+Settings!$B$10*-(T201-Pool!$B$10)/Pool!$C$10</f>
        <v>-2.1845915515887158</v>
      </c>
      <c r="AR201">
        <f>IF(RANK(AQ201,$AQ$2:$AQ$266)&lt;=Settings!$F$5,1,0)</f>
        <v>0</v>
      </c>
      <c r="AS201" s="6">
        <f>X201*(U201-Pool!$D$12)</f>
        <v>7.9213307946321425</v>
      </c>
      <c r="AT201" s="6">
        <f>Z201*(V201-Pool!$D$13)</f>
        <v>0.54587910460594713</v>
      </c>
    </row>
    <row r="202" spans="1:46" x14ac:dyDescent="0.2">
      <c r="A202">
        <f t="shared" si="18"/>
        <v>201</v>
      </c>
      <c r="B202" t="s">
        <v>243</v>
      </c>
      <c r="C202" t="str">
        <f>INDEX('Player Data'!$C:$C,AL202)</f>
        <v>PG</v>
      </c>
      <c r="D202">
        <f t="shared" si="19"/>
        <v>66</v>
      </c>
      <c r="E202" t="str">
        <f>INDEX('Player Data'!$B:$B,AL202)</f>
        <v>IND</v>
      </c>
      <c r="F202" s="2"/>
      <c r="G202" s="3">
        <f>Settings!$B$2*AB202+Settings!$B$3*AC202+Settings!$B$4*AD202+Settings!$B$5*AE202+Settings!$B$6*AF202+Settings!$B$7*AG202+Settings!$B$8*AH202+Settings!$B$9*AI202+Settings!$B$10*AJ202</f>
        <v>-4.4054913523787897</v>
      </c>
      <c r="H202" s="3">
        <f>G202-LARGE($G$2:$G$266,Settings!$F$4)</f>
        <v>-1.1892265859316247</v>
      </c>
      <c r="I202">
        <f>IF(INDEX('Player Data'!$R:$R,AL202)="","",INDEX('Player Data'!$R:$R,AL202))</f>
        <v>96</v>
      </c>
      <c r="J202" s="4">
        <f t="shared" si="20"/>
        <v>-105</v>
      </c>
      <c r="L202" s="5">
        <f>IF(Settings!$F$7="Yes",INDEX('Minutes &amp; Health'!$O:$O,AL202),Settings!$F$8)</f>
        <v>74</v>
      </c>
      <c r="M202" s="6">
        <f>INDEX('Minutes &amp; Health'!$P:$P,AL202)</f>
        <v>16.3</v>
      </c>
      <c r="N202" s="5">
        <f>INDEX('Player Data'!$F:$F,AL202)/INDEX('Player Data'!$E:$E,AL202)*M202*L202*AM202</f>
        <v>630.05976821192053</v>
      </c>
      <c r="O202" s="5">
        <f>INDEX('Player Data'!$G:$G,AL202)/INDEX('Player Data'!$E:$E,AL202)*M202*L202*AM202</f>
        <v>164.75413907284769</v>
      </c>
      <c r="P202" s="5">
        <f>INDEX('Player Data'!$H:$H,AL202)/INDEX('Player Data'!$E:$E,AL202)*M202*L202*AM202</f>
        <v>320.52168874172185</v>
      </c>
      <c r="Q202" s="5">
        <f>INDEX('Player Data'!$I:$I,AL202)/INDEX('Player Data'!$E:$E,AL202)*M202*L202*AM202</f>
        <v>62.906125827814577</v>
      </c>
      <c r="R202" s="5">
        <f>INDEX('Player Data'!$J:$J,AL202)/INDEX('Player Data'!$E:$E,AL202)*M202*L202*AM202</f>
        <v>11.982119205298014</v>
      </c>
      <c r="S202" s="5">
        <f>INDEX('Player Data'!$K:$K,AL202)/INDEX('Player Data'!$E:$E,AL202)*M202*L202*AM202</f>
        <v>15.976158940397353</v>
      </c>
      <c r="T202" s="5">
        <f>INDEX('Player Data'!$L:$L,AL202)/INDEX('Player Data'!$E:$E,AL202)*M202*L202*AM202</f>
        <v>88.867384105960269</v>
      </c>
      <c r="U202" s="7">
        <f>INDEX('Player Data'!$M:$M,AL202)</f>
        <v>0.53800000000000003</v>
      </c>
      <c r="V202" s="7">
        <f>INDEX('Player Data'!$N:$N,AL202)</f>
        <v>0.77800000000000002</v>
      </c>
      <c r="W202" s="5">
        <f t="shared" si="21"/>
        <v>281.86797129139075</v>
      </c>
      <c r="X202" s="5">
        <f>INDEX('Player Data'!$O:$O,AL202)/INDEX('Player Data'!$E:$E,AL202)*M202*L202*AM202</f>
        <v>523.91816225165564</v>
      </c>
      <c r="Y202" s="5">
        <f t="shared" si="22"/>
        <v>50.416963278145708</v>
      </c>
      <c r="Z202" s="5">
        <f>INDEX('Player Data'!$P:$P,AL202)/INDEX('Player Data'!$E:$E,AL202)*M202*L202*AM202</f>
        <v>64.803294701986772</v>
      </c>
      <c r="AB202" s="3">
        <f>(N202-Pool!$D$2)/Pool!$E$2</f>
        <v>-1.5019504786610303</v>
      </c>
      <c r="AC202" s="3">
        <f>(O202-Pool!$D$3)/Pool!$E$3</f>
        <v>-1.5405180626477155</v>
      </c>
      <c r="AD202" s="3">
        <f>(P202-Pool!$D$4)/Pool!$E$4</f>
        <v>0.27363807257321032</v>
      </c>
      <c r="AE202" s="3">
        <f>(Q202-Pool!$D$5)/Pool!$E$5</f>
        <v>-0.49958925754250649</v>
      </c>
      <c r="AF202" s="3">
        <f>(R202-Pool!$D$6)/Pool!$E$6</f>
        <v>-1.1099343093946938</v>
      </c>
      <c r="AG202" s="3">
        <f>(S202-Pool!$D$7)/Pool!$E$7</f>
        <v>-1.5131673359681053</v>
      </c>
      <c r="AH202" s="3">
        <f>(AS202-Pool!$D$8)/Pool!$E$8</f>
        <v>0.61788185440559473</v>
      </c>
      <c r="AI202" s="3">
        <f>(AT202-Pool!$D$9)/Pool!$E$9</f>
        <v>-6.4303247191430671E-2</v>
      </c>
      <c r="AJ202" s="3">
        <f>-(T202-Pool!$D$10)/Pool!$E$10</f>
        <v>0.93245141204788684</v>
      </c>
      <c r="AL202">
        <f>MATCH(B202,'Player Data'!$A:$A,0)</f>
        <v>206</v>
      </c>
      <c r="AM202" s="3">
        <f>1+IF(Settings!$F$10="ON",IFERROR(VLOOKUP(TRIM(F202),Settings!$D$12:$F$17,3,FALSE),0),0)</f>
        <v>1</v>
      </c>
      <c r="AN202" t="str">
        <f t="shared" si="23"/>
        <v>PG</v>
      </c>
      <c r="AO202" s="6">
        <f>X202*(U202-Pool!$B$12)</f>
        <v>30.069355752828571</v>
      </c>
      <c r="AP202" s="6">
        <f>Z202*(V202-Pool!$B$13)</f>
        <v>-0.78409765365801931</v>
      </c>
      <c r="AQ202" s="3">
        <f>Settings!$B$2*(N202-Pool!$B$2)/Pool!$C$2+Settings!$B$3*(O202-Pool!$B$3)/Pool!$C$3+Settings!$B$4*(P202-Pool!$B$4)/Pool!$C$4+Settings!$B$5*(Q202-Pool!$B$5)/Pool!$C$5+Settings!$B$6*(R202-Pool!$B$6)/Pool!$C$6+Settings!$B$7*(S202-Pool!$B$7)/Pool!$C$7+Settings!$B$8*(AO202-Pool!$B$8)/Pool!$C$8+Settings!$B$9*(AP202-Pool!$B$9)/Pool!$C$9+Settings!$B$10*-(T202-Pool!$B$10)/Pool!$C$10</f>
        <v>-2.270374905253921</v>
      </c>
      <c r="AR202">
        <f>IF(RANK(AQ202,$AQ$2:$AQ$266)&lt;=Settings!$F$5,1,0)</f>
        <v>0</v>
      </c>
      <c r="AS202" s="6">
        <f>X202*(U202-Pool!$D$12)</f>
        <v>28.253023979268061</v>
      </c>
      <c r="AT202" s="6">
        <f>Z202*(V202-Pool!$D$13)</f>
        <v>-1.4346432536957114</v>
      </c>
    </row>
    <row r="203" spans="1:46" x14ac:dyDescent="0.2">
      <c r="A203">
        <f t="shared" si="18"/>
        <v>202</v>
      </c>
      <c r="B203" t="s">
        <v>244</v>
      </c>
      <c r="C203" t="str">
        <f>INDEX('Player Data'!$C:$C,AL203)</f>
        <v>PF,SF,SG</v>
      </c>
      <c r="D203">
        <f t="shared" si="19"/>
        <v>56</v>
      </c>
      <c r="E203" t="str">
        <f>INDEX('Player Data'!$B:$B,AL203)</f>
        <v>DAL</v>
      </c>
      <c r="F203" s="2"/>
      <c r="G203" s="3">
        <f>Settings!$B$2*AB203+Settings!$B$3*AC203+Settings!$B$4*AD203+Settings!$B$5*AE203+Settings!$B$6*AF203+Settings!$B$7*AG203+Settings!$B$8*AH203+Settings!$B$9*AI203+Settings!$B$10*AJ203</f>
        <v>-4.4480294908043723</v>
      </c>
      <c r="H203" s="3">
        <f>G203-LARGE($G$2:$G$266,Settings!$F$4)</f>
        <v>-1.2317647243572072</v>
      </c>
      <c r="I203" t="str">
        <f>IF(INDEX('Player Data'!$R:$R,AL203)="","",INDEX('Player Data'!$R:$R,AL203))</f>
        <v/>
      </c>
      <c r="J203" s="4" t="str">
        <f t="shared" si="20"/>
        <v/>
      </c>
      <c r="L203" s="5">
        <f>IF(Settings!$F$7="Yes",INDEX('Minutes &amp; Health'!$O:$O,AL203),Settings!$F$8)</f>
        <v>74</v>
      </c>
      <c r="M203" s="6">
        <f>INDEX('Minutes &amp; Health'!$P:$P,AL203)</f>
        <v>22.7</v>
      </c>
      <c r="N203" s="5">
        <f>INDEX('Player Data'!$F:$F,AL203)/INDEX('Player Data'!$E:$E,AL203)*M203*L203*AM203</f>
        <v>792.96147443519612</v>
      </c>
      <c r="O203" s="5">
        <f>INDEX('Player Data'!$G:$G,AL203)/INDEX('Player Data'!$E:$E,AL203)*M203*L203*AM203</f>
        <v>269.64684898929841</v>
      </c>
      <c r="P203" s="5">
        <f>INDEX('Player Data'!$H:$H,AL203)/INDEX('Player Data'!$E:$E,AL203)*M203*L203*AM203</f>
        <v>184.75802615933412</v>
      </c>
      <c r="Q203" s="5">
        <f>INDEX('Player Data'!$I:$I,AL203)/INDEX('Player Data'!$E:$E,AL203)*M203*L203*AM203</f>
        <v>59.921521997621873</v>
      </c>
      <c r="R203" s="5">
        <f>INDEX('Player Data'!$J:$J,AL203)/INDEX('Player Data'!$E:$E,AL203)*M203*L203*AM203</f>
        <v>6.9908442330558858</v>
      </c>
      <c r="S203" s="5">
        <f>INDEX('Player Data'!$K:$K,AL203)/INDEX('Player Data'!$E:$E,AL203)*M203*L203*AM203</f>
        <v>51.931985731272285</v>
      </c>
      <c r="T203" s="5">
        <f>INDEX('Player Data'!$L:$L,AL203)/INDEX('Player Data'!$E:$E,AL203)*M203*L203*AM203</f>
        <v>86.886206896551712</v>
      </c>
      <c r="U203" s="7">
        <f>INDEX('Player Data'!$M:$M,AL203)</f>
        <v>0.51100000000000001</v>
      </c>
      <c r="V203" s="7">
        <f>INDEX('Player Data'!$N:$N,AL203)</f>
        <v>0.77900000000000003</v>
      </c>
      <c r="W203" s="5">
        <f t="shared" si="21"/>
        <v>294.05308463733644</v>
      </c>
      <c r="X203" s="5">
        <f>INDEX('Player Data'!$O:$O,AL203)/INDEX('Player Data'!$E:$E,AL203)*M203*L203*AM203</f>
        <v>575.44634958382869</v>
      </c>
      <c r="Y203" s="5">
        <f t="shared" si="22"/>
        <v>152.87328495838287</v>
      </c>
      <c r="Z203" s="5">
        <f>INDEX('Player Data'!$P:$P,AL203)/INDEX('Player Data'!$E:$E,AL203)*M203*L203*AM203</f>
        <v>196.24298454221164</v>
      </c>
      <c r="AB203" s="3">
        <f>(N203-Pool!$D$2)/Pool!$E$2</f>
        <v>-1.1004041012527968</v>
      </c>
      <c r="AC203" s="3">
        <f>(O203-Pool!$D$3)/Pool!$E$3</f>
        <v>-0.92998902995541077</v>
      </c>
      <c r="AD203" s="3">
        <f>(P203-Pool!$D$4)/Pool!$E$4</f>
        <v>-0.64457605774156435</v>
      </c>
      <c r="AE203" s="3">
        <f>(Q203-Pool!$D$5)/Pool!$E$5</f>
        <v>-0.63135405212363271</v>
      </c>
      <c r="AF203" s="3">
        <f>(R203-Pool!$D$6)/Pool!$E$6</f>
        <v>-1.2543854296537957</v>
      </c>
      <c r="AG203" s="3">
        <f>(S203-Pool!$D$7)/Pool!$E$7</f>
        <v>-1.0067542586911502</v>
      </c>
      <c r="AH203" s="3">
        <f>(AS203-Pool!$D$8)/Pool!$E$8</f>
        <v>0.33886268397476882</v>
      </c>
      <c r="AI203" s="3">
        <f>(AT203-Pool!$D$9)/Pool!$E$9</f>
        <v>-0.18593273955218539</v>
      </c>
      <c r="AJ203" s="3">
        <f>-(T203-Pool!$D$10)/Pool!$E$10</f>
        <v>0.96650349419139425</v>
      </c>
      <c r="AL203">
        <f>MATCH(B203,'Player Data'!$A:$A,0)</f>
        <v>165</v>
      </c>
      <c r="AM203" s="3">
        <f>1+IF(Settings!$F$10="ON",IFERROR(VLOOKUP(TRIM(F203),Settings!$D$12:$F$17,3,FALSE),0),0)</f>
        <v>1</v>
      </c>
      <c r="AN203" t="str">
        <f t="shared" si="23"/>
        <v>PF</v>
      </c>
      <c r="AO203" s="6">
        <f>X203*(U203-Pool!$B$12)</f>
        <v>17.489673437384994</v>
      </c>
      <c r="AP203" s="6">
        <f>Z203*(V203-Pool!$B$13)</f>
        <v>-2.1782298633896628</v>
      </c>
      <c r="AQ203" s="3">
        <f>Settings!$B$2*(N203-Pool!$B$2)/Pool!$C$2+Settings!$B$3*(O203-Pool!$B$3)/Pool!$C$3+Settings!$B$4*(P203-Pool!$B$4)/Pool!$C$4+Settings!$B$5*(Q203-Pool!$B$5)/Pool!$C$5+Settings!$B$6*(R203-Pool!$B$6)/Pool!$C$6+Settings!$B$7*(S203-Pool!$B$7)/Pool!$C$7+Settings!$B$8*(AO203-Pool!$B$8)/Pool!$C$8+Settings!$B$9*(AP203-Pool!$B$9)/Pool!$C$9+Settings!$B$10*-(T203-Pool!$B$10)/Pool!$C$10</f>
        <v>-2.3638480443205356</v>
      </c>
      <c r="AR203">
        <f>IF(RANK(AQ203,$AQ$2:$AQ$266)&lt;=Settings!$F$5,1,0)</f>
        <v>0</v>
      </c>
      <c r="AS203" s="6">
        <f>X203*(U203-Pool!$D$12)</f>
        <v>15.494702535371351</v>
      </c>
      <c r="AT203" s="6">
        <f>Z203*(V203-Pool!$D$13)</f>
        <v>-4.1482687436549064</v>
      </c>
    </row>
    <row r="204" spans="1:46" x14ac:dyDescent="0.2">
      <c r="A204">
        <f t="shared" si="18"/>
        <v>203</v>
      </c>
      <c r="B204" t="s">
        <v>245</v>
      </c>
      <c r="C204" t="str">
        <f>INDEX('Player Data'!$C:$C,AL204)</f>
        <v>PF,C</v>
      </c>
      <c r="D204">
        <f t="shared" si="19"/>
        <v>57</v>
      </c>
      <c r="E204" t="str">
        <f>INDEX('Player Data'!$B:$B,AL204)</f>
        <v>SAC</v>
      </c>
      <c r="F204" s="2"/>
      <c r="G204" s="3">
        <f>Settings!$B$2*AB204+Settings!$B$3*AC204+Settings!$B$4*AD204+Settings!$B$5*AE204+Settings!$B$6*AF204+Settings!$B$7*AG204+Settings!$B$8*AH204+Settings!$B$9*AI204+Settings!$B$10*AJ204</f>
        <v>-4.4786172011371326</v>
      </c>
      <c r="H204" s="3">
        <f>G204-LARGE($G$2:$G$266,Settings!$F$4)</f>
        <v>-1.2623524346899675</v>
      </c>
      <c r="I204" t="str">
        <f>IF(INDEX('Player Data'!$R:$R,AL204)="","",INDEX('Player Data'!$R:$R,AL204))</f>
        <v/>
      </c>
      <c r="J204" s="4" t="str">
        <f t="shared" si="20"/>
        <v/>
      </c>
      <c r="L204" s="5">
        <f>IF(Settings!$F$7="Yes",INDEX('Minutes &amp; Health'!$O:$O,AL204),Settings!$F$8)</f>
        <v>75</v>
      </c>
      <c r="M204" s="6">
        <f>INDEX('Minutes &amp; Health'!$P:$P,AL204)</f>
        <v>21</v>
      </c>
      <c r="N204" s="5">
        <f>INDEX('Player Data'!$F:$F,AL204)/INDEX('Player Data'!$E:$E,AL204)*M204*L204*AM204</f>
        <v>602.85171102661604</v>
      </c>
      <c r="O204" s="5">
        <f>INDEX('Player Data'!$G:$G,AL204)/INDEX('Player Data'!$E:$E,AL204)*M204*L204*AM204</f>
        <v>418.20342205323186</v>
      </c>
      <c r="P204" s="5">
        <f>INDEX('Player Data'!$H:$H,AL204)/INDEX('Player Data'!$E:$E,AL204)*M204*L204*AM204</f>
        <v>84.838403041825103</v>
      </c>
      <c r="Q204" s="5">
        <f>INDEX('Player Data'!$I:$I,AL204)/INDEX('Player Data'!$E:$E,AL204)*M204*L204*AM204</f>
        <v>56.891634980988584</v>
      </c>
      <c r="R204" s="5">
        <f>INDEX('Player Data'!$J:$J,AL204)/INDEX('Player Data'!$E:$E,AL204)*M204*L204*AM204</f>
        <v>48.906844106463879</v>
      </c>
      <c r="S204" s="5">
        <f>INDEX('Player Data'!$K:$K,AL204)/INDEX('Player Data'!$E:$E,AL204)*M204*L204*AM204</f>
        <v>20.960076045627378</v>
      </c>
      <c r="T204" s="5">
        <f>INDEX('Player Data'!$L:$L,AL204)/INDEX('Player Data'!$E:$E,AL204)*M204*L204*AM204</f>
        <v>57.889733840304189</v>
      </c>
      <c r="U204" s="7">
        <f>INDEX('Player Data'!$M:$M,AL204)</f>
        <v>0.52800000000000002</v>
      </c>
      <c r="V204" s="7">
        <f>INDEX('Player Data'!$N:$N,AL204)</f>
        <v>0.56499999999999995</v>
      </c>
      <c r="W204" s="5">
        <f t="shared" si="21"/>
        <v>258.49163498098858</v>
      </c>
      <c r="X204" s="5">
        <f>INDEX('Player Data'!$O:$O,AL204)/INDEX('Player Data'!$E:$E,AL204)*M204*L204*AM204</f>
        <v>489.56749049429658</v>
      </c>
      <c r="Y204" s="5">
        <f t="shared" si="22"/>
        <v>64.851473384030413</v>
      </c>
      <c r="Z204" s="5">
        <f>INDEX('Player Data'!$P:$P,AL204)/INDEX('Player Data'!$E:$E,AL204)*M204*L204*AM204</f>
        <v>114.78136882129277</v>
      </c>
      <c r="AB204" s="3">
        <f>(N204-Pool!$D$2)/Pool!$E$2</f>
        <v>-1.5690172826397479</v>
      </c>
      <c r="AC204" s="3">
        <f>(O204-Pool!$D$3)/Pool!$E$3</f>
        <v>-6.5314059454124565E-2</v>
      </c>
      <c r="AD204" s="3">
        <f>(P204-Pool!$D$4)/Pool!$E$4</f>
        <v>-1.3203652055670871</v>
      </c>
      <c r="AE204" s="3">
        <f>(Q204-Pool!$D$5)/Pool!$E$5</f>
        <v>-0.76511801647696187</v>
      </c>
      <c r="AF204" s="3">
        <f>(R204-Pool!$D$6)/Pool!$E$6</f>
        <v>-4.1305971566099643E-2</v>
      </c>
      <c r="AG204" s="3">
        <f>(S204-Pool!$D$7)/Pool!$E$7</f>
        <v>-1.4429722932332425</v>
      </c>
      <c r="AH204" s="3">
        <f>(AS204-Pool!$D$8)/Pool!$E$8</f>
        <v>0.470304088283726</v>
      </c>
      <c r="AI204" s="3">
        <f>(AT204-Pool!$D$9)/Pool!$E$9</f>
        <v>-1.2097176001862791</v>
      </c>
      <c r="AJ204" s="3">
        <f>-(T204-Pool!$D$10)/Pool!$E$10</f>
        <v>1.4648891397026835</v>
      </c>
      <c r="AL204">
        <f>MATCH(B204,'Player Data'!$A:$A,0)</f>
        <v>212</v>
      </c>
      <c r="AM204" s="3">
        <f>1+IF(Settings!$F$10="ON",IFERROR(VLOOKUP(TRIM(F204),Settings!$D$12:$F$17,3,FALSE),0),0)</f>
        <v>1</v>
      </c>
      <c r="AN204" t="str">
        <f t="shared" si="23"/>
        <v>PF</v>
      </c>
      <c r="AO204" s="6">
        <f>X204*(U204-Pool!$B$12)</f>
        <v>23.202184832207234</v>
      </c>
      <c r="AP204" s="6">
        <f>Z204*(V204-Pool!$B$13)</f>
        <v>-25.837246778752768</v>
      </c>
      <c r="AQ204" s="3">
        <f>Settings!$B$2*(N204-Pool!$B$2)/Pool!$C$2+Settings!$B$3*(O204-Pool!$B$3)/Pool!$C$3+Settings!$B$4*(P204-Pool!$B$4)/Pool!$C$4+Settings!$B$5*(Q204-Pool!$B$5)/Pool!$C$5+Settings!$B$6*(R204-Pool!$B$6)/Pool!$C$6+Settings!$B$7*(S204-Pool!$B$7)/Pool!$C$7+Settings!$B$8*(AO204-Pool!$B$8)/Pool!$C$8+Settings!$B$9*(AP204-Pool!$B$9)/Pool!$C$9+Settings!$B$10*-(T204-Pool!$B$10)/Pool!$C$10</f>
        <v>-2.4525052353913117</v>
      </c>
      <c r="AR204">
        <f>IF(RANK(AQ204,$AQ$2:$AQ$266)&lt;=Settings!$F$5,1,0)</f>
        <v>0</v>
      </c>
      <c r="AS204" s="6">
        <f>X204*(U204-Pool!$D$12)</f>
        <v>21.504940773201028</v>
      </c>
      <c r="AT204" s="6">
        <f>Z204*(V204-Pool!$D$13)</f>
        <v>-26.989510946745852</v>
      </c>
    </row>
    <row r="205" spans="1:46" x14ac:dyDescent="0.2">
      <c r="A205">
        <f t="shared" si="18"/>
        <v>204</v>
      </c>
      <c r="B205" t="s">
        <v>246</v>
      </c>
      <c r="C205" t="str">
        <f>INDEX('Player Data'!$C:$C,AL205)</f>
        <v>C,PF</v>
      </c>
      <c r="D205">
        <f t="shared" si="19"/>
        <v>44</v>
      </c>
      <c r="E205" t="str">
        <f>INDEX('Player Data'!$B:$B,AL205)</f>
        <v>DET</v>
      </c>
      <c r="F205" s="2"/>
      <c r="G205" s="3">
        <f>Settings!$B$2*AB205+Settings!$B$3*AC205+Settings!$B$4*AD205+Settings!$B$5*AE205+Settings!$B$6*AF205+Settings!$B$7*AG205+Settings!$B$8*AH205+Settings!$B$9*AI205+Settings!$B$10*AJ205</f>
        <v>-4.5314803119888483</v>
      </c>
      <c r="H205" s="3">
        <f>G205-LARGE($G$2:$G$266,Settings!$F$4)</f>
        <v>-1.3152155455416832</v>
      </c>
      <c r="I205">
        <f>IF(INDEX('Player Data'!$R:$R,AL205)="","",INDEX('Player Data'!$R:$R,AL205))</f>
        <v>189</v>
      </c>
      <c r="J205" s="4">
        <f t="shared" si="20"/>
        <v>-15</v>
      </c>
      <c r="L205" s="5">
        <f>IF(Settings!$F$7="Yes",INDEX('Minutes &amp; Health'!$O:$O,AL205),Settings!$F$8)</f>
        <v>71</v>
      </c>
      <c r="M205" s="6">
        <f>INDEX('Minutes &amp; Health'!$P:$P,AL205)</f>
        <v>12.2</v>
      </c>
      <c r="N205" s="5">
        <f>INDEX('Player Data'!$F:$F,AL205)/INDEX('Player Data'!$E:$E,AL205)*M205*L205*AM205</f>
        <v>451.14583333333337</v>
      </c>
      <c r="O205" s="5">
        <f>INDEX('Player Data'!$G:$G,AL205)/INDEX('Player Data'!$E:$E,AL205)*M205*L205*AM205</f>
        <v>273.69513888888883</v>
      </c>
      <c r="P205" s="5">
        <f>INDEX('Player Data'!$H:$H,AL205)/INDEX('Player Data'!$E:$E,AL205)*M205*L205*AM205</f>
        <v>73.185879629629625</v>
      </c>
      <c r="Q205" s="5">
        <f>INDEX('Player Data'!$I:$I,AL205)/INDEX('Player Data'!$E:$E,AL205)*M205*L205*AM205</f>
        <v>58.147685185185189</v>
      </c>
      <c r="R205" s="5">
        <f>INDEX('Player Data'!$J:$J,AL205)/INDEX('Player Data'!$E:$E,AL205)*M205*L205*AM205</f>
        <v>57.145138888888894</v>
      </c>
      <c r="S205" s="5">
        <f>INDEX('Player Data'!$K:$K,AL205)/INDEX('Player Data'!$E:$E,AL205)*M205*L205*AM205</f>
        <v>14.035648148148146</v>
      </c>
      <c r="T205" s="5">
        <f>INDEX('Player Data'!$L:$L,AL205)/INDEX('Player Data'!$E:$E,AL205)*M205*L205*AM205</f>
        <v>55.140046296296298</v>
      </c>
      <c r="U205" s="7">
        <f>INDEX('Player Data'!$M:$M,AL205)</f>
        <v>0.60199999999999998</v>
      </c>
      <c r="V205" s="7">
        <f>INDEX('Player Data'!$N:$N,AL205)</f>
        <v>0.68100000000000005</v>
      </c>
      <c r="W205" s="5">
        <f t="shared" si="21"/>
        <v>184.56035175925928</v>
      </c>
      <c r="X205" s="5">
        <f>INDEX('Player Data'!$O:$O,AL205)/INDEX('Player Data'!$E:$E,AL205)*M205*L205*AM205</f>
        <v>306.57865740740743</v>
      </c>
      <c r="Y205" s="5">
        <f t="shared" si="22"/>
        <v>67.932035763888891</v>
      </c>
      <c r="Z205" s="5">
        <f>INDEX('Player Data'!$P:$P,AL205)/INDEX('Player Data'!$E:$E,AL205)*M205*L205*AM205</f>
        <v>99.753356481481475</v>
      </c>
      <c r="AB205" s="3">
        <f>(N205-Pool!$D$2)/Pool!$E$2</f>
        <v>-1.9429663776589277</v>
      </c>
      <c r="AC205" s="3">
        <f>(O205-Pool!$D$3)/Pool!$E$3</f>
        <v>-0.90642591943587469</v>
      </c>
      <c r="AD205" s="3">
        <f>(P205-Pool!$D$4)/Pool!$E$4</f>
        <v>-1.39917503912184</v>
      </c>
      <c r="AE205" s="3">
        <f>(Q205-Pool!$D$5)/Pool!$E$5</f>
        <v>-0.70966569966851589</v>
      </c>
      <c r="AF205" s="3">
        <f>(R205-Pool!$D$6)/Pool!$E$6</f>
        <v>0.19711625861839271</v>
      </c>
      <c r="AG205" s="3">
        <f>(S205-Pool!$D$7)/Pool!$E$7</f>
        <v>-1.5404980951106391</v>
      </c>
      <c r="AH205" s="3">
        <f>(AS205-Pool!$D$8)/Pool!$E$8</f>
        <v>0.79066677101297889</v>
      </c>
      <c r="AI205" s="3">
        <f>(AT205-Pool!$D$9)/Pool!$E$9</f>
        <v>-0.53268243614662614</v>
      </c>
      <c r="AJ205" s="3">
        <f>-(T205-Pool!$D$10)/Pool!$E$10</f>
        <v>1.5121502255222039</v>
      </c>
      <c r="AL205">
        <f>MATCH(B205,'Player Data'!$A:$A,0)</f>
        <v>237</v>
      </c>
      <c r="AM205" s="3">
        <f>1+IF(Settings!$F$10="ON",IFERROR(VLOOKUP(TRIM(F205),Settings!$D$12:$F$17,3,FALSE),0),0)</f>
        <v>1</v>
      </c>
      <c r="AN205" t="str">
        <f t="shared" si="23"/>
        <v>C</v>
      </c>
      <c r="AO205" s="6">
        <f>X205*(U205-Pool!$B$12)</f>
        <v>37.216573568617996</v>
      </c>
      <c r="AP205" s="6">
        <f>Z205*(V205-Pool!$B$13)</f>
        <v>-10.883057000270892</v>
      </c>
      <c r="AQ205" s="3">
        <f>Settings!$B$2*(N205-Pool!$B$2)/Pool!$C$2+Settings!$B$3*(O205-Pool!$B$3)/Pool!$C$3+Settings!$B$4*(P205-Pool!$B$4)/Pool!$C$4+Settings!$B$5*(Q205-Pool!$B$5)/Pool!$C$5+Settings!$B$6*(R205-Pool!$B$6)/Pool!$C$6+Settings!$B$7*(S205-Pool!$B$7)/Pool!$C$7+Settings!$B$8*(AO205-Pool!$B$8)/Pool!$C$8+Settings!$B$9*(AP205-Pool!$B$9)/Pool!$C$9+Settings!$B$10*-(T205-Pool!$B$10)/Pool!$C$10</f>
        <v>-2.2954958874521134</v>
      </c>
      <c r="AR205">
        <f>IF(RANK(AQ205,$AQ$2:$AQ$266)&lt;=Settings!$F$5,1,0)</f>
        <v>0</v>
      </c>
      <c r="AS205" s="6">
        <f>X205*(U205-Pool!$D$12)</f>
        <v>36.153719488218464</v>
      </c>
      <c r="AT205" s="6">
        <f>Z205*(V205-Pool!$D$13)</f>
        <v>-11.884458355656447</v>
      </c>
    </row>
    <row r="206" spans="1:46" x14ac:dyDescent="0.2">
      <c r="A206">
        <f t="shared" si="18"/>
        <v>205</v>
      </c>
      <c r="B206" t="s">
        <v>247</v>
      </c>
      <c r="C206" t="str">
        <f>INDEX('Player Data'!$C:$C,AL206)</f>
        <v>PF,SF</v>
      </c>
      <c r="D206">
        <f t="shared" si="19"/>
        <v>58</v>
      </c>
      <c r="E206" t="str">
        <f>INDEX('Player Data'!$B:$B,AL206)</f>
        <v>IND</v>
      </c>
      <c r="F206" s="2"/>
      <c r="G206" s="3">
        <f>Settings!$B$2*AB206+Settings!$B$3*AC206+Settings!$B$4*AD206+Settings!$B$5*AE206+Settings!$B$6*AF206+Settings!$B$7*AG206+Settings!$B$8*AH206+Settings!$B$9*AI206+Settings!$B$10*AJ206</f>
        <v>-4.5446130107343876</v>
      </c>
      <c r="H206" s="3">
        <f>G206-LARGE($G$2:$G$266,Settings!$F$4)</f>
        <v>-1.3283482442872225</v>
      </c>
      <c r="I206" t="str">
        <f>IF(INDEX('Player Data'!$R:$R,AL206)="","",INDEX('Player Data'!$R:$R,AL206))</f>
        <v/>
      </c>
      <c r="J206" s="4" t="str">
        <f t="shared" si="20"/>
        <v/>
      </c>
      <c r="L206" s="5">
        <f>IF(Settings!$F$7="Yes",INDEX('Minutes &amp; Health'!$O:$O,AL206),Settings!$F$8)</f>
        <v>71</v>
      </c>
      <c r="M206" s="6">
        <f>INDEX('Minutes &amp; Health'!$P:$P,AL206)</f>
        <v>18.399999999999999</v>
      </c>
      <c r="N206" s="5">
        <f>INDEX('Player Data'!$F:$F,AL206)/INDEX('Player Data'!$E:$E,AL206)*M206*L206*AM206</f>
        <v>688.26441717791408</v>
      </c>
      <c r="O206" s="5">
        <f>INDEX('Player Data'!$G:$G,AL206)/INDEX('Player Data'!$E:$E,AL206)*M206*L206*AM206</f>
        <v>262.48220858895706</v>
      </c>
      <c r="P206" s="5">
        <f>INDEX('Player Data'!$H:$H,AL206)/INDEX('Player Data'!$E:$E,AL206)*M206*L206*AM206</f>
        <v>111.2042944785276</v>
      </c>
      <c r="Q206" s="5">
        <f>INDEX('Player Data'!$I:$I,AL206)/INDEX('Player Data'!$E:$E,AL206)*M206*L206*AM206</f>
        <v>36.06625766871165</v>
      </c>
      <c r="R206" s="5">
        <f>INDEX('Player Data'!$J:$J,AL206)/INDEX('Player Data'!$E:$E,AL206)*M206*L206*AM206</f>
        <v>21.038650306748465</v>
      </c>
      <c r="S206" s="5">
        <f>INDEX('Player Data'!$K:$K,AL206)/INDEX('Player Data'!$E:$E,AL206)*M206*L206*AM206</f>
        <v>85.156441717791409</v>
      </c>
      <c r="T206" s="5">
        <f>INDEX('Player Data'!$L:$L,AL206)/INDEX('Player Data'!$E:$E,AL206)*M206*L206*AM206</f>
        <v>58.106748466257663</v>
      </c>
      <c r="U206" s="7">
        <f>INDEX('Player Data'!$M:$M,AL206)</f>
        <v>0.53600000000000003</v>
      </c>
      <c r="V206" s="7">
        <f>INDEX('Player Data'!$N:$N,AL206)</f>
        <v>0.79900000000000004</v>
      </c>
      <c r="W206" s="5">
        <f t="shared" si="21"/>
        <v>256.46475386503067</v>
      </c>
      <c r="X206" s="5">
        <f>INDEX('Player Data'!$O:$O,AL206)/INDEX('Player Data'!$E:$E,AL206)*M206*L206*AM206</f>
        <v>478.47901840490795</v>
      </c>
      <c r="Y206" s="5">
        <f t="shared" si="22"/>
        <v>90.213031226993877</v>
      </c>
      <c r="Z206" s="5">
        <f>INDEX('Player Data'!$P:$P,AL206)/INDEX('Player Data'!$E:$E,AL206)*M206*L206*AM206</f>
        <v>112.90742331288344</v>
      </c>
      <c r="AB206" s="3">
        <f>(N206-Pool!$D$2)/Pool!$E$2</f>
        <v>-1.358478280103584</v>
      </c>
      <c r="AC206" s="3">
        <f>(O206-Pool!$D$3)/Pool!$E$3</f>
        <v>-0.97169088870891962</v>
      </c>
      <c r="AD206" s="3">
        <f>(P206-Pool!$D$4)/Pool!$E$4</f>
        <v>-1.1420440435195174</v>
      </c>
      <c r="AE206" s="3">
        <f>(Q206-Pool!$D$5)/Pool!$E$5</f>
        <v>-1.684520295555805</v>
      </c>
      <c r="AF206" s="3">
        <f>(R206-Pool!$D$6)/Pool!$E$6</f>
        <v>-0.84783172627889147</v>
      </c>
      <c r="AG206" s="3">
        <f>(S206-Pool!$D$7)/Pool!$E$7</f>
        <v>-0.53881065959538643</v>
      </c>
      <c r="AH206" s="3">
        <f>(AS206-Pool!$D$8)/Pool!$E$8</f>
        <v>0.54336501619861444</v>
      </c>
      <c r="AI206" s="3">
        <f>(AT206-Pool!$D$9)/Pool!$E$9</f>
        <v>-5.7612683922983847E-3</v>
      </c>
      <c r="AJ206" s="3">
        <f>-(T206-Pool!$D$10)/Pool!$E$10</f>
        <v>1.4611591352214002</v>
      </c>
      <c r="AL206">
        <f>MATCH(B206,'Player Data'!$A:$A,0)</f>
        <v>182</v>
      </c>
      <c r="AM206" s="3">
        <f>1+IF(Settings!$F$10="ON",IFERROR(VLOOKUP(TRIM(F206),Settings!$D$12:$F$17,3,FALSE),0),0)</f>
        <v>1</v>
      </c>
      <c r="AN206" t="str">
        <f t="shared" si="23"/>
        <v>PF</v>
      </c>
      <c r="AO206" s="6">
        <f>X206*(U206-Pool!$B$12)</f>
        <v>26.504498467861911</v>
      </c>
      <c r="AP206" s="6">
        <f>Z206*(V206-Pool!$B$13)</f>
        <v>1.0049147680838648</v>
      </c>
      <c r="AQ206" s="3">
        <f>Settings!$B$2*(N206-Pool!$B$2)/Pool!$C$2+Settings!$B$3*(O206-Pool!$B$3)/Pool!$C$3+Settings!$B$4*(P206-Pool!$B$4)/Pool!$C$4+Settings!$B$5*(Q206-Pool!$B$5)/Pool!$C$5+Settings!$B$6*(R206-Pool!$B$6)/Pool!$C$6+Settings!$B$7*(S206-Pool!$B$7)/Pool!$C$7+Settings!$B$8*(AO206-Pool!$B$8)/Pool!$C$8+Settings!$B$9*(AP206-Pool!$B$9)/Pool!$C$9+Settings!$B$10*-(T206-Pool!$B$10)/Pool!$C$10</f>
        <v>-2.260956378540079</v>
      </c>
      <c r="AR206">
        <f>IF(RANK(AQ206,$AQ$2:$AQ$266)&lt;=Settings!$F$5,1,0)</f>
        <v>0</v>
      </c>
      <c r="AS206" s="6">
        <f>X206*(U206-Pool!$D$12)</f>
        <v>24.84569618397882</v>
      </c>
      <c r="AT206" s="6">
        <f>Z206*(V206-Pool!$D$13)</f>
        <v>-0.1285372853275113</v>
      </c>
    </row>
    <row r="207" spans="1:46" x14ac:dyDescent="0.2">
      <c r="A207">
        <f t="shared" si="18"/>
        <v>206</v>
      </c>
      <c r="B207" t="s">
        <v>248</v>
      </c>
      <c r="C207" t="str">
        <f>INDEX('Player Data'!$C:$C,AL207)</f>
        <v>C,PF</v>
      </c>
      <c r="D207">
        <f t="shared" si="19"/>
        <v>45</v>
      </c>
      <c r="E207" t="str">
        <f>INDEX('Player Data'!$B:$B,AL207)</f>
        <v>MEM</v>
      </c>
      <c r="F207" s="2"/>
      <c r="G207" s="3">
        <f>Settings!$B$2*AB207+Settings!$B$3*AC207+Settings!$B$4*AD207+Settings!$B$5*AE207+Settings!$B$6*AF207+Settings!$B$7*AG207+Settings!$B$8*AH207+Settings!$B$9*AI207+Settings!$B$10*AJ207</f>
        <v>-4.564284383741354</v>
      </c>
      <c r="H207" s="3">
        <f>G207-LARGE($G$2:$G$266,Settings!$F$4)</f>
        <v>-1.348019617294189</v>
      </c>
      <c r="I207">
        <f>IF(INDEX('Player Data'!$R:$R,AL207)="","",INDEX('Player Data'!$R:$R,AL207))</f>
        <v>142</v>
      </c>
      <c r="J207" s="4">
        <f t="shared" si="20"/>
        <v>-64</v>
      </c>
      <c r="L207" s="5">
        <f>IF(Settings!$F$7="Yes",INDEX('Minutes &amp; Health'!$O:$O,AL207),Settings!$F$8)</f>
        <v>74</v>
      </c>
      <c r="M207" s="6">
        <f>INDEX('Minutes &amp; Health'!$P:$P,AL207)</f>
        <v>19.7</v>
      </c>
      <c r="N207" s="5">
        <f>INDEX('Player Data'!$F:$F,AL207)/INDEX('Player Data'!$E:$E,AL207)*M207*L207*AM207</f>
        <v>557.06996563573875</v>
      </c>
      <c r="O207" s="5">
        <f>INDEX('Player Data'!$G:$G,AL207)/INDEX('Player Data'!$E:$E,AL207)*M207*L207*AM207</f>
        <v>325.62542955326461</v>
      </c>
      <c r="P207" s="5">
        <f>INDEX('Player Data'!$H:$H,AL207)/INDEX('Player Data'!$E:$E,AL207)*M207*L207*AM207</f>
        <v>87.167422680412372</v>
      </c>
      <c r="Q207" s="5">
        <f>INDEX('Player Data'!$I:$I,AL207)/INDEX('Player Data'!$E:$E,AL207)*M207*L207*AM207</f>
        <v>18.03463917525773</v>
      </c>
      <c r="R207" s="5">
        <f>INDEX('Player Data'!$J:$J,AL207)/INDEX('Player Data'!$E:$E,AL207)*M207*L207*AM207</f>
        <v>91.175120274914093</v>
      </c>
      <c r="S207" s="5">
        <f>INDEX('Player Data'!$K:$K,AL207)/INDEX('Player Data'!$E:$E,AL207)*M207*L207*AM207</f>
        <v>39.075051546391748</v>
      </c>
      <c r="T207" s="5">
        <f>INDEX('Player Data'!$L:$L,AL207)/INDEX('Player Data'!$E:$E,AL207)*M207*L207*AM207</f>
        <v>69.132783505154634</v>
      </c>
      <c r="U207" s="7">
        <f>INDEX('Player Data'!$M:$M,AL207)</f>
        <v>0.54400000000000004</v>
      </c>
      <c r="V207" s="7">
        <f>INDEX('Player Data'!$N:$N,AL207)</f>
        <v>0.753</v>
      </c>
      <c r="W207" s="5">
        <f t="shared" si="21"/>
        <v>211.26016791752582</v>
      </c>
      <c r="X207" s="5">
        <f>INDEX('Player Data'!$O:$O,AL207)/INDEX('Player Data'!$E:$E,AL207)*M207*L207*AM207</f>
        <v>388.34589690721657</v>
      </c>
      <c r="Y207" s="5">
        <f t="shared" si="22"/>
        <v>95.437807628865968</v>
      </c>
      <c r="Z207" s="5">
        <f>INDEX('Player Data'!$P:$P,AL207)/INDEX('Player Data'!$E:$E,AL207)*M207*L207*AM207</f>
        <v>126.74343642611683</v>
      </c>
      <c r="AB207" s="3">
        <f>(N207-Pool!$D$2)/Pool!$E$2</f>
        <v>-1.6818675064915236</v>
      </c>
      <c r="AC207" s="3">
        <f>(O207-Pool!$D$3)/Pool!$E$3</f>
        <v>-0.60416516030394607</v>
      </c>
      <c r="AD207" s="3">
        <f>(P207-Pool!$D$4)/Pool!$E$4</f>
        <v>-1.3046132826942516</v>
      </c>
      <c r="AE207" s="3">
        <f>(Q207-Pool!$D$5)/Pool!$E$5</f>
        <v>-2.4805832378866763</v>
      </c>
      <c r="AF207" s="3">
        <f>(R207-Pool!$D$6)/Pool!$E$6</f>
        <v>1.1819686181748454</v>
      </c>
      <c r="AG207" s="3">
        <f>(S207-Pool!$D$7)/Pool!$E$7</f>
        <v>-1.1878353291607913</v>
      </c>
      <c r="AH207" s="3">
        <f>(AS207-Pool!$D$8)/Pool!$E$8</f>
        <v>0.50895274693796766</v>
      </c>
      <c r="AI207" s="3">
        <f>(AT207-Pool!$D$9)/Pool!$E$9</f>
        <v>-0.26778705743231512</v>
      </c>
      <c r="AJ207" s="3">
        <f>-(T207-Pool!$D$10)/Pool!$E$10</f>
        <v>1.2716458251153364</v>
      </c>
      <c r="AL207">
        <f>MATCH(B207,'Player Data'!$A:$A,0)</f>
        <v>223</v>
      </c>
      <c r="AM207" s="3">
        <f>1+IF(Settings!$F$10="ON",IFERROR(VLOOKUP(TRIM(F207),Settings!$D$12:$F$17,3,FALSE),0),0)</f>
        <v>1</v>
      </c>
      <c r="AN207" t="str">
        <f t="shared" si="23"/>
        <v>C</v>
      </c>
      <c r="AO207" s="6">
        <f>X207*(U207-Pool!$B$12)</f>
        <v>24.618500884900797</v>
      </c>
      <c r="AP207" s="6">
        <f>Z207*(V207-Pool!$B$13)</f>
        <v>-4.7021380483226416</v>
      </c>
      <c r="AQ207" s="3">
        <f>Settings!$B$2*(N207-Pool!$B$2)/Pool!$C$2+Settings!$B$3*(O207-Pool!$B$3)/Pool!$C$3+Settings!$B$4*(P207-Pool!$B$4)/Pool!$C$4+Settings!$B$5*(Q207-Pool!$B$5)/Pool!$C$5+Settings!$B$6*(R207-Pool!$B$6)/Pool!$C$6+Settings!$B$7*(S207-Pool!$B$7)/Pool!$C$7+Settings!$B$8*(AO207-Pool!$B$8)/Pool!$C$8+Settings!$B$9*(AP207-Pool!$B$9)/Pool!$C$9+Settings!$B$10*-(T207-Pool!$B$10)/Pool!$C$10</f>
        <v>-2.0041092807197103</v>
      </c>
      <c r="AR207">
        <f>IF(RANK(AQ207,$AQ$2:$AQ$266)&lt;=Settings!$F$5,1,0)</f>
        <v>0</v>
      </c>
      <c r="AS207" s="6">
        <f>X207*(U207-Pool!$D$12)</f>
        <v>23.272174220726821</v>
      </c>
      <c r="AT207" s="6">
        <f>Z207*(V207-Pool!$D$13)</f>
        <v>-5.9744867040483109</v>
      </c>
    </row>
    <row r="208" spans="1:46" x14ac:dyDescent="0.2">
      <c r="A208">
        <f t="shared" si="18"/>
        <v>207</v>
      </c>
      <c r="B208" t="s">
        <v>249</v>
      </c>
      <c r="C208" t="str">
        <f>INDEX('Player Data'!$C:$C,AL208)</f>
        <v>PF,SF</v>
      </c>
      <c r="D208">
        <f t="shared" si="19"/>
        <v>59</v>
      </c>
      <c r="E208" t="str">
        <f>INDEX('Player Data'!$B:$B,AL208)</f>
        <v>SAS</v>
      </c>
      <c r="F208" s="2"/>
      <c r="G208" s="3">
        <f>Settings!$B$2*AB208+Settings!$B$3*AC208+Settings!$B$4*AD208+Settings!$B$5*AE208+Settings!$B$6*AF208+Settings!$B$7*AG208+Settings!$B$8*AH208+Settings!$B$9*AI208+Settings!$B$10*AJ208</f>
        <v>-4.5903879532841998</v>
      </c>
      <c r="H208" s="3">
        <f>G208-LARGE($G$2:$G$266,Settings!$F$4)</f>
        <v>-1.3741231868370347</v>
      </c>
      <c r="I208" t="str">
        <f>IF(INDEX('Player Data'!$R:$R,AL208)="","",INDEX('Player Data'!$R:$R,AL208))</f>
        <v/>
      </c>
      <c r="J208" s="4" t="str">
        <f t="shared" si="20"/>
        <v/>
      </c>
      <c r="L208" s="5">
        <f>IF(Settings!$F$7="Yes",INDEX('Minutes &amp; Health'!$O:$O,AL208),Settings!$F$8)</f>
        <v>78</v>
      </c>
      <c r="M208" s="6">
        <f>INDEX('Minutes &amp; Health'!$P:$P,AL208)</f>
        <v>20.9</v>
      </c>
      <c r="N208" s="5">
        <f>INDEX('Player Data'!$F:$F,AL208)/INDEX('Player Data'!$E:$E,AL208)*M208*L208*AM208</f>
        <v>863.57621091354974</v>
      </c>
      <c r="O208" s="5">
        <f>INDEX('Player Data'!$G:$G,AL208)/INDEX('Player Data'!$E:$E,AL208)*M208*L208*AM208</f>
        <v>335.8351931330472</v>
      </c>
      <c r="P208" s="5">
        <f>INDEX('Player Data'!$H:$H,AL208)/INDEX('Player Data'!$E:$E,AL208)*M208*L208*AM208</f>
        <v>107.94702636419372</v>
      </c>
      <c r="Q208" s="5">
        <f>INDEX('Player Data'!$I:$I,AL208)/INDEX('Player Data'!$E:$E,AL208)*M208*L208*AM208</f>
        <v>39.980380134886566</v>
      </c>
      <c r="R208" s="5">
        <f>INDEX('Player Data'!$J:$J,AL208)/INDEX('Player Data'!$E:$E,AL208)*M208*L208*AM208</f>
        <v>11.994114040465972</v>
      </c>
      <c r="S208" s="5">
        <f>INDEX('Player Data'!$K:$K,AL208)/INDEX('Player Data'!$E:$E,AL208)*M208*L208*AM208</f>
        <v>80.960269773145313</v>
      </c>
      <c r="T208" s="5">
        <f>INDEX('Player Data'!$L:$L,AL208)/INDEX('Player Data'!$E:$E,AL208)*M208*L208*AM208</f>
        <v>66.967136725935006</v>
      </c>
      <c r="U208" s="7">
        <f>INDEX('Player Data'!$M:$M,AL208)</f>
        <v>0.49399999999999999</v>
      </c>
      <c r="V208" s="7">
        <f>INDEX('Player Data'!$N:$N,AL208)</f>
        <v>0.77400000000000002</v>
      </c>
      <c r="W208" s="5">
        <f t="shared" si="21"/>
        <v>328.74387310852234</v>
      </c>
      <c r="X208" s="5">
        <f>INDEX('Player Data'!$O:$O,AL208)/INDEX('Player Data'!$E:$E,AL208)*M208*L208*AM208</f>
        <v>665.47342734518691</v>
      </c>
      <c r="Y208" s="5">
        <f t="shared" si="22"/>
        <v>125.0944115021459</v>
      </c>
      <c r="Z208" s="5">
        <f>INDEX('Player Data'!$P:$P,AL208)/INDEX('Player Data'!$E:$E,AL208)*M208*L208*AM208</f>
        <v>161.62068669527895</v>
      </c>
      <c r="AB208" s="3">
        <f>(N208-Pool!$D$2)/Pool!$E$2</f>
        <v>-0.92634151908649331</v>
      </c>
      <c r="AC208" s="3">
        <f>(O208-Pool!$D$3)/Pool!$E$3</f>
        <v>-0.54473913262912677</v>
      </c>
      <c r="AD208" s="3">
        <f>(P208-Pool!$D$4)/Pool!$E$4</f>
        <v>-1.1640740149560209</v>
      </c>
      <c r="AE208" s="3">
        <f>(Q208-Pool!$D$5)/Pool!$E$5</f>
        <v>-1.511718955055076</v>
      </c>
      <c r="AF208" s="3">
        <f>(R208-Pool!$D$6)/Pool!$E$6</f>
        <v>-1.1095871701593341</v>
      </c>
      <c r="AG208" s="3">
        <f>(S208-Pool!$D$7)/Pool!$E$7</f>
        <v>-0.59791085383179732</v>
      </c>
      <c r="AH208" s="3">
        <f>(AS208-Pool!$D$8)/Pool!$E$8</f>
        <v>0.14446521683231489</v>
      </c>
      <c r="AI208" s="3">
        <f>(AT208-Pool!$D$9)/Pool!$E$9</f>
        <v>-0.18935005814884726</v>
      </c>
      <c r="AJ208" s="3">
        <f>-(T208-Pool!$D$10)/Pool!$E$10</f>
        <v>1.3088685337501809</v>
      </c>
      <c r="AL208">
        <f>MATCH(B208,'Player Data'!$A:$A,0)</f>
        <v>158</v>
      </c>
      <c r="AM208" s="3">
        <f>1+IF(Settings!$F$10="ON",IFERROR(VLOOKUP(TRIM(F208),Settings!$D$12:$F$17,3,FALSE),0),0)</f>
        <v>1</v>
      </c>
      <c r="AN208" t="str">
        <f t="shared" si="23"/>
        <v>PF</v>
      </c>
      <c r="AO208" s="6">
        <f>X208*(U208-Pool!$B$12)</f>
        <v>8.9128388815914299</v>
      </c>
      <c r="AP208" s="6">
        <f>Z208*(V208-Pool!$B$13)</f>
        <v>-2.6020376580421458</v>
      </c>
      <c r="AQ208" s="3">
        <f>Settings!$B$2*(N208-Pool!$B$2)/Pool!$C$2+Settings!$B$3*(O208-Pool!$B$3)/Pool!$C$3+Settings!$B$4*(P208-Pool!$B$4)/Pool!$C$4+Settings!$B$5*(Q208-Pool!$B$5)/Pool!$C$5+Settings!$B$6*(R208-Pool!$B$6)/Pool!$C$6+Settings!$B$7*(S208-Pool!$B$7)/Pool!$C$7+Settings!$B$8*(AO208-Pool!$B$8)/Pool!$C$8+Settings!$B$9*(AP208-Pool!$B$9)/Pool!$C$9+Settings!$B$10*-(T208-Pool!$B$10)/Pool!$C$10</f>
        <v>-2.4636915455158066</v>
      </c>
      <c r="AR208">
        <f>IF(RANK(AQ208,$AQ$2:$AQ$266)&lt;=Settings!$F$5,1,0)</f>
        <v>0</v>
      </c>
      <c r="AS208" s="6">
        <f>X208*(U208-Pool!$D$12)</f>
        <v>6.6057599947810806</v>
      </c>
      <c r="AT208" s="6">
        <f>Z208*(V208-Pool!$D$13)</f>
        <v>-4.2245111308524814</v>
      </c>
    </row>
    <row r="209" spans="1:46" x14ac:dyDescent="0.2">
      <c r="A209">
        <f t="shared" si="18"/>
        <v>208</v>
      </c>
      <c r="B209" t="s">
        <v>250</v>
      </c>
      <c r="C209" t="str">
        <f>INDEX('Player Data'!$C:$C,AL209)</f>
        <v>PG,SG</v>
      </c>
      <c r="D209">
        <f t="shared" si="19"/>
        <v>67</v>
      </c>
      <c r="E209" t="str">
        <f>INDEX('Player Data'!$B:$B,AL209)</f>
        <v>PHI</v>
      </c>
      <c r="F209" s="2"/>
      <c r="G209" s="3">
        <f>Settings!$B$2*AB209+Settings!$B$3*AC209+Settings!$B$4*AD209+Settings!$B$5*AE209+Settings!$B$6*AF209+Settings!$B$7*AG209+Settings!$B$8*AH209+Settings!$B$9*AI209+Settings!$B$10*AJ209</f>
        <v>-4.6093045087428264</v>
      </c>
      <c r="H209" s="3">
        <f>G209-LARGE($G$2:$G$266,Settings!$F$4)</f>
        <v>-1.3930397422956613</v>
      </c>
      <c r="I209">
        <f>IF(INDEX('Player Data'!$R:$R,AL209)="","",INDEX('Player Data'!$R:$R,AL209))</f>
        <v>146</v>
      </c>
      <c r="J209" s="4">
        <f t="shared" si="20"/>
        <v>-62</v>
      </c>
      <c r="L209" s="5">
        <f>IF(Settings!$F$7="Yes",INDEX('Minutes &amp; Health'!$O:$O,AL209),Settings!$F$8)</f>
        <v>72</v>
      </c>
      <c r="M209" s="6">
        <f>INDEX('Minutes &amp; Health'!$P:$P,AL209)</f>
        <v>23.7</v>
      </c>
      <c r="N209" s="5">
        <f>INDEX('Player Data'!$F:$F,AL209)/INDEX('Player Data'!$E:$E,AL209)*M209*L209*AM209</f>
        <v>943.66818980667836</v>
      </c>
      <c r="O209" s="5">
        <f>INDEX('Player Data'!$G:$G,AL209)/INDEX('Player Data'!$E:$E,AL209)*M209*L209*AM209</f>
        <v>154.94551845342707</v>
      </c>
      <c r="P209" s="5">
        <f>INDEX('Player Data'!$H:$H,AL209)/INDEX('Player Data'!$E:$E,AL209)*M209*L209*AM209</f>
        <v>203.92829525483302</v>
      </c>
      <c r="Q209" s="5">
        <f>INDEX('Player Data'!$I:$I,AL209)/INDEX('Player Data'!$E:$E,AL209)*M209*L209*AM209</f>
        <v>36.986994727592261</v>
      </c>
      <c r="R209" s="5">
        <f>INDEX('Player Data'!$J:$J,AL209)/INDEX('Player Data'!$E:$E,AL209)*M209*L209*AM209</f>
        <v>7.9971880492091385</v>
      </c>
      <c r="S209" s="5">
        <f>INDEX('Player Data'!$K:$K,AL209)/INDEX('Player Data'!$E:$E,AL209)*M209*L209*AM209</f>
        <v>150.94692442882248</v>
      </c>
      <c r="T209" s="5">
        <f>INDEX('Player Data'!$L:$L,AL209)/INDEX('Player Data'!$E:$E,AL209)*M209*L209*AM209</f>
        <v>90.968014059753955</v>
      </c>
      <c r="U209" s="7">
        <f>INDEX('Player Data'!$M:$M,AL209)</f>
        <v>0.442</v>
      </c>
      <c r="V209" s="7">
        <f>INDEX('Player Data'!$N:$N,AL209)</f>
        <v>0.90100000000000002</v>
      </c>
      <c r="W209" s="5">
        <f t="shared" si="21"/>
        <v>343.35746952548334</v>
      </c>
      <c r="X209" s="5">
        <f>INDEX('Player Data'!$O:$O,AL209)/INDEX('Player Data'!$E:$E,AL209)*M209*L209*AM209</f>
        <v>776.82685413005277</v>
      </c>
      <c r="Y209" s="5">
        <f t="shared" si="22"/>
        <v>106.01042488576451</v>
      </c>
      <c r="Z209" s="5">
        <f>INDEX('Player Data'!$P:$P,AL209)/INDEX('Player Data'!$E:$E,AL209)*M209*L209*AM209</f>
        <v>117.65862917398947</v>
      </c>
      <c r="AB209" s="3">
        <f>(N209-Pool!$D$2)/Pool!$E$2</f>
        <v>-0.72891790254123368</v>
      </c>
      <c r="AC209" s="3">
        <f>(O209-Pool!$D$3)/Pool!$E$3</f>
        <v>-1.597609233841506</v>
      </c>
      <c r="AD209" s="3">
        <f>(P209-Pool!$D$4)/Pool!$E$4</f>
        <v>-0.51492124709043197</v>
      </c>
      <c r="AE209" s="3">
        <f>(Q209-Pool!$D$5)/Pool!$E$5</f>
        <v>-1.6438714401870169</v>
      </c>
      <c r="AF209" s="3">
        <f>(R209-Pool!$D$6)/Pool!$E$6</f>
        <v>-1.2252611092311412</v>
      </c>
      <c r="AG209" s="3">
        <f>(S209-Pool!$D$7)/Pool!$E$7</f>
        <v>0.38780301554015439</v>
      </c>
      <c r="AH209" s="3">
        <f>(AS209-Pool!$D$8)/Pool!$E$8</f>
        <v>-0.71478319993710271</v>
      </c>
      <c r="AI209" s="3">
        <f>(AT209-Pool!$D$9)/Pool!$E$9</f>
        <v>0.53191040879255591</v>
      </c>
      <c r="AJ209" s="3">
        <f>-(T209-Pool!$D$10)/Pool!$E$10</f>
        <v>0.89634619975289542</v>
      </c>
      <c r="AL209">
        <f>MATCH(B209,'Player Data'!$A:$A,0)</f>
        <v>124</v>
      </c>
      <c r="AM209" s="3">
        <f>1+IF(Settings!$F$10="ON",IFERROR(VLOOKUP(TRIM(F209),Settings!$D$12:$F$17,3,FALSE),0),0)</f>
        <v>1</v>
      </c>
      <c r="AN209" t="str">
        <f t="shared" si="23"/>
        <v>PG</v>
      </c>
      <c r="AO209" s="6">
        <f>X209*(U209-Pool!$B$12)</f>
        <v>-29.990775441769195</v>
      </c>
      <c r="AP209" s="6">
        <f>Z209*(V209-Pool!$B$13)</f>
        <v>13.048382304536922</v>
      </c>
      <c r="AQ209" s="3">
        <f>Settings!$B$2*(N209-Pool!$B$2)/Pool!$C$2+Settings!$B$3*(O209-Pool!$B$3)/Pool!$C$3+Settings!$B$4*(P209-Pool!$B$4)/Pool!$C$4+Settings!$B$5*(Q209-Pool!$B$5)/Pool!$C$5+Settings!$B$6*(R209-Pool!$B$6)/Pool!$C$6+Settings!$B$7*(S209-Pool!$B$7)/Pool!$C$7+Settings!$B$8*(AO209-Pool!$B$8)/Pool!$C$8+Settings!$B$9*(AP209-Pool!$B$9)/Pool!$C$9+Settings!$B$10*-(T209-Pool!$B$10)/Pool!$C$10</f>
        <v>-2.4796555790046209</v>
      </c>
      <c r="AR209">
        <f>IF(RANK(AQ209,$AQ$2:$AQ$266)&lt;=Settings!$F$5,1,0)</f>
        <v>0</v>
      </c>
      <c r="AS209" s="6">
        <f>X209*(U209-Pool!$D$12)</f>
        <v>-32.683897000387219</v>
      </c>
      <c r="AT209" s="6">
        <f>Z209*(V209-Pool!$D$13)</f>
        <v>11.867233971452885</v>
      </c>
    </row>
    <row r="210" spans="1:46" x14ac:dyDescent="0.2">
      <c r="A210">
        <f t="shared" si="18"/>
        <v>209</v>
      </c>
      <c r="B210" t="s">
        <v>251</v>
      </c>
      <c r="C210" t="str">
        <f>INDEX('Player Data'!$C:$C,AL210)</f>
        <v>PG,SG</v>
      </c>
      <c r="D210">
        <f t="shared" si="19"/>
        <v>68</v>
      </c>
      <c r="E210" t="str">
        <f>INDEX('Player Data'!$B:$B,AL210)</f>
        <v>OKC</v>
      </c>
      <c r="F210" s="2"/>
      <c r="G210" s="3">
        <f>Settings!$B$2*AB210+Settings!$B$3*AC210+Settings!$B$4*AD210+Settings!$B$5*AE210+Settings!$B$6*AF210+Settings!$B$7*AG210+Settings!$B$8*AH210+Settings!$B$9*AI210+Settings!$B$10*AJ210</f>
        <v>-4.7114845495177651</v>
      </c>
      <c r="H210" s="3">
        <f>G210-LARGE($G$2:$G$266,Settings!$F$4)</f>
        <v>-1.4952197830706</v>
      </c>
      <c r="I210">
        <f>IF(INDEX('Player Data'!$R:$R,AL210)="","",INDEX('Player Data'!$R:$R,AL210))</f>
        <v>144</v>
      </c>
      <c r="J210" s="4">
        <f t="shared" si="20"/>
        <v>-65</v>
      </c>
      <c r="L210" s="5">
        <f>IF(Settings!$F$7="Yes",INDEX('Minutes &amp; Health'!$O:$O,AL210),Settings!$F$8)</f>
        <v>67</v>
      </c>
      <c r="M210" s="6">
        <f>INDEX('Minutes &amp; Health'!$P:$P,AL210)</f>
        <v>19.600000000000001</v>
      </c>
      <c r="N210" s="5">
        <f>INDEX('Player Data'!$F:$F,AL210)/INDEX('Player Data'!$E:$E,AL210)*M210*L210*AM210</f>
        <v>660.10053313023616</v>
      </c>
      <c r="O210" s="5">
        <f>INDEX('Player Data'!$G:$G,AL210)/INDEX('Player Data'!$E:$E,AL210)*M210*L210*AM210</f>
        <v>160.02437166793604</v>
      </c>
      <c r="P210" s="5">
        <f>INDEX('Player Data'!$H:$H,AL210)/INDEX('Player Data'!$E:$E,AL210)*M210*L210*AM210</f>
        <v>174.02650418888044</v>
      </c>
      <c r="Q210" s="5">
        <f>INDEX('Player Data'!$I:$I,AL210)/INDEX('Player Data'!$E:$E,AL210)*M210*L210*AM210</f>
        <v>60.009139375476018</v>
      </c>
      <c r="R210" s="5">
        <f>INDEX('Player Data'!$J:$J,AL210)/INDEX('Player Data'!$E:$E,AL210)*M210*L210*AM210</f>
        <v>14.002132520944402</v>
      </c>
      <c r="S210" s="5">
        <f>INDEX('Player Data'!$K:$K,AL210)/INDEX('Player Data'!$E:$E,AL210)*M210*L210*AM210</f>
        <v>53.008073115003818</v>
      </c>
      <c r="T210" s="5">
        <f>INDEX('Player Data'!$L:$L,AL210)/INDEX('Player Data'!$E:$E,AL210)*M210*L210*AM210</f>
        <v>70.010662604722015</v>
      </c>
      <c r="U210" s="7">
        <f>INDEX('Player Data'!$M:$M,AL210)</f>
        <v>0.48299999999999998</v>
      </c>
      <c r="V210" s="7">
        <f>INDEX('Player Data'!$N:$N,AL210)</f>
        <v>0.87</v>
      </c>
      <c r="W210" s="5">
        <f t="shared" si="21"/>
        <v>244.14538327494287</v>
      </c>
      <c r="X210" s="5">
        <f>INDEX('Player Data'!$O:$O,AL210)/INDEX('Player Data'!$E:$E,AL210)*M210*L210*AM210</f>
        <v>505.47698400609295</v>
      </c>
      <c r="Y210" s="5">
        <f t="shared" si="22"/>
        <v>118.7730891089109</v>
      </c>
      <c r="Z210" s="5">
        <f>INDEX('Player Data'!$P:$P,AL210)/INDEX('Player Data'!$E:$E,AL210)*M210*L210*AM210</f>
        <v>136.52079207920792</v>
      </c>
      <c r="AB210" s="3">
        <f>(N210-Pool!$D$2)/Pool!$E$2</f>
        <v>-1.4279011601659337</v>
      </c>
      <c r="AC210" s="3">
        <f>(O210-Pool!$D$3)/Pool!$E$3</f>
        <v>-1.5680477195788827</v>
      </c>
      <c r="AD210" s="3">
        <f>(P210-Pool!$D$4)/Pool!$E$4</f>
        <v>-0.7171568567979707</v>
      </c>
      <c r="AE210" s="3">
        <f>(Q210-Pool!$D$5)/Pool!$E$5</f>
        <v>-0.62748590531034432</v>
      </c>
      <c r="AF210" s="3">
        <f>(R210-Pool!$D$6)/Pool!$E$6</f>
        <v>-1.0514736579567012</v>
      </c>
      <c r="AG210" s="3">
        <f>(S210-Pool!$D$7)/Pool!$E$7</f>
        <v>-0.99159830840292884</v>
      </c>
      <c r="AH210" s="3">
        <f>(AS210-Pool!$D$8)/Pool!$E$8</f>
        <v>-1.1868111458391289E-2</v>
      </c>
      <c r="AI210" s="3">
        <f>(AT210-Pool!$D$9)/Pool!$E$9</f>
        <v>0.42749015742120083</v>
      </c>
      <c r="AJ210" s="3">
        <f>-(T210-Pool!$D$10)/Pool!$E$10</f>
        <v>1.2565570127321872</v>
      </c>
      <c r="AL210">
        <f>MATCH(B210,'Player Data'!$A:$A,0)</f>
        <v>176</v>
      </c>
      <c r="AM210" s="3">
        <f>1+IF(Settings!$F$10="ON",IFERROR(VLOOKUP(TRIM(F210),Settings!$D$12:$F$17,3,FALSE),0),0)</f>
        <v>1</v>
      </c>
      <c r="AN210" t="str">
        <f t="shared" si="23"/>
        <v>PG</v>
      </c>
      <c r="AO210" s="6">
        <f>X210*(U210-Pool!$B$12)</f>
        <v>1.2097228421480137</v>
      </c>
      <c r="AP210" s="6">
        <f>Z210*(V210-Pool!$B$13)</f>
        <v>10.908058081540464</v>
      </c>
      <c r="AQ210" s="3">
        <f>Settings!$B$2*(N210-Pool!$B$2)/Pool!$C$2+Settings!$B$3*(O210-Pool!$B$3)/Pool!$C$3+Settings!$B$4*(P210-Pool!$B$4)/Pool!$C$4+Settings!$B$5*(Q210-Pool!$B$5)/Pool!$C$5+Settings!$B$6*(R210-Pool!$B$6)/Pool!$C$6+Settings!$B$7*(S210-Pool!$B$7)/Pool!$C$7+Settings!$B$8*(AO210-Pool!$B$8)/Pool!$C$8+Settings!$B$9*(AP210-Pool!$B$9)/Pool!$C$9+Settings!$B$10*-(T210-Pool!$B$10)/Pool!$C$10</f>
        <v>-2.5637514911800379</v>
      </c>
      <c r="AR210">
        <f>IF(RANK(AQ210,$AQ$2:$AQ$266)&lt;=Settings!$F$5,1,0)</f>
        <v>0</v>
      </c>
      <c r="AS210" s="6">
        <f>X210*(U210-Pool!$D$12)</f>
        <v>-0.54267662212710033</v>
      </c>
      <c r="AT210" s="6">
        <f>Z210*(V210-Pool!$D$13)</f>
        <v>9.5375567666116972</v>
      </c>
    </row>
    <row r="211" spans="1:46" x14ac:dyDescent="0.2">
      <c r="A211">
        <f t="shared" si="18"/>
        <v>210</v>
      </c>
      <c r="B211" t="s">
        <v>252</v>
      </c>
      <c r="C211" t="str">
        <f>INDEX('Player Data'!$C:$C,AL211)</f>
        <v>PF,SF</v>
      </c>
      <c r="D211">
        <f t="shared" si="19"/>
        <v>60</v>
      </c>
      <c r="E211" t="str">
        <f>INDEX('Player Data'!$B:$B,AL211)</f>
        <v>LAC</v>
      </c>
      <c r="F211" s="2"/>
      <c r="G211" s="3">
        <f>Settings!$B$2*AB211+Settings!$B$3*AC211+Settings!$B$4*AD211+Settings!$B$5*AE211+Settings!$B$6*AF211+Settings!$B$7*AG211+Settings!$B$8*AH211+Settings!$B$9*AI211+Settings!$B$10*AJ211</f>
        <v>-4.8092462245223064</v>
      </c>
      <c r="H211" s="3">
        <f>G211-LARGE($G$2:$G$266,Settings!$F$4)</f>
        <v>-1.5929814580751414</v>
      </c>
      <c r="I211" t="str">
        <f>IF(INDEX('Player Data'!$R:$R,AL211)="","",INDEX('Player Data'!$R:$R,AL211))</f>
        <v/>
      </c>
      <c r="J211" s="4" t="str">
        <f t="shared" si="20"/>
        <v/>
      </c>
      <c r="L211" s="5">
        <f>IF(Settings!$F$7="Yes",INDEX('Minutes &amp; Health'!$O:$O,AL211),Settings!$F$8)</f>
        <v>70</v>
      </c>
      <c r="M211" s="6">
        <f>INDEX('Minutes &amp; Health'!$P:$P,AL211)</f>
        <v>22.3</v>
      </c>
      <c r="N211" s="5">
        <f>INDEX('Player Data'!$F:$F,AL211)/INDEX('Player Data'!$E:$E,AL211)*M211*L211*AM211</f>
        <v>572.73380372033353</v>
      </c>
      <c r="O211" s="5">
        <f>INDEX('Player Data'!$G:$G,AL211)/INDEX('Player Data'!$E:$E,AL211)*M211*L211*AM211</f>
        <v>257.32969852469535</v>
      </c>
      <c r="P211" s="5">
        <f>INDEX('Player Data'!$H:$H,AL211)/INDEX('Player Data'!$E:$E,AL211)*M211*L211*AM211</f>
        <v>178.22835150737654</v>
      </c>
      <c r="Q211" s="5">
        <f>INDEX('Player Data'!$I:$I,AL211)/INDEX('Player Data'!$E:$E,AL211)*M211*L211*AM211</f>
        <v>41.052597819114816</v>
      </c>
      <c r="R211" s="5">
        <f>INDEX('Player Data'!$J:$J,AL211)/INDEX('Player Data'!$E:$E,AL211)*M211*L211*AM211</f>
        <v>17.021808851828094</v>
      </c>
      <c r="S211" s="5">
        <f>INDEX('Player Data'!$K:$K,AL211)/INDEX('Player Data'!$E:$E,AL211)*M211*L211*AM211</f>
        <v>125.16035920461836</v>
      </c>
      <c r="T211" s="5">
        <f>INDEX('Player Data'!$L:$L,AL211)/INDEX('Player Data'!$E:$E,AL211)*M211*L211*AM211</f>
        <v>68.087235407312377</v>
      </c>
      <c r="U211" s="7">
        <f>INDEX('Player Data'!$M:$M,AL211)</f>
        <v>0.437</v>
      </c>
      <c r="V211" s="7">
        <f>INDEX('Player Data'!$N:$N,AL211)</f>
        <v>0.82399999999999995</v>
      </c>
      <c r="W211" s="5">
        <f t="shared" si="21"/>
        <v>190.29511180243748</v>
      </c>
      <c r="X211" s="5">
        <f>INDEX('Player Data'!$O:$O,AL211)/INDEX('Player Data'!$E:$E,AL211)*M211*L211*AM211</f>
        <v>435.45792174470819</v>
      </c>
      <c r="Y211" s="5">
        <f t="shared" si="22"/>
        <v>66.994635535599741</v>
      </c>
      <c r="Z211" s="5">
        <f>INDEX('Player Data'!$P:$P,AL211)/INDEX('Player Data'!$E:$E,AL211)*M211*L211*AM211</f>
        <v>81.304169339320083</v>
      </c>
      <c r="AB211" s="3">
        <f>(N211-Pool!$D$2)/Pool!$E$2</f>
        <v>-1.6432567541243428</v>
      </c>
      <c r="AC211" s="3">
        <f>(O211-Pool!$D$3)/Pool!$E$3</f>
        <v>-1.001681123378009</v>
      </c>
      <c r="AD211" s="3">
        <f>(P211-Pool!$D$4)/Pool!$E$4</f>
        <v>-0.6887383867310849</v>
      </c>
      <c r="AE211" s="3">
        <f>(Q211-Pool!$D$5)/Pool!$E$5</f>
        <v>-1.4643825074236114</v>
      </c>
      <c r="AF211" s="3">
        <f>(R211-Pool!$D$6)/Pool!$E$6</f>
        <v>-0.96408203332334619</v>
      </c>
      <c r="AG211" s="3">
        <f>(S211-Pool!$D$7)/Pool!$E$7</f>
        <v>2.4616989432524359E-2</v>
      </c>
      <c r="AH211" s="3">
        <f>(AS211-Pool!$D$8)/Pool!$E$8</f>
        <v>-0.44829515802824743</v>
      </c>
      <c r="AI211" s="3">
        <f>(AT211-Pool!$D$9)/Pool!$E$9</f>
        <v>8.6956249965628396E-2</v>
      </c>
      <c r="AJ211" s="3">
        <f>-(T211-Pool!$D$10)/Pool!$E$10</f>
        <v>1.2896164990881818</v>
      </c>
      <c r="AL211">
        <f>MATCH(B211,'Player Data'!$A:$A,0)</f>
        <v>209</v>
      </c>
      <c r="AM211" s="3">
        <f>1+IF(Settings!$F$10="ON",IFERROR(VLOOKUP(TRIM(F211),Settings!$D$12:$F$17,3,FALSE),0),0)</f>
        <v>1</v>
      </c>
      <c r="AN211" t="str">
        <f t="shared" si="23"/>
        <v>PF</v>
      </c>
      <c r="AO211" s="6">
        <f>X211*(U211-Pool!$B$12)</f>
        <v>-18.988913300608232</v>
      </c>
      <c r="AP211" s="6">
        <f>Z211*(V211-Pool!$B$13)</f>
        <v>2.7562392087446366</v>
      </c>
      <c r="AQ211" s="3">
        <f>Settings!$B$2*(N211-Pool!$B$2)/Pool!$C$2+Settings!$B$3*(O211-Pool!$B$3)/Pool!$C$3+Settings!$B$4*(P211-Pool!$B$4)/Pool!$C$4+Settings!$B$5*(Q211-Pool!$B$5)/Pool!$C$5+Settings!$B$6*(R211-Pool!$B$6)/Pool!$C$6+Settings!$B$7*(S211-Pool!$B$7)/Pool!$C$7+Settings!$B$8*(AO211-Pool!$B$8)/Pool!$C$8+Settings!$B$9*(AP211-Pool!$B$9)/Pool!$C$9+Settings!$B$10*-(T211-Pool!$B$10)/Pool!$C$10</f>
        <v>-2.6625184087705751</v>
      </c>
      <c r="AR211">
        <f>IF(RANK(AQ211,$AQ$2:$AQ$266)&lt;=Settings!$F$5,1,0)</f>
        <v>0</v>
      </c>
      <c r="AS211" s="6">
        <f>X211*(U211-Pool!$D$12)</f>
        <v>-20.49856903751629</v>
      </c>
      <c r="AT211" s="6">
        <f>Z211*(V211-Pool!$D$13)</f>
        <v>1.9400450650417467</v>
      </c>
    </row>
    <row r="212" spans="1:46" x14ac:dyDescent="0.2">
      <c r="A212">
        <f t="shared" si="18"/>
        <v>211</v>
      </c>
      <c r="B212" t="s">
        <v>253</v>
      </c>
      <c r="C212" t="str">
        <f>INDEX('Player Data'!$C:$C,AL212)</f>
        <v>PF,SF</v>
      </c>
      <c r="D212">
        <f t="shared" si="19"/>
        <v>61</v>
      </c>
      <c r="E212" t="str">
        <f>INDEX('Player Data'!$B:$B,AL212)</f>
        <v>MIN</v>
      </c>
      <c r="F212" s="2"/>
      <c r="G212" s="3">
        <f>Settings!$B$2*AB212+Settings!$B$3*AC212+Settings!$B$4*AD212+Settings!$B$5*AE212+Settings!$B$6*AF212+Settings!$B$7*AG212+Settings!$B$8*AH212+Settings!$B$9*AI212+Settings!$B$10*AJ212</f>
        <v>-4.8288032821013758</v>
      </c>
      <c r="H212" s="3">
        <f>G212-LARGE($G$2:$G$266,Settings!$F$4)</f>
        <v>-1.6125385156542107</v>
      </c>
      <c r="I212">
        <f>IF(INDEX('Player Data'!$R:$R,AL212)="","",INDEX('Player Data'!$R:$R,AL212))</f>
        <v>193</v>
      </c>
      <c r="J212" s="4">
        <f t="shared" si="20"/>
        <v>-18</v>
      </c>
      <c r="L212" s="5">
        <f>IF(Settings!$F$7="Yes",INDEX('Minutes &amp; Health'!$O:$O,AL212),Settings!$F$8)</f>
        <v>72</v>
      </c>
      <c r="M212" s="6">
        <f>INDEX('Minutes &amp; Health'!$P:$P,AL212)</f>
        <v>25.7</v>
      </c>
      <c r="N212" s="5">
        <f>INDEX('Player Data'!$F:$F,AL212)/INDEX('Player Data'!$E:$E,AL212)*M212*L212*AM212</f>
        <v>1059.5112790070157</v>
      </c>
      <c r="O212" s="5">
        <f>INDEX('Player Data'!$G:$G,AL212)/INDEX('Player Data'!$E:$E,AL212)*M212*L212*AM212</f>
        <v>391.44997301672964</v>
      </c>
      <c r="P212" s="5">
        <f>INDEX('Player Data'!$H:$H,AL212)/INDEX('Player Data'!$E:$E,AL212)*M212*L212*AM212</f>
        <v>166.76567728008635</v>
      </c>
      <c r="Q212" s="5">
        <f>INDEX('Player Data'!$I:$I,AL212)/INDEX('Player Data'!$E:$E,AL212)*M212*L212*AM212</f>
        <v>53.924230976794384</v>
      </c>
      <c r="R212" s="5">
        <f>INDEX('Player Data'!$J:$J,AL212)/INDEX('Player Data'!$E:$E,AL212)*M212*L212*AM212</f>
        <v>29.957906098219102</v>
      </c>
      <c r="S212" s="5">
        <f>INDEX('Player Data'!$K:$K,AL212)/INDEX('Player Data'!$E:$E,AL212)*M212*L212*AM212</f>
        <v>71.898974635725835</v>
      </c>
      <c r="T212" s="5">
        <f>INDEX('Player Data'!$L:$L,AL212)/INDEX('Player Data'!$E:$E,AL212)*M212*L212*AM212</f>
        <v>132.81338370210469</v>
      </c>
      <c r="U212" s="7">
        <f>INDEX('Player Data'!$M:$M,AL212)</f>
        <v>0.47399999999999998</v>
      </c>
      <c r="V212" s="7">
        <f>INDEX('Player Data'!$N:$N,AL212)</f>
        <v>0.70199999999999996</v>
      </c>
      <c r="W212" s="5">
        <f t="shared" si="21"/>
        <v>399.77867035078253</v>
      </c>
      <c r="X212" s="5">
        <f>INDEX('Player Data'!$O:$O,AL212)/INDEX('Player Data'!$E:$E,AL212)*M212*L212*AM212</f>
        <v>843.41491635186196</v>
      </c>
      <c r="Y212" s="5">
        <f t="shared" si="22"/>
        <v>188.01222372369131</v>
      </c>
      <c r="Z212" s="5">
        <f>INDEX('Player Data'!$P:$P,AL212)/INDEX('Player Data'!$E:$E,AL212)*M212*L212*AM212</f>
        <v>267.82368051807879</v>
      </c>
      <c r="AB212" s="3">
        <f>(N212-Pool!$D$2)/Pool!$E$2</f>
        <v>-0.44336918795368824</v>
      </c>
      <c r="AC212" s="3">
        <f>(O212-Pool!$D$3)/Pool!$E$3</f>
        <v>-0.22103276835628527</v>
      </c>
      <c r="AD212" s="3">
        <f>(P212-Pool!$D$4)/Pool!$E$4</f>
        <v>-0.7662642080480051</v>
      </c>
      <c r="AE212" s="3">
        <f>(Q212-Pool!$D$5)/Pool!$E$5</f>
        <v>-0.89612347023147743</v>
      </c>
      <c r="AF212" s="3">
        <f>(R212-Pool!$D$6)/Pool!$E$6</f>
        <v>-0.58970199026543824</v>
      </c>
      <c r="AG212" s="3">
        <f>(S212-Pool!$D$7)/Pool!$E$7</f>
        <v>-0.7255329602943823</v>
      </c>
      <c r="AH212" s="3">
        <f>(AS212-Pool!$D$8)/Pool!$E$8</f>
        <v>-0.18580876082160755</v>
      </c>
      <c r="AI212" s="3">
        <f>(AT212-Pool!$D$9)/Pool!$E$9</f>
        <v>-1.1780861964212119</v>
      </c>
      <c r="AJ212" s="3">
        <f>-(T212-Pool!$D$10)/Pool!$E$10</f>
        <v>0.17711626029072078</v>
      </c>
      <c r="AL212">
        <f>MATCH(B212,'Player Data'!$A:$A,0)</f>
        <v>99</v>
      </c>
      <c r="AM212" s="3">
        <f>1+IF(Settings!$F$10="ON",IFERROR(VLOOKUP(TRIM(F212),Settings!$D$12:$F$17,3,FALSE),0),0)</f>
        <v>1</v>
      </c>
      <c r="AN212" t="str">
        <f t="shared" si="23"/>
        <v>PF</v>
      </c>
      <c r="AO212" s="6">
        <f>X212*(U212-Pool!$B$12)</f>
        <v>-5.5722481004129385</v>
      </c>
      <c r="AP212" s="6">
        <f>Z212*(V212-Pool!$B$13)</f>
        <v>-23.595174453328731</v>
      </c>
      <c r="AQ212" s="3">
        <f>Settings!$B$2*(N212-Pool!$B$2)/Pool!$C$2+Settings!$B$3*(O212-Pool!$B$3)/Pool!$C$3+Settings!$B$4*(P212-Pool!$B$4)/Pool!$C$4+Settings!$B$5*(Q212-Pool!$B$5)/Pool!$C$5+Settings!$B$6*(R212-Pool!$B$6)/Pool!$C$6+Settings!$B$7*(S212-Pool!$B$7)/Pool!$C$7+Settings!$B$8*(AO212-Pool!$B$8)/Pool!$C$8+Settings!$B$9*(AP212-Pool!$B$9)/Pool!$C$9+Settings!$B$10*-(T212-Pool!$B$10)/Pool!$C$10</f>
        <v>-2.908046396502149</v>
      </c>
      <c r="AR212">
        <f>IF(RANK(AQ212,$AQ$2:$AQ$266)&lt;=Settings!$F$5,1,0)</f>
        <v>0</v>
      </c>
      <c r="AS212" s="6">
        <f>X212*(U212-Pool!$D$12)</f>
        <v>-8.4962187149856234</v>
      </c>
      <c r="AT212" s="6">
        <f>Z212*(V212-Pool!$D$13)</f>
        <v>-26.283795730197159</v>
      </c>
    </row>
    <row r="213" spans="1:46" x14ac:dyDescent="0.2">
      <c r="A213">
        <f t="shared" si="18"/>
        <v>212</v>
      </c>
      <c r="B213" t="s">
        <v>254</v>
      </c>
      <c r="C213" t="str">
        <f>INDEX('Player Data'!$C:$C,AL213)</f>
        <v>SG,SF</v>
      </c>
      <c r="D213">
        <f t="shared" si="19"/>
        <v>13</v>
      </c>
      <c r="E213" t="str">
        <f>INDEX('Player Data'!$B:$B,AL213)</f>
        <v>NOR</v>
      </c>
      <c r="F213" s="2"/>
      <c r="G213" s="3">
        <f>Settings!$B$2*AB213+Settings!$B$3*AC213+Settings!$B$4*AD213+Settings!$B$5*AE213+Settings!$B$6*AF213+Settings!$B$7*AG213+Settings!$B$8*AH213+Settings!$B$9*AI213+Settings!$B$10*AJ213</f>
        <v>-4.8335049645217305</v>
      </c>
      <c r="H213" s="3">
        <f>G213-LARGE($G$2:$G$266,Settings!$F$4)</f>
        <v>-1.6172401980745654</v>
      </c>
      <c r="I213">
        <f>IF(INDEX('Player Data'!$R:$R,AL213)="","",INDEX('Player Data'!$R:$R,AL213))</f>
        <v>188</v>
      </c>
      <c r="J213" s="4">
        <f t="shared" si="20"/>
        <v>-24</v>
      </c>
      <c r="L213" s="5">
        <f>IF(Settings!$F$7="Yes",INDEX('Minutes &amp; Health'!$O:$O,AL213),Settings!$F$8)</f>
        <v>73</v>
      </c>
      <c r="M213" s="6">
        <f>INDEX('Minutes &amp; Health'!$P:$P,AL213)</f>
        <v>25.2</v>
      </c>
      <c r="N213" s="5">
        <f>INDEX('Player Data'!$F:$F,AL213)/INDEX('Player Data'!$E:$E,AL213)*M213*L213*AM213</f>
        <v>1017.8853101196953</v>
      </c>
      <c r="O213" s="5">
        <f>INDEX('Player Data'!$G:$G,AL213)/INDEX('Player Data'!$E:$E,AL213)*M213*L213*AM213</f>
        <v>321.27943416757341</v>
      </c>
      <c r="P213" s="5">
        <f>INDEX('Player Data'!$H:$H,AL213)/INDEX('Player Data'!$E:$E,AL213)*M213*L213*AM213</f>
        <v>120.10446137105549</v>
      </c>
      <c r="Q213" s="5">
        <f>INDEX('Player Data'!$I:$I,AL213)/INDEX('Player Data'!$E:$E,AL213)*M213*L213*AM213</f>
        <v>43.037431991294888</v>
      </c>
      <c r="R213" s="5">
        <f>INDEX('Player Data'!$J:$J,AL213)/INDEX('Player Data'!$E:$E,AL213)*M213*L213*AM213</f>
        <v>18.015669205658323</v>
      </c>
      <c r="S213" s="5">
        <f>INDEX('Player Data'!$K:$K,AL213)/INDEX('Player Data'!$E:$E,AL213)*M213*L213*AM213</f>
        <v>80.069640914036995</v>
      </c>
      <c r="T213" s="5">
        <f>INDEX('Player Data'!$L:$L,AL213)/INDEX('Player Data'!$E:$E,AL213)*M213*L213*AM213</f>
        <v>125.1088139281828</v>
      </c>
      <c r="U213" s="7">
        <f>INDEX('Player Data'!$M:$M,AL213)</f>
        <v>0.442</v>
      </c>
      <c r="V213" s="7">
        <f>INDEX('Player Data'!$N:$N,AL213)</f>
        <v>0.85</v>
      </c>
      <c r="W213" s="5">
        <f t="shared" si="21"/>
        <v>330.90380500544069</v>
      </c>
      <c r="X213" s="5">
        <f>INDEX('Player Data'!$O:$O,AL213)/INDEX('Player Data'!$E:$E,AL213)*M213*L213*AM213</f>
        <v>748.65114254624586</v>
      </c>
      <c r="Y213" s="5">
        <f t="shared" si="22"/>
        <v>275.98003482045698</v>
      </c>
      <c r="Z213" s="5">
        <f>INDEX('Player Data'!$P:$P,AL213)/INDEX('Player Data'!$E:$E,AL213)*M213*L213*AM213</f>
        <v>324.68239390641997</v>
      </c>
      <c r="AB213" s="3">
        <f>(N213-Pool!$D$2)/Pool!$E$2</f>
        <v>-0.54597558416848191</v>
      </c>
      <c r="AC213" s="3">
        <f>(O213-Pool!$D$3)/Pool!$E$3</f>
        <v>-0.6294610684850267</v>
      </c>
      <c r="AD213" s="3">
        <f>(P213-Pool!$D$4)/Pool!$E$4</f>
        <v>-1.0818492988622748</v>
      </c>
      <c r="AE213" s="3">
        <f>(Q213-Pool!$D$5)/Pool!$E$5</f>
        <v>-1.3767557127618821</v>
      </c>
      <c r="AF213" s="3">
        <f>(R213-Pool!$D$6)/Pool!$E$6</f>
        <v>-0.93531899336055413</v>
      </c>
      <c r="AG213" s="3">
        <f>(S213-Pool!$D$7)/Pool!$E$7</f>
        <v>-0.61045474842434688</v>
      </c>
      <c r="AH213" s="3">
        <f>(AS213-Pool!$D$8)/Pool!$E$8</f>
        <v>-0.6888578277910381</v>
      </c>
      <c r="AI213" s="3">
        <f>(AT213-Pool!$D$9)/Pool!$E$9</f>
        <v>0.72562738716682185</v>
      </c>
      <c r="AJ213" s="3">
        <f>-(T213-Pool!$D$10)/Pool!$E$10</f>
        <v>0.3095408821650526</v>
      </c>
      <c r="AL213">
        <f>MATCH(B213,'Player Data'!$A:$A,0)</f>
        <v>110</v>
      </c>
      <c r="AM213" s="3">
        <f>1+IF(Settings!$F$10="ON",IFERROR(VLOOKUP(TRIM(F213),Settings!$D$12:$F$17,3,FALSE),0),0)</f>
        <v>1</v>
      </c>
      <c r="AN213" t="str">
        <f t="shared" si="23"/>
        <v>SG</v>
      </c>
      <c r="AO213" s="6">
        <f>X213*(U213-Pool!$B$12)</f>
        <v>-28.903002233969481</v>
      </c>
      <c r="AP213" s="6">
        <f>Z213*(V213-Pool!$B$13)</f>
        <v>19.448586684428179</v>
      </c>
      <c r="AQ213" s="3">
        <f>Settings!$B$2*(N213-Pool!$B$2)/Pool!$C$2+Settings!$B$3*(O213-Pool!$B$3)/Pool!$C$3+Settings!$B$4*(P213-Pool!$B$4)/Pool!$C$4+Settings!$B$5*(Q213-Pool!$B$5)/Pool!$C$5+Settings!$B$6*(R213-Pool!$B$6)/Pool!$C$6+Settings!$B$7*(S213-Pool!$B$7)/Pool!$C$7+Settings!$B$8*(AO213-Pool!$B$8)/Pool!$C$8+Settings!$B$9*(AP213-Pool!$B$9)/Pool!$C$9+Settings!$B$10*-(T213-Pool!$B$10)/Pool!$C$10</f>
        <v>-2.5932425296720272</v>
      </c>
      <c r="AR213">
        <f>IF(RANK(AQ213,$AQ$2:$AQ$266)&lt;=Settings!$F$5,1,0)</f>
        <v>0</v>
      </c>
      <c r="AS213" s="6">
        <f>X213*(U213-Pool!$D$12)</f>
        <v>-31.498443574798522</v>
      </c>
      <c r="AT213" s="6">
        <f>Z213*(V213-Pool!$D$13)</f>
        <v>16.189173660184974</v>
      </c>
    </row>
    <row r="214" spans="1:46" x14ac:dyDescent="0.2">
      <c r="A214">
        <f t="shared" si="18"/>
        <v>213</v>
      </c>
      <c r="B214" t="s">
        <v>255</v>
      </c>
      <c r="C214" t="str">
        <f>INDEX('Player Data'!$C:$C,AL214)</f>
        <v>C,PF</v>
      </c>
      <c r="D214">
        <f t="shared" si="19"/>
        <v>46</v>
      </c>
      <c r="E214" t="str">
        <f>INDEX('Player Data'!$B:$B,AL214)</f>
        <v>BKN</v>
      </c>
      <c r="F214" s="2"/>
      <c r="G214" s="3">
        <f>Settings!$B$2*AB214+Settings!$B$3*AC214+Settings!$B$4*AD214+Settings!$B$5*AE214+Settings!$B$6*AF214+Settings!$B$7*AG214+Settings!$B$8*AH214+Settings!$B$9*AI214+Settings!$B$10*AJ214</f>
        <v>-4.8991431121467244</v>
      </c>
      <c r="H214" s="3">
        <f>G214-LARGE($G$2:$G$266,Settings!$F$4)</f>
        <v>-1.6828783456995593</v>
      </c>
      <c r="I214" t="str">
        <f>IF(INDEX('Player Data'!$R:$R,AL214)="","",INDEX('Player Data'!$R:$R,AL214))</f>
        <v/>
      </c>
      <c r="J214" s="4" t="str">
        <f t="shared" si="20"/>
        <v/>
      </c>
      <c r="L214" s="5">
        <f>IF(Settings!$F$7="Yes",INDEX('Minutes &amp; Health'!$O:$O,AL214),Settings!$F$8)</f>
        <v>75</v>
      </c>
      <c r="M214" s="6">
        <f>INDEX('Minutes &amp; Health'!$P:$P,AL214)</f>
        <v>20.9</v>
      </c>
      <c r="N214" s="5">
        <f>INDEX('Player Data'!$F:$F,AL214)/INDEX('Player Data'!$E:$E,AL214)*M214*L214*AM214</f>
        <v>688.3413001912046</v>
      </c>
      <c r="O214" s="5">
        <f>INDEX('Player Data'!$G:$G,AL214)/INDEX('Player Data'!$E:$E,AL214)*M214*L214*AM214</f>
        <v>355.65965583174</v>
      </c>
      <c r="P214" s="5">
        <f>INDEX('Player Data'!$H:$H,AL214)/INDEX('Player Data'!$E:$E,AL214)*M214*L214*AM214</f>
        <v>160.84608030592736</v>
      </c>
      <c r="Q214" s="5">
        <f>INDEX('Player Data'!$I:$I,AL214)/INDEX('Player Data'!$E:$E,AL214)*M214*L214*AM214</f>
        <v>37.963671128107073</v>
      </c>
      <c r="R214" s="5">
        <f>INDEX('Player Data'!$J:$J,AL214)/INDEX('Player Data'!$E:$E,AL214)*M214*L214*AM214</f>
        <v>40.960803059273424</v>
      </c>
      <c r="S214" s="5">
        <f>INDEX('Player Data'!$K:$K,AL214)/INDEX('Player Data'!$E:$E,AL214)*M214*L214*AM214</f>
        <v>86.916826003824085</v>
      </c>
      <c r="T214" s="5">
        <f>INDEX('Player Data'!$L:$L,AL214)/INDEX('Player Data'!$E:$E,AL214)*M214*L214*AM214</f>
        <v>92.911089866156786</v>
      </c>
      <c r="U214" s="7">
        <f>INDEX('Player Data'!$M:$M,AL214)</f>
        <v>0.436</v>
      </c>
      <c r="V214" s="7">
        <f>INDEX('Player Data'!$N:$N,AL214)</f>
        <v>0.77100000000000002</v>
      </c>
      <c r="W214" s="5">
        <f t="shared" si="21"/>
        <v>242.31491969407261</v>
      </c>
      <c r="X214" s="5">
        <f>INDEX('Player Data'!$O:$O,AL214)/INDEX('Player Data'!$E:$E,AL214)*M214*L214*AM214</f>
        <v>555.76816443594635</v>
      </c>
      <c r="Y214" s="5">
        <f t="shared" si="22"/>
        <v>116.77185659655829</v>
      </c>
      <c r="Z214" s="5">
        <f>INDEX('Player Data'!$P:$P,AL214)/INDEX('Player Data'!$E:$E,AL214)*M214*L214*AM214</f>
        <v>151.45506692160609</v>
      </c>
      <c r="AB214" s="3">
        <f>(N214-Pool!$D$2)/Pool!$E$2</f>
        <v>-1.3582887664625867</v>
      </c>
      <c r="AC214" s="3">
        <f>(O214-Pool!$D$3)/Pool!$E$3</f>
        <v>-0.42935065573003423</v>
      </c>
      <c r="AD214" s="3">
        <f>(P214-Pool!$D$4)/Pool!$E$4</f>
        <v>-0.80630038182272845</v>
      </c>
      <c r="AE214" s="3">
        <f>(Q214-Pool!$D$5)/Pool!$E$5</f>
        <v>-1.6007529653046206</v>
      </c>
      <c r="AF214" s="3">
        <f>(R214-Pool!$D$6)/Pool!$E$6</f>
        <v>-0.27127016654128849</v>
      </c>
      <c r="AG214" s="3">
        <f>(S214-Pool!$D$7)/Pool!$E$7</f>
        <v>-0.51401685833850508</v>
      </c>
      <c r="AH214" s="3">
        <f>(AS214-Pool!$D$8)/Pool!$E$8</f>
        <v>-0.58430654722937148</v>
      </c>
      <c r="AI214" s="3">
        <f>(AT214-Pool!$D$9)/Pool!$E$9</f>
        <v>-0.19780576770817127</v>
      </c>
      <c r="AJ214" s="3">
        <f>-(T214-Pool!$D$10)/Pool!$E$10</f>
        <v>0.86294899699058236</v>
      </c>
      <c r="AL214">
        <f>MATCH(B214,'Player Data'!$A:$A,0)</f>
        <v>192</v>
      </c>
      <c r="AM214" s="3">
        <f>1+IF(Settings!$F$10="ON",IFERROR(VLOOKUP(TRIM(F214),Settings!$D$12:$F$17,3,FALSE),0),0)</f>
        <v>1</v>
      </c>
      <c r="AN214" t="str">
        <f t="shared" si="23"/>
        <v>C</v>
      </c>
      <c r="AO214" s="6">
        <f>X214*(U214-Pool!$B$12)</f>
        <v>-24.79102250871086</v>
      </c>
      <c r="AP214" s="6">
        <f>Z214*(V214-Pool!$B$13)</f>
        <v>-2.8927398648592515</v>
      </c>
      <c r="AQ214" s="3">
        <f>Settings!$B$2*(N214-Pool!$B$2)/Pool!$C$2+Settings!$B$3*(O214-Pool!$B$3)/Pool!$C$3+Settings!$B$4*(P214-Pool!$B$4)/Pool!$C$4+Settings!$B$5*(Q214-Pool!$B$5)/Pool!$C$5+Settings!$B$6*(R214-Pool!$B$6)/Pool!$C$6+Settings!$B$7*(S214-Pool!$B$7)/Pool!$C$7+Settings!$B$8*(AO214-Pool!$B$8)/Pool!$C$8+Settings!$B$9*(AP214-Pool!$B$9)/Pool!$C$9+Settings!$B$10*-(T214-Pool!$B$10)/Pool!$C$10</f>
        <v>-2.7300134527950441</v>
      </c>
      <c r="AR214">
        <f>IF(RANK(AQ214,$AQ$2:$AQ$266)&lt;=Settings!$F$5,1,0)</f>
        <v>0</v>
      </c>
      <c r="AS214" s="6">
        <f>X214*(U214-Pool!$D$12)</f>
        <v>-26.717772616895758</v>
      </c>
      <c r="AT214" s="6">
        <f>Z214*(V214-Pool!$D$13)</f>
        <v>-4.4131629828869885</v>
      </c>
    </row>
    <row r="215" spans="1:46" x14ac:dyDescent="0.2">
      <c r="A215">
        <f t="shared" si="18"/>
        <v>214</v>
      </c>
      <c r="B215" t="s">
        <v>256</v>
      </c>
      <c r="C215" t="str">
        <f>INDEX('Player Data'!$C:$C,AL215)</f>
        <v>PF,C</v>
      </c>
      <c r="D215">
        <f t="shared" si="19"/>
        <v>62</v>
      </c>
      <c r="E215" t="str">
        <f>INDEX('Player Data'!$B:$B,AL215)</f>
        <v>OKC</v>
      </c>
      <c r="F215" s="2"/>
      <c r="G215" s="3">
        <f>Settings!$B$2*AB215+Settings!$B$3*AC215+Settings!$B$4*AD215+Settings!$B$5*AE215+Settings!$B$6*AF215+Settings!$B$7*AG215+Settings!$B$8*AH215+Settings!$B$9*AI215+Settings!$B$10*AJ215</f>
        <v>-4.9001707157363565</v>
      </c>
      <c r="H215" s="3">
        <f>G215-LARGE($G$2:$G$266,Settings!$F$4)</f>
        <v>-1.6839059492891915</v>
      </c>
      <c r="I215" t="str">
        <f>IF(INDEX('Player Data'!$R:$R,AL215)="","",INDEX('Player Data'!$R:$R,AL215))</f>
        <v/>
      </c>
      <c r="J215" s="4" t="str">
        <f t="shared" si="20"/>
        <v/>
      </c>
      <c r="L215" s="5">
        <f>IF(Settings!$F$7="Yes",INDEX('Minutes &amp; Health'!$O:$O,AL215),Settings!$F$8)</f>
        <v>73</v>
      </c>
      <c r="M215" s="6">
        <f>INDEX('Minutes &amp; Health'!$P:$P,AL215)</f>
        <v>17.3</v>
      </c>
      <c r="N215" s="5">
        <f>INDEX('Player Data'!$F:$F,AL215)/INDEX('Player Data'!$E:$E,AL215)*M215*L215*AM215</f>
        <v>442.91279620853084</v>
      </c>
      <c r="O215" s="5">
        <f>INDEX('Player Data'!$G:$G,AL215)/INDEX('Player Data'!$E:$E,AL215)*M215*L215*AM215</f>
        <v>349.14296998420224</v>
      </c>
      <c r="P215" s="5">
        <f>INDEX('Player Data'!$H:$H,AL215)/INDEX('Player Data'!$E:$E,AL215)*M215*L215*AM215</f>
        <v>153.62290679304897</v>
      </c>
      <c r="Q215" s="5">
        <f>INDEX('Player Data'!$I:$I,AL215)/INDEX('Player Data'!$E:$E,AL215)*M215*L215*AM215</f>
        <v>35.911848341232222</v>
      </c>
      <c r="R215" s="5">
        <f>INDEX('Player Data'!$J:$J,AL215)/INDEX('Player Data'!$E:$E,AL215)*M215*L215*AM215</f>
        <v>38.904502369668243</v>
      </c>
      <c r="S215" s="5">
        <f>INDEX('Player Data'!$K:$K,AL215)/INDEX('Player Data'!$E:$E,AL215)*M215*L215*AM215</f>
        <v>92.77227488151658</v>
      </c>
      <c r="T215" s="5">
        <f>INDEX('Player Data'!$L:$L,AL215)/INDEX('Player Data'!$E:$E,AL215)*M215*L215*AM215</f>
        <v>62.845734597156401</v>
      </c>
      <c r="U215" s="7">
        <f>INDEX('Player Data'!$M:$M,AL215)</f>
        <v>0.42299999999999999</v>
      </c>
      <c r="V215" s="7">
        <f>INDEX('Player Data'!$N:$N,AL215)</f>
        <v>0.77600000000000002</v>
      </c>
      <c r="W215" s="5">
        <f t="shared" si="21"/>
        <v>141.99095936018958</v>
      </c>
      <c r="X215" s="5">
        <f>INDEX('Player Data'!$O:$O,AL215)/INDEX('Player Data'!$E:$E,AL215)*M215*L215*AM215</f>
        <v>335.67602685624013</v>
      </c>
      <c r="Y215" s="5">
        <f t="shared" si="22"/>
        <v>66.108126508688784</v>
      </c>
      <c r="Z215" s="5">
        <f>INDEX('Player Data'!$P:$P,AL215)/INDEX('Player Data'!$E:$E,AL215)*M215*L215*AM215</f>
        <v>85.19088467614533</v>
      </c>
      <c r="AB215" s="3">
        <f>(N215-Pool!$D$2)/Pool!$E$2</f>
        <v>-1.9632604943331924</v>
      </c>
      <c r="AC215" s="3">
        <f>(O215-Pool!$D$3)/Pool!$E$3</f>
        <v>-0.46728108874130758</v>
      </c>
      <c r="AD215" s="3">
        <f>(P215-Pool!$D$4)/Pool!$E$4</f>
        <v>-0.85515307081979708</v>
      </c>
      <c r="AE215" s="3">
        <f>(Q215-Pool!$D$5)/Pool!$E$5</f>
        <v>-1.691337184655429</v>
      </c>
      <c r="AF215" s="3">
        <f>(R215-Pool!$D$6)/Pool!$E$6</f>
        <v>-0.33078100091826163</v>
      </c>
      <c r="AG215" s="3">
        <f>(S215-Pool!$D$7)/Pool!$E$7</f>
        <v>-0.43154689033480187</v>
      </c>
      <c r="AH215" s="3">
        <f>(AS215-Pool!$D$8)/Pool!$E$8</f>
        <v>-0.44834703384565106</v>
      </c>
      <c r="AI215" s="3">
        <f>(AT215-Pool!$D$9)/Pool!$E$9</f>
        <v>-9.217033071593736E-2</v>
      </c>
      <c r="AJ215" s="3">
        <f>-(T215-Pool!$D$10)/Pool!$E$10</f>
        <v>1.379706378628021</v>
      </c>
      <c r="AL215">
        <f>MATCH(B215,'Player Data'!$A:$A,0)</f>
        <v>242</v>
      </c>
      <c r="AM215" s="3">
        <f>1+IF(Settings!$F$10="ON",IFERROR(VLOOKUP(TRIM(F215),Settings!$D$12:$F$17,3,FALSE),0),0)</f>
        <v>1</v>
      </c>
      <c r="AN215" t="str">
        <f t="shared" si="23"/>
        <v>PF</v>
      </c>
      <c r="AO215" s="6">
        <f>X215*(U215-Pool!$B$12)</f>
        <v>-19.337211567557993</v>
      </c>
      <c r="AP215" s="6">
        <f>Z215*(V215-Pool!$B$13)</f>
        <v>-1.2011622735658911</v>
      </c>
      <c r="AQ215" s="3">
        <f>Settings!$B$2*(N215-Pool!$B$2)/Pool!$C$2+Settings!$B$3*(O215-Pool!$B$3)/Pool!$C$3+Settings!$B$4*(P215-Pool!$B$4)/Pool!$C$4+Settings!$B$5*(Q215-Pool!$B$5)/Pool!$C$5+Settings!$B$6*(R215-Pool!$B$6)/Pool!$C$6+Settings!$B$7*(S215-Pool!$B$7)/Pool!$C$7+Settings!$B$8*(AO215-Pool!$B$8)/Pool!$C$8+Settings!$B$9*(AP215-Pool!$B$9)/Pool!$C$9+Settings!$B$10*-(T215-Pool!$B$10)/Pool!$C$10</f>
        <v>-2.6743691897413733</v>
      </c>
      <c r="AR215">
        <f>IF(RANK(AQ215,$AQ$2:$AQ$266)&lt;=Settings!$F$5,1,0)</f>
        <v>0</v>
      </c>
      <c r="AS215" s="6">
        <f>X215*(U215-Pool!$D$12)</f>
        <v>-20.500941090850755</v>
      </c>
      <c r="AT215" s="6">
        <f>Z215*(V215-Pool!$D$13)</f>
        <v>-2.0563742723423313</v>
      </c>
    </row>
    <row r="216" spans="1:46" x14ac:dyDescent="0.2">
      <c r="A216">
        <f t="shared" si="18"/>
        <v>215</v>
      </c>
      <c r="B216" t="s">
        <v>257</v>
      </c>
      <c r="C216" t="str">
        <f>INDEX('Player Data'!$C:$C,AL216)</f>
        <v>SG,SF</v>
      </c>
      <c r="D216">
        <f t="shared" si="19"/>
        <v>14</v>
      </c>
      <c r="E216" t="str">
        <f>INDEX('Player Data'!$B:$B,AL216)</f>
        <v>BOS</v>
      </c>
      <c r="F216" s="2"/>
      <c r="G216" s="3">
        <f>Settings!$B$2*AB216+Settings!$B$3*AC216+Settings!$B$4*AD216+Settings!$B$5*AE216+Settings!$B$6*AF216+Settings!$B$7*AG216+Settings!$B$8*AH216+Settings!$B$9*AI216+Settings!$B$10*AJ216</f>
        <v>-4.9401994283543313</v>
      </c>
      <c r="H216" s="3">
        <f>G216-LARGE($G$2:$G$266,Settings!$F$4)</f>
        <v>-1.7239346619071663</v>
      </c>
      <c r="I216" t="str">
        <f>IF(INDEX('Player Data'!$R:$R,AL216)="","",INDEX('Player Data'!$R:$R,AL216))</f>
        <v/>
      </c>
      <c r="J216" s="4" t="str">
        <f t="shared" si="20"/>
        <v/>
      </c>
      <c r="L216" s="5">
        <f>IF(Settings!$F$7="Yes",INDEX('Minutes &amp; Health'!$O:$O,AL216),Settings!$F$8)</f>
        <v>75</v>
      </c>
      <c r="M216" s="6">
        <f>INDEX('Minutes &amp; Health'!$P:$P,AL216)</f>
        <v>20.5</v>
      </c>
      <c r="N216" s="5">
        <f>INDEX('Player Data'!$F:$F,AL216)/INDEX('Player Data'!$E:$E,AL216)*M216*L216*AM216</f>
        <v>482.21590909090912</v>
      </c>
      <c r="O216" s="5">
        <f>INDEX('Player Data'!$G:$G,AL216)/INDEX('Player Data'!$E:$E,AL216)*M216*L216*AM216</f>
        <v>289.52922077922079</v>
      </c>
      <c r="P216" s="5">
        <f>INDEX('Player Data'!$H:$H,AL216)/INDEX('Player Data'!$E:$E,AL216)*M216*L216*AM216</f>
        <v>120.80357142857143</v>
      </c>
      <c r="Q216" s="5">
        <f>INDEX('Player Data'!$I:$I,AL216)/INDEX('Player Data'!$E:$E,AL216)*M216*L216*AM216</f>
        <v>49.918831168831161</v>
      </c>
      <c r="R216" s="5">
        <f>INDEX('Player Data'!$J:$J,AL216)/INDEX('Player Data'!$E:$E,AL216)*M216*L216*AM216</f>
        <v>7.9870129870129869</v>
      </c>
      <c r="S216" s="5">
        <f>INDEX('Player Data'!$K:$K,AL216)/INDEX('Player Data'!$E:$E,AL216)*M216*L216*AM216</f>
        <v>108.82305194805194</v>
      </c>
      <c r="T216" s="5">
        <f>INDEX('Player Data'!$L:$L,AL216)/INDEX('Player Data'!$E:$E,AL216)*M216*L216*AM216</f>
        <v>52.913961038961034</v>
      </c>
      <c r="U216" s="7">
        <f>INDEX('Player Data'!$M:$M,AL216)</f>
        <v>0.434</v>
      </c>
      <c r="V216" s="7">
        <f>INDEX('Player Data'!$N:$N,AL216)</f>
        <v>0.877</v>
      </c>
      <c r="W216" s="5">
        <f t="shared" si="21"/>
        <v>163.35238636363636</v>
      </c>
      <c r="X216" s="5">
        <f>INDEX('Player Data'!$O:$O,AL216)/INDEX('Player Data'!$E:$E,AL216)*M216*L216*AM216</f>
        <v>376.38798701298703</v>
      </c>
      <c r="Y216" s="5">
        <f t="shared" si="22"/>
        <v>46.66821672077922</v>
      </c>
      <c r="Z216" s="5">
        <f>INDEX('Player Data'!$P:$P,AL216)/INDEX('Player Data'!$E:$E,AL216)*M216*L216*AM216</f>
        <v>53.213474025974023</v>
      </c>
      <c r="AB216" s="3">
        <f>(N216-Pool!$D$2)/Pool!$E$2</f>
        <v>-1.8663798479318907</v>
      </c>
      <c r="AC216" s="3">
        <f>(O216-Pool!$D$3)/Pool!$E$3</f>
        <v>-0.81426349263066367</v>
      </c>
      <c r="AD216" s="3">
        <f>(P216-Pool!$D$4)/Pool!$E$4</f>
        <v>-1.0771209884937565</v>
      </c>
      <c r="AE216" s="3">
        <f>(Q216-Pool!$D$5)/Pool!$E$5</f>
        <v>-1.0729545382521468</v>
      </c>
      <c r="AF216" s="3">
        <f>(R216-Pool!$D$6)/Pool!$E$6</f>
        <v>-1.2255555829159439</v>
      </c>
      <c r="AG216" s="3">
        <f>(S216-Pool!$D$7)/Pool!$E$7</f>
        <v>-0.20548274072627717</v>
      </c>
      <c r="AH216" s="3">
        <f>(AS216-Pool!$D$8)/Pool!$E$8</f>
        <v>-0.41217819522653942</v>
      </c>
      <c r="AI216" s="3">
        <f>(AT216-Pool!$D$9)/Pool!$E$9</f>
        <v>0.18332421905429336</v>
      </c>
      <c r="AJ216" s="3">
        <f>-(T216-Pool!$D$10)/Pool!$E$10</f>
        <v>1.5504117387685938</v>
      </c>
      <c r="AL216">
        <f>MATCH(B216,'Player Data'!$A:$A,0)</f>
        <v>236</v>
      </c>
      <c r="AM216" s="3">
        <f>1+IF(Settings!$F$10="ON",IFERROR(VLOOKUP(TRIM(F216),Settings!$D$12:$F$17,3,FALSE),0),0)</f>
        <v>1</v>
      </c>
      <c r="AN216" t="str">
        <f t="shared" si="23"/>
        <v>SG</v>
      </c>
      <c r="AO216" s="6">
        <f>X216*(U216-Pool!$B$12)</f>
        <v>-17.542228222550293</v>
      </c>
      <c r="AP216" s="6">
        <f>Z216*(V216-Pool!$B$13)</f>
        <v>4.6242691325199541</v>
      </c>
      <c r="AQ216" s="3">
        <f>Settings!$B$2*(N216-Pool!$B$2)/Pool!$C$2+Settings!$B$3*(O216-Pool!$B$3)/Pool!$C$3+Settings!$B$4*(P216-Pool!$B$4)/Pool!$C$4+Settings!$B$5*(Q216-Pool!$B$5)/Pool!$C$5+Settings!$B$6*(R216-Pool!$B$6)/Pool!$C$6+Settings!$B$7*(S216-Pool!$B$7)/Pool!$C$7+Settings!$B$8*(AO216-Pool!$B$8)/Pool!$C$8+Settings!$B$9*(AP216-Pool!$B$9)/Pool!$C$9+Settings!$B$10*-(T216-Pool!$B$10)/Pool!$C$10</f>
        <v>-2.8563068251556123</v>
      </c>
      <c r="AR216">
        <f>IF(RANK(AQ216,$AQ$2:$AQ$266)&lt;=Settings!$F$5,1,0)</f>
        <v>0</v>
      </c>
      <c r="AS216" s="6">
        <f>X216*(U216-Pool!$D$12)</f>
        <v>-18.847098924226387</v>
      </c>
      <c r="AT216" s="6">
        <f>Z216*(V216-Pool!$D$13)</f>
        <v>4.0900711175962456</v>
      </c>
    </row>
    <row r="217" spans="1:46" x14ac:dyDescent="0.2">
      <c r="A217">
        <f t="shared" si="18"/>
        <v>216</v>
      </c>
      <c r="B217" t="s">
        <v>258</v>
      </c>
      <c r="C217" t="str">
        <f>INDEX('Player Data'!$C:$C,AL217)</f>
        <v>C</v>
      </c>
      <c r="D217">
        <f t="shared" si="19"/>
        <v>47</v>
      </c>
      <c r="E217" t="str">
        <f>INDEX('Player Data'!$B:$B,AL217)</f>
        <v>SAS</v>
      </c>
      <c r="F217" s="2"/>
      <c r="G217" s="3">
        <f>Settings!$B$2*AB217+Settings!$B$3*AC217+Settings!$B$4*AD217+Settings!$B$5*AE217+Settings!$B$6*AF217+Settings!$B$7*AG217+Settings!$B$8*AH217+Settings!$B$9*AI217+Settings!$B$10*AJ217</f>
        <v>-5.0018699203895221</v>
      </c>
      <c r="H217" s="3">
        <f>G217-LARGE($G$2:$G$266,Settings!$F$4)</f>
        <v>-1.785605153942357</v>
      </c>
      <c r="I217">
        <f>IF(INDEX('Player Data'!$R:$R,AL217)="","",INDEX('Player Data'!$R:$R,AL217))</f>
        <v>79</v>
      </c>
      <c r="J217" s="4">
        <f t="shared" si="20"/>
        <v>-137</v>
      </c>
      <c r="L217" s="5">
        <f>IF(Settings!$F$7="Yes",INDEX('Minutes &amp; Health'!$O:$O,AL217),Settings!$F$8)</f>
        <v>75</v>
      </c>
      <c r="M217" s="6">
        <f>INDEX('Minutes &amp; Health'!$P:$P,AL217)</f>
        <v>14.6</v>
      </c>
      <c r="N217" s="5">
        <f>INDEX('Player Data'!$F:$F,AL217)/INDEX('Player Data'!$E:$E,AL217)*M217*L217*AM217</f>
        <v>353</v>
      </c>
      <c r="O217" s="5">
        <f>INDEX('Player Data'!$G:$G,AL217)/INDEX('Player Data'!$E:$E,AL217)*M217*L217*AM217</f>
        <v>302.99999999999994</v>
      </c>
      <c r="P217" s="5">
        <f>INDEX('Player Data'!$H:$H,AL217)/INDEX('Player Data'!$E:$E,AL217)*M217*L217*AM217</f>
        <v>90</v>
      </c>
      <c r="Q217" s="5">
        <f>INDEX('Player Data'!$I:$I,AL217)/INDEX('Player Data'!$E:$E,AL217)*M217*L217*AM217</f>
        <v>29</v>
      </c>
      <c r="R217" s="5">
        <f>INDEX('Player Data'!$J:$J,AL217)/INDEX('Player Data'!$E:$E,AL217)*M217*L217*AM217</f>
        <v>54</v>
      </c>
      <c r="S217" s="5">
        <f>INDEX('Player Data'!$K:$K,AL217)/INDEX('Player Data'!$E:$E,AL217)*M217*L217*AM217</f>
        <v>0</v>
      </c>
      <c r="T217" s="5">
        <f>INDEX('Player Data'!$L:$L,AL217)/INDEX('Player Data'!$E:$E,AL217)*M217*L217*AM217</f>
        <v>23.000000000000004</v>
      </c>
      <c r="U217" s="7">
        <f>INDEX('Player Data'!$M:$M,AL217)</f>
        <v>0.65800000000000003</v>
      </c>
      <c r="V217" s="7">
        <f>INDEX('Player Data'!$N:$N,AL217)</f>
        <v>0.78300000000000003</v>
      </c>
      <c r="W217" s="5">
        <f t="shared" si="21"/>
        <v>143.97039999999998</v>
      </c>
      <c r="X217" s="5">
        <f>INDEX('Player Data'!$O:$O,AL217)/INDEX('Player Data'!$E:$E,AL217)*M217*L217*AM217</f>
        <v>218.79999999999998</v>
      </c>
      <c r="Y217" s="5">
        <f t="shared" si="22"/>
        <v>65.145600000000002</v>
      </c>
      <c r="Z217" s="5">
        <f>INDEX('Player Data'!$P:$P,AL217)/INDEX('Player Data'!$E:$E,AL217)*M217*L217*AM217</f>
        <v>83.2</v>
      </c>
      <c r="AB217" s="3">
        <f>(N217-Pool!$D$2)/Pool!$E$2</f>
        <v>-2.1848920440402004</v>
      </c>
      <c r="AC217" s="3">
        <f>(O217-Pool!$D$3)/Pool!$E$3</f>
        <v>-0.73585669187373093</v>
      </c>
      <c r="AD217" s="3">
        <f>(P217-Pool!$D$4)/Pool!$E$4</f>
        <v>-1.2854556342441286</v>
      </c>
      <c r="AE217" s="3">
        <f>(Q217-Pool!$D$5)/Pool!$E$5</f>
        <v>-1.996482633992857</v>
      </c>
      <c r="AF217" s="3">
        <f>(R217-Pool!$D$6)/Pool!$E$6</f>
        <v>0.10609365649828074</v>
      </c>
      <c r="AG217" s="3">
        <f>(S217-Pool!$D$7)/Pool!$E$7</f>
        <v>-1.7381805406185855</v>
      </c>
      <c r="AH217" s="3">
        <f>(AS217-Pool!$D$8)/Pool!$E$8</f>
        <v>0.83224912237884274</v>
      </c>
      <c r="AI217" s="3">
        <f>(AT217-Pool!$D$9)/Pool!$E$9</f>
        <v>-6.3912140811955453E-2</v>
      </c>
      <c r="AJ217" s="3">
        <f>-(T217-Pool!$D$10)/Pool!$E$10</f>
        <v>2.0645669863148108</v>
      </c>
      <c r="AL217">
        <f>MATCH(B217,'Player Data'!$A:$A,0)</f>
        <v>255</v>
      </c>
      <c r="AM217" s="3">
        <f>1+IF(Settings!$F$10="ON",IFERROR(VLOOKUP(TRIM(F217),Settings!$D$12:$F$17,3,FALSE),0),0)</f>
        <v>1</v>
      </c>
      <c r="AN217" t="str">
        <f t="shared" si="23"/>
        <v>C</v>
      </c>
      <c r="AO217" s="6">
        <f>X217*(U217-Pool!$B$12)</f>
        <v>38.813638793134047</v>
      </c>
      <c r="AP217" s="6">
        <f>Z217*(V217-Pool!$B$13)</f>
        <v>-0.59069148203582178</v>
      </c>
      <c r="AQ217" s="3">
        <f>Settings!$B$2*(N217-Pool!$B$2)/Pool!$C$2+Settings!$B$3*(O217-Pool!$B$3)/Pool!$C$3+Settings!$B$4*(P217-Pool!$B$4)/Pool!$C$4+Settings!$B$5*(Q217-Pool!$B$5)/Pool!$C$5+Settings!$B$6*(R217-Pool!$B$6)/Pool!$C$6+Settings!$B$7*(S217-Pool!$B$7)/Pool!$C$7+Settings!$B$8*(AO217-Pool!$B$8)/Pool!$C$8+Settings!$B$9*(AP217-Pool!$B$9)/Pool!$C$9+Settings!$B$10*-(T217-Pool!$B$10)/Pool!$C$10</f>
        <v>-2.5323046882200506</v>
      </c>
      <c r="AR217">
        <f>IF(RANK(AQ217,$AQ$2:$AQ$266)&lt;=Settings!$F$5,1,0)</f>
        <v>0</v>
      </c>
      <c r="AS217" s="6">
        <f>X217*(U217-Pool!$D$12)</f>
        <v>38.055097821110735</v>
      </c>
      <c r="AT217" s="6">
        <f>Z217*(V217-Pool!$D$13)</f>
        <v>-1.4259174404079134</v>
      </c>
    </row>
    <row r="218" spans="1:46" x14ac:dyDescent="0.2">
      <c r="A218">
        <f t="shared" si="18"/>
        <v>217</v>
      </c>
      <c r="B218" t="s">
        <v>259</v>
      </c>
      <c r="C218" t="str">
        <f>INDEX('Player Data'!$C:$C,AL218)</f>
        <v>SF,SG</v>
      </c>
      <c r="D218">
        <f t="shared" si="19"/>
        <v>26</v>
      </c>
      <c r="E218" t="str">
        <f>INDEX('Player Data'!$B:$B,AL218)</f>
        <v>MEM</v>
      </c>
      <c r="F218" s="2"/>
      <c r="G218" s="3">
        <f>Settings!$B$2*AB218+Settings!$B$3*AC218+Settings!$B$4*AD218+Settings!$B$5*AE218+Settings!$B$6*AF218+Settings!$B$7*AG218+Settings!$B$8*AH218+Settings!$B$9*AI218+Settings!$B$10*AJ218</f>
        <v>-5.002008610575011</v>
      </c>
      <c r="H218" s="3">
        <f>G218-LARGE($G$2:$G$266,Settings!$F$4)</f>
        <v>-1.7857438441278459</v>
      </c>
      <c r="I218" t="str">
        <f>IF(INDEX('Player Data'!$R:$R,AL218)="","",INDEX('Player Data'!$R:$R,AL218))</f>
        <v/>
      </c>
      <c r="J218" s="4" t="str">
        <f t="shared" si="20"/>
        <v/>
      </c>
      <c r="L218" s="5">
        <f>IF(Settings!$F$7="Yes",INDEX('Minutes &amp; Health'!$O:$O,AL218),Settings!$F$8)</f>
        <v>75</v>
      </c>
      <c r="M218" s="6">
        <f>INDEX('Minutes &amp; Health'!$P:$P,AL218)</f>
        <v>25.5</v>
      </c>
      <c r="N218" s="5">
        <f>INDEX('Player Data'!$F:$F,AL218)/INDEX('Player Data'!$E:$E,AL218)*M218*L218*AM218</f>
        <v>820.50157150340499</v>
      </c>
      <c r="O218" s="5">
        <f>INDEX('Player Data'!$G:$G,AL218)/INDEX('Player Data'!$E:$E,AL218)*M218*L218*AM218</f>
        <v>216.39601885804089</v>
      </c>
      <c r="P218" s="5">
        <f>INDEX('Player Data'!$H:$H,AL218)/INDEX('Player Data'!$E:$E,AL218)*M218*L218*AM218</f>
        <v>112.20534311157675</v>
      </c>
      <c r="Q218" s="5">
        <f>INDEX('Player Data'!$I:$I,AL218)/INDEX('Player Data'!$E:$E,AL218)*M218*L218*AM218</f>
        <v>54.099004714510222</v>
      </c>
      <c r="R218" s="5">
        <f>INDEX('Player Data'!$J:$J,AL218)/INDEX('Player Data'!$E:$E,AL218)*M218*L218*AM218</f>
        <v>7.012833944473547</v>
      </c>
      <c r="S218" s="5">
        <f>INDEX('Player Data'!$K:$K,AL218)/INDEX('Player Data'!$E:$E,AL218)*M218*L218*AM218</f>
        <v>131.24017810371922</v>
      </c>
      <c r="T218" s="5">
        <f>INDEX('Player Data'!$L:$L,AL218)/INDEX('Player Data'!$E:$E,AL218)*M218*L218*AM218</f>
        <v>70.128339444735474</v>
      </c>
      <c r="U218" s="7">
        <f>INDEX('Player Data'!$M:$M,AL218)</f>
        <v>0.43</v>
      </c>
      <c r="V218" s="7">
        <f>INDEX('Player Data'!$N:$N,AL218)</f>
        <v>0.79400000000000004</v>
      </c>
      <c r="W218" s="5">
        <f t="shared" si="21"/>
        <v>281.00325432163436</v>
      </c>
      <c r="X218" s="5">
        <f>INDEX('Player Data'!$O:$O,AL218)/INDEX('Player Data'!$E:$E,AL218)*M218*L218*AM218</f>
        <v>653.49594028287061</v>
      </c>
      <c r="Y218" s="5">
        <f t="shared" si="22"/>
        <v>127.27291775798849</v>
      </c>
      <c r="Z218" s="5">
        <f>INDEX('Player Data'!$P:$P,AL218)/INDEX('Player Data'!$E:$E,AL218)*M218*L218*AM218</f>
        <v>160.2933473022525</v>
      </c>
      <c r="AB218" s="3">
        <f>(N218-Pool!$D$2)/Pool!$E$2</f>
        <v>-1.0325188318618594</v>
      </c>
      <c r="AC218" s="3">
        <f>(O218-Pool!$D$3)/Pool!$E$3</f>
        <v>-1.2399360018278578</v>
      </c>
      <c r="AD218" s="3">
        <f>(P218-Pool!$D$4)/Pool!$E$4</f>
        <v>-1.135273623640485</v>
      </c>
      <c r="AE218" s="3">
        <f>(Q218-Pool!$D$5)/Pool!$E$5</f>
        <v>-0.88840752970518777</v>
      </c>
      <c r="AF218" s="3">
        <f>(R218-Pool!$D$6)/Pool!$E$6</f>
        <v>-1.2537490314456985</v>
      </c>
      <c r="AG218" s="3">
        <f>(S218-Pool!$D$7)/Pool!$E$7</f>
        <v>0.11024705478709534</v>
      </c>
      <c r="AH218" s="3">
        <f>(AS218-Pool!$D$8)/Pool!$E$8</f>
        <v>-0.77280269186777872</v>
      </c>
      <c r="AI218" s="3">
        <f>(AT218-Pool!$D$9)/Pool!$E$9</f>
        <v>-4.4102361487138822E-2</v>
      </c>
      <c r="AJ218" s="3">
        <f>-(T218-Pool!$D$10)/Pool!$E$10</f>
        <v>1.2545344064738997</v>
      </c>
      <c r="AL218">
        <f>MATCH(B218,'Player Data'!$A:$A,0)</f>
        <v>162</v>
      </c>
      <c r="AM218" s="3">
        <f>1+IF(Settings!$F$10="ON",IFERROR(VLOOKUP(TRIM(F218),Settings!$D$12:$F$17,3,FALSE),0),0)</f>
        <v>1</v>
      </c>
      <c r="AN218" t="str">
        <f t="shared" si="23"/>
        <v>SF</v>
      </c>
      <c r="AO218" s="6">
        <f>X218*(U218-Pool!$B$12)</f>
        <v>-33.071318539344432</v>
      </c>
      <c r="AP218" s="6">
        <f>Z218*(V218-Pool!$B$13)</f>
        <v>0.6251989972664832</v>
      </c>
      <c r="AQ218" s="3">
        <f>Settings!$B$2*(N218-Pool!$B$2)/Pool!$C$2+Settings!$B$3*(O218-Pool!$B$3)/Pool!$C$3+Settings!$B$4*(P218-Pool!$B$4)/Pool!$C$4+Settings!$B$5*(Q218-Pool!$B$5)/Pool!$C$5+Settings!$B$6*(R218-Pool!$B$6)/Pool!$C$6+Settings!$B$7*(S218-Pool!$B$7)/Pool!$C$7+Settings!$B$8*(AO218-Pool!$B$8)/Pool!$C$8+Settings!$B$9*(AP218-Pool!$B$9)/Pool!$C$9+Settings!$B$10*-(T218-Pool!$B$10)/Pool!$C$10</f>
        <v>-3.0641805339011494</v>
      </c>
      <c r="AR218">
        <f>IF(RANK(AQ218,$AQ$2:$AQ$266)&lt;=Settings!$F$5,1,0)</f>
        <v>0</v>
      </c>
      <c r="AS218" s="6">
        <f>X218*(U218-Pool!$D$12)</f>
        <v>-35.336873593071388</v>
      </c>
      <c r="AT218" s="6">
        <f>Z218*(V218-Pool!$D$13)</f>
        <v>-0.98394961596902586</v>
      </c>
    </row>
    <row r="219" spans="1:46" x14ac:dyDescent="0.2">
      <c r="A219">
        <f t="shared" si="18"/>
        <v>218</v>
      </c>
      <c r="B219" t="s">
        <v>260</v>
      </c>
      <c r="C219" t="str">
        <f>INDEX('Player Data'!$C:$C,AL219)</f>
        <v>PF,SF,SG</v>
      </c>
      <c r="D219">
        <f t="shared" si="19"/>
        <v>63</v>
      </c>
      <c r="E219" t="str">
        <f>INDEX('Player Data'!$B:$B,AL219)</f>
        <v>UTH</v>
      </c>
      <c r="F219" s="2"/>
      <c r="G219" s="3">
        <f>Settings!$B$2*AB219+Settings!$B$3*AC219+Settings!$B$4*AD219+Settings!$B$5*AE219+Settings!$B$6*AF219+Settings!$B$7*AG219+Settings!$B$8*AH219+Settings!$B$9*AI219+Settings!$B$10*AJ219</f>
        <v>-5.057124699827046</v>
      </c>
      <c r="H219" s="3">
        <f>G219-LARGE($G$2:$G$266,Settings!$F$4)</f>
        <v>-1.840859933379881</v>
      </c>
      <c r="I219" t="str">
        <f>IF(INDEX('Player Data'!$R:$R,AL219)="","",INDEX('Player Data'!$R:$R,AL219))</f>
        <v/>
      </c>
      <c r="J219" s="4" t="str">
        <f t="shared" si="20"/>
        <v/>
      </c>
      <c r="L219" s="5">
        <f>IF(Settings!$F$7="Yes",INDEX('Minutes &amp; Health'!$O:$O,AL219),Settings!$F$8)</f>
        <v>75</v>
      </c>
      <c r="M219" s="6">
        <f>INDEX('Minutes &amp; Health'!$P:$P,AL219)</f>
        <v>19.8</v>
      </c>
      <c r="N219" s="5">
        <f>INDEX('Player Data'!$F:$F,AL219)/INDEX('Player Data'!$E:$E,AL219)*M219*L219*AM219</f>
        <v>853.42530282637949</v>
      </c>
      <c r="O219" s="5">
        <f>INDEX('Player Data'!$G:$G,AL219)/INDEX('Player Data'!$E:$E,AL219)*M219*L219*AM219</f>
        <v>189.87213997308211</v>
      </c>
      <c r="P219" s="5">
        <f>INDEX('Player Data'!$H:$H,AL219)/INDEX('Player Data'!$E:$E,AL219)*M219*L219*AM219</f>
        <v>112.92395693135936</v>
      </c>
      <c r="Q219" s="5">
        <f>INDEX('Player Data'!$I:$I,AL219)/INDEX('Player Data'!$E:$E,AL219)*M219*L219*AM219</f>
        <v>47.96769851951548</v>
      </c>
      <c r="R219" s="5">
        <f>INDEX('Player Data'!$J:$J,AL219)/INDEX('Player Data'!$E:$E,AL219)*M219*L219*AM219</f>
        <v>6.9952893674293408</v>
      </c>
      <c r="S219" s="5">
        <f>INDEX('Player Data'!$K:$K,AL219)/INDEX('Player Data'!$E:$E,AL219)*M219*L219*AM219</f>
        <v>132.91049798115748</v>
      </c>
      <c r="T219" s="5">
        <f>INDEX('Player Data'!$L:$L,AL219)/INDEX('Player Data'!$E:$E,AL219)*M219*L219*AM219</f>
        <v>96.934724091520863</v>
      </c>
      <c r="U219" s="7">
        <f>INDEX('Player Data'!$M:$M,AL219)</f>
        <v>0.46</v>
      </c>
      <c r="V219" s="7">
        <f>INDEX('Player Data'!$N:$N,AL219)</f>
        <v>0.83599999999999997</v>
      </c>
      <c r="W219" s="5">
        <f t="shared" si="21"/>
        <v>296.68421265141325</v>
      </c>
      <c r="X219" s="5">
        <f>INDEX('Player Data'!$O:$O,AL219)/INDEX('Player Data'!$E:$E,AL219)*M219*L219*AM219</f>
        <v>644.96567967698525</v>
      </c>
      <c r="Y219" s="5">
        <f t="shared" si="22"/>
        <v>127.07003095558545</v>
      </c>
      <c r="Z219" s="5">
        <f>INDEX('Player Data'!$P:$P,AL219)/INDEX('Player Data'!$E:$E,AL219)*M219*L219*AM219</f>
        <v>151.99764468371467</v>
      </c>
      <c r="AB219" s="3">
        <f>(N219-Pool!$D$2)/Pool!$E$2</f>
        <v>-0.95136311317722955</v>
      </c>
      <c r="AC219" s="3">
        <f>(O219-Pool!$D$3)/Pool!$E$3</f>
        <v>-1.3943184954423355</v>
      </c>
      <c r="AD219" s="3">
        <f>(P219-Pool!$D$4)/Pool!$E$4</f>
        <v>-1.1304134029377366</v>
      </c>
      <c r="AE219" s="3">
        <f>(Q219-Pool!$D$5)/Pool!$E$5</f>
        <v>-1.1590934723836526</v>
      </c>
      <c r="AF219" s="3">
        <f>(R219-Pool!$D$6)/Pool!$E$6</f>
        <v>-1.254256784238843</v>
      </c>
      <c r="AG219" s="3">
        <f>(S219-Pool!$D$7)/Pool!$E$7</f>
        <v>0.13377236082692323</v>
      </c>
      <c r="AH219" s="3">
        <f>(AS219-Pool!$D$8)/Pool!$E$8</f>
        <v>-0.3395611727829223</v>
      </c>
      <c r="AI219" s="3">
        <f>(AT219-Pool!$D$9)/Pool!$E$9</f>
        <v>0.24431781280345169</v>
      </c>
      <c r="AJ219" s="3">
        <f>-(T219-Pool!$D$10)/Pool!$E$10</f>
        <v>0.79379156750529778</v>
      </c>
      <c r="AL219">
        <f>MATCH(B219,'Player Data'!$A:$A,0)</f>
        <v>154</v>
      </c>
      <c r="AM219" s="3">
        <f>1+IF(Settings!$F$10="ON",IFERROR(VLOOKUP(TRIM(F219),Settings!$D$12:$F$17,3,FALSE),0),0)</f>
        <v>1</v>
      </c>
      <c r="AN219" t="str">
        <f t="shared" si="23"/>
        <v>PF</v>
      </c>
      <c r="AO219" s="6">
        <f>X219*(U219-Pool!$B$12)</f>
        <v>-13.290659215208056</v>
      </c>
      <c r="AP219" s="6">
        <f>Z219*(V219-Pool!$B$13)</f>
        <v>6.9767439903020403</v>
      </c>
      <c r="AQ219" s="3">
        <f>Settings!$B$2*(N219-Pool!$B$2)/Pool!$C$2+Settings!$B$3*(O219-Pool!$B$3)/Pool!$C$3+Settings!$B$4*(P219-Pool!$B$4)/Pool!$C$4+Settings!$B$5*(Q219-Pool!$B$5)/Pool!$C$5+Settings!$B$6*(R219-Pool!$B$6)/Pool!$C$6+Settings!$B$7*(S219-Pool!$B$7)/Pool!$C$7+Settings!$B$8*(AO219-Pool!$B$8)/Pool!$C$8+Settings!$B$9*(AP219-Pool!$B$9)/Pool!$C$9+Settings!$B$10*-(T219-Pool!$B$10)/Pool!$C$10</f>
        <v>-2.9603415161594175</v>
      </c>
      <c r="AR219">
        <f>IF(RANK(AQ219,$AQ$2:$AQ$266)&lt;=Settings!$F$5,1,0)</f>
        <v>0</v>
      </c>
      <c r="AS219" s="6">
        <f>X219*(U219-Pool!$D$12)</f>
        <v>-15.526641361386565</v>
      </c>
      <c r="AT219" s="6">
        <f>Z219*(V219-Pool!$D$13)</f>
        <v>5.4508740569936718</v>
      </c>
    </row>
    <row r="220" spans="1:46" x14ac:dyDescent="0.2">
      <c r="A220">
        <f t="shared" si="18"/>
        <v>219</v>
      </c>
      <c r="B220" t="s">
        <v>261</v>
      </c>
      <c r="C220" t="str">
        <f>INDEX('Player Data'!$C:$C,AL220)</f>
        <v>PG</v>
      </c>
      <c r="D220">
        <f t="shared" si="19"/>
        <v>69</v>
      </c>
      <c r="E220" t="str">
        <f>INDEX('Player Data'!$B:$B,AL220)</f>
        <v>TOR</v>
      </c>
      <c r="F220" s="2"/>
      <c r="G220" s="3">
        <f>Settings!$B$2*AB220+Settings!$B$3*AC220+Settings!$B$4*AD220+Settings!$B$5*AE220+Settings!$B$6*AF220+Settings!$B$7*AG220+Settings!$B$8*AH220+Settings!$B$9*AI220+Settings!$B$10*AJ220</f>
        <v>-5.2091464931915974</v>
      </c>
      <c r="H220" s="3">
        <f>G220-LARGE($G$2:$G$266,Settings!$F$4)</f>
        <v>-1.9928817267444323</v>
      </c>
      <c r="I220" t="str">
        <f>IF(INDEX('Player Data'!$R:$R,AL220)="","",INDEX('Player Data'!$R:$R,AL220))</f>
        <v/>
      </c>
      <c r="J220" s="4" t="str">
        <f t="shared" si="20"/>
        <v/>
      </c>
      <c r="L220" s="5">
        <f>IF(Settings!$F$7="Yes",INDEX('Minutes &amp; Health'!$O:$O,AL220),Settings!$F$8)</f>
        <v>80</v>
      </c>
      <c r="M220" s="6">
        <f>INDEX('Minutes &amp; Health'!$P:$P,AL220)</f>
        <v>21.1</v>
      </c>
      <c r="N220" s="5">
        <f>INDEX('Player Data'!$F:$F,AL220)/INDEX('Player Data'!$E:$E,AL220)*M220*L220*AM220</f>
        <v>519.23040380047507</v>
      </c>
      <c r="O220" s="5">
        <f>INDEX('Player Data'!$G:$G,AL220)/INDEX('Player Data'!$E:$E,AL220)*M220*L220*AM220</f>
        <v>129.30641330166273</v>
      </c>
      <c r="P220" s="5">
        <f>INDEX('Player Data'!$H:$H,AL220)/INDEX('Player Data'!$E:$E,AL220)*M220*L220*AM220</f>
        <v>380.90261282660333</v>
      </c>
      <c r="Q220" s="5">
        <f>INDEX('Player Data'!$I:$I,AL220)/INDEX('Player Data'!$E:$E,AL220)*M220*L220*AM220</f>
        <v>70.166270783847992</v>
      </c>
      <c r="R220" s="5">
        <f>INDEX('Player Data'!$J:$J,AL220)/INDEX('Player Data'!$E:$E,AL220)*M220*L220*AM220</f>
        <v>13.030878859857483</v>
      </c>
      <c r="S220" s="5">
        <f>INDEX('Player Data'!$K:$K,AL220)/INDEX('Player Data'!$E:$E,AL220)*M220*L220*AM220</f>
        <v>78.185273159144899</v>
      </c>
      <c r="T220" s="5">
        <f>INDEX('Player Data'!$L:$L,AL220)/INDEX('Player Data'!$E:$E,AL220)*M220*L220*AM220</f>
        <v>107.25415676959621</v>
      </c>
      <c r="U220" s="7">
        <f>INDEX('Player Data'!$M:$M,AL220)</f>
        <v>0.38700000000000001</v>
      </c>
      <c r="V220" s="7">
        <f>INDEX('Player Data'!$N:$N,AL220)</f>
        <v>0.77700000000000002</v>
      </c>
      <c r="W220" s="5">
        <f t="shared" si="21"/>
        <v>178.01613919239907</v>
      </c>
      <c r="X220" s="5">
        <f>INDEX('Player Data'!$O:$O,AL220)/INDEX('Player Data'!$E:$E,AL220)*M220*L220*AM220</f>
        <v>459.99002375296914</v>
      </c>
      <c r="Y220" s="5">
        <f t="shared" si="22"/>
        <v>84.972055581947757</v>
      </c>
      <c r="Z220" s="5">
        <f>INDEX('Player Data'!$P:$P,AL220)/INDEX('Player Data'!$E:$E,AL220)*M220*L220*AM220</f>
        <v>109.35914489311165</v>
      </c>
      <c r="AB220" s="3">
        <f>(N220-Pool!$D$2)/Pool!$E$2</f>
        <v>-1.7751405564179583</v>
      </c>
      <c r="AC220" s="3">
        <f>(O220-Pool!$D$3)/Pool!$E$3</f>
        <v>-1.7468418933835392</v>
      </c>
      <c r="AD220" s="3">
        <f>(P220-Pool!$D$4)/Pool!$E$4</f>
        <v>0.68201404477090144</v>
      </c>
      <c r="AE220" s="3">
        <f>(Q220-Pool!$D$5)/Pool!$E$5</f>
        <v>-0.17906715035912982</v>
      </c>
      <c r="AF220" s="3">
        <f>(R220-Pool!$D$6)/Pool!$E$6</f>
        <v>-1.0795824438240398</v>
      </c>
      <c r="AG220" s="3">
        <f>(S220-Pool!$D$7)/Pool!$E$7</f>
        <v>-0.63699477152064665</v>
      </c>
      <c r="AH220" s="3">
        <f>(AS220-Pool!$D$8)/Pool!$E$8</f>
        <v>-0.97653996423528888</v>
      </c>
      <c r="AI220" s="3">
        <f>(AT220-Pool!$D$9)/Pool!$E$9</f>
        <v>-0.11341695728471655</v>
      </c>
      <c r="AJ220" s="3">
        <f>-(T220-Pool!$D$10)/Pool!$E$10</f>
        <v>0.61642319906282061</v>
      </c>
      <c r="AL220">
        <f>MATCH(B220,'Player Data'!$A:$A,0)</f>
        <v>235</v>
      </c>
      <c r="AM220" s="3">
        <f>1+IF(Settings!$F$10="ON",IFERROR(VLOOKUP(TRIM(F220),Settings!$D$12:$F$17,3,FALSE),0),0)</f>
        <v>1</v>
      </c>
      <c r="AN220" t="str">
        <f t="shared" si="23"/>
        <v>PG</v>
      </c>
      <c r="AO220" s="6">
        <f>X220*(U220-Pool!$B$12)</f>
        <v>-43.058180210396067</v>
      </c>
      <c r="AP220" s="6">
        <f>Z220*(V220-Pool!$B$13)</f>
        <v>-1.4325673137226402</v>
      </c>
      <c r="AQ220" s="3">
        <f>Settings!$B$2*(N220-Pool!$B$2)/Pool!$C$2+Settings!$B$3*(O220-Pool!$B$3)/Pool!$C$3+Settings!$B$4*(P220-Pool!$B$4)/Pool!$C$4+Settings!$B$5*(Q220-Pool!$B$5)/Pool!$C$5+Settings!$B$6*(R220-Pool!$B$6)/Pool!$C$6+Settings!$B$7*(S220-Pool!$B$7)/Pool!$C$7+Settings!$B$8*(AO220-Pool!$B$8)/Pool!$C$8+Settings!$B$9*(AP220-Pool!$B$9)/Pool!$C$9+Settings!$B$10*-(T220-Pool!$B$10)/Pool!$C$10</f>
        <v>-3.2891966456669315</v>
      </c>
      <c r="AR220">
        <f>IF(RANK(AQ220,$AQ$2:$AQ$266)&lt;=Settings!$F$5,1,0)</f>
        <v>0</v>
      </c>
      <c r="AS220" s="6">
        <f>X220*(U220-Pool!$D$12)</f>
        <v>-44.652884413954588</v>
      </c>
      <c r="AT220" s="6">
        <f>Z220*(V220-Pool!$D$13)</f>
        <v>-2.5303990036277075</v>
      </c>
    </row>
    <row r="221" spans="1:46" x14ac:dyDescent="0.2">
      <c r="A221">
        <f t="shared" si="18"/>
        <v>220</v>
      </c>
      <c r="B221" t="s">
        <v>262</v>
      </c>
      <c r="C221" t="str">
        <f>INDEX('Player Data'!$C:$C,AL221)</f>
        <v>PF,SF</v>
      </c>
      <c r="D221">
        <f t="shared" si="19"/>
        <v>64</v>
      </c>
      <c r="E221" t="str">
        <f>INDEX('Player Data'!$B:$B,AL221)</f>
        <v>MIL</v>
      </c>
      <c r="F221" s="2"/>
      <c r="G221" s="3">
        <f>Settings!$B$2*AB221+Settings!$B$3*AC221+Settings!$B$4*AD221+Settings!$B$5*AE221+Settings!$B$6*AF221+Settings!$B$7*AG221+Settings!$B$8*AH221+Settings!$B$9*AI221+Settings!$B$10*AJ221</f>
        <v>-5.3473975053790408</v>
      </c>
      <c r="H221" s="3">
        <f>G221-LARGE($G$2:$G$266,Settings!$F$4)</f>
        <v>-2.1311327389318757</v>
      </c>
      <c r="I221" t="str">
        <f>IF(INDEX('Player Data'!$R:$R,AL221)="","",INDEX('Player Data'!$R:$R,AL221))</f>
        <v/>
      </c>
      <c r="J221" s="4" t="str">
        <f t="shared" si="20"/>
        <v/>
      </c>
      <c r="L221" s="5">
        <f>IF(Settings!$F$7="Yes",INDEX('Minutes &amp; Health'!$O:$O,AL221),Settings!$F$8)</f>
        <v>74</v>
      </c>
      <c r="M221" s="6">
        <f>INDEX('Minutes &amp; Health'!$P:$P,AL221)</f>
        <v>21.5</v>
      </c>
      <c r="N221" s="5">
        <f>INDEX('Player Data'!$F:$F,AL221)/INDEX('Player Data'!$E:$E,AL221)*M221*L221*AM221</f>
        <v>579.6356783919598</v>
      </c>
      <c r="O221" s="5">
        <f>INDEX('Player Data'!$G:$G,AL221)/INDEX('Player Data'!$E:$E,AL221)*M221*L221*AM221</f>
        <v>338.78706030150755</v>
      </c>
      <c r="P221" s="5">
        <f>INDEX('Player Data'!$H:$H,AL221)/INDEX('Player Data'!$E:$E,AL221)*M221*L221*AM221</f>
        <v>85.945979899497488</v>
      </c>
      <c r="Q221" s="5">
        <f>INDEX('Player Data'!$I:$I,AL221)/INDEX('Player Data'!$E:$E,AL221)*M221*L221*AM221</f>
        <v>47.969849246231149</v>
      </c>
      <c r="R221" s="5">
        <f>INDEX('Player Data'!$J:$J,AL221)/INDEX('Player Data'!$E:$E,AL221)*M221*L221*AM221</f>
        <v>53.96608040201005</v>
      </c>
      <c r="S221" s="5">
        <f>INDEX('Player Data'!$K:$K,AL221)/INDEX('Player Data'!$E:$E,AL221)*M221*L221*AM221</f>
        <v>34.978015075376888</v>
      </c>
      <c r="T221" s="5">
        <f>INDEX('Player Data'!$L:$L,AL221)/INDEX('Player Data'!$E:$E,AL221)*M221*L221*AM221</f>
        <v>85.945979899497488</v>
      </c>
      <c r="U221" s="7">
        <f>INDEX('Player Data'!$M:$M,AL221)</f>
        <v>0.47499999999999998</v>
      </c>
      <c r="V221" s="7">
        <f>INDEX('Player Data'!$N:$N,AL221)</f>
        <v>0.71099999999999997</v>
      </c>
      <c r="W221" s="5">
        <f t="shared" si="21"/>
        <v>230.75246388190953</v>
      </c>
      <c r="X221" s="5">
        <f>INDEX('Player Data'!$O:$O,AL221)/INDEX('Player Data'!$E:$E,AL221)*M221*L221*AM221</f>
        <v>485.79466080402011</v>
      </c>
      <c r="Y221" s="5">
        <f t="shared" si="22"/>
        <v>83.205802198492449</v>
      </c>
      <c r="Z221" s="5">
        <f>INDEX('Player Data'!$P:$P,AL221)/INDEX('Player Data'!$E:$E,AL221)*M221*L221*AM221</f>
        <v>117.02644472361808</v>
      </c>
      <c r="AB221" s="3">
        <f>(N221-Pool!$D$2)/Pool!$E$2</f>
        <v>-1.6262439011839407</v>
      </c>
      <c r="AC221" s="3">
        <f>(O221-Pool!$D$3)/Pool!$E$3</f>
        <v>-0.52755776122179299</v>
      </c>
      <c r="AD221" s="3">
        <f>(P221-Pool!$D$4)/Pool!$E$4</f>
        <v>-1.312874300403069</v>
      </c>
      <c r="AE221" s="3">
        <f>(Q221-Pool!$D$5)/Pool!$E$5</f>
        <v>-1.158998521736929</v>
      </c>
      <c r="AF221" s="3">
        <f>(R221-Pool!$D$6)/Pool!$E$6</f>
        <v>0.10511199871432066</v>
      </c>
      <c r="AG221" s="3">
        <f>(S221-Pool!$D$7)/Pool!$E$7</f>
        <v>-1.2455392684713762</v>
      </c>
      <c r="AH221" s="3">
        <f>(AS221-Pool!$D$8)/Pool!$E$8</f>
        <v>-9.639900296455936E-2</v>
      </c>
      <c r="AI221" s="3">
        <f>(AT221-Pool!$D$9)/Pool!$E$9</f>
        <v>-0.46756067802039375</v>
      </c>
      <c r="AJ221" s="3">
        <f>-(T221-Pool!$D$10)/Pool!$E$10</f>
        <v>0.98266392990869766</v>
      </c>
      <c r="AL221">
        <f>MATCH(B221,'Player Data'!$A:$A,0)</f>
        <v>220</v>
      </c>
      <c r="AM221" s="3">
        <f>1+IF(Settings!$F$10="ON",IFERROR(VLOOKUP(TRIM(F221),Settings!$D$12:$F$17,3,FALSE),0),0)</f>
        <v>1</v>
      </c>
      <c r="AN221" t="str">
        <f t="shared" si="23"/>
        <v>PF</v>
      </c>
      <c r="AO221" s="6">
        <f>X221*(U221-Pool!$B$12)</f>
        <v>-2.7237387768600536</v>
      </c>
      <c r="AP221" s="6">
        <f>Z221*(V221-Pool!$B$13)</f>
        <v>-9.2567516651867727</v>
      </c>
      <c r="AQ221" s="3">
        <f>Settings!$B$2*(N221-Pool!$B$2)/Pool!$C$2+Settings!$B$3*(O221-Pool!$B$3)/Pool!$C$3+Settings!$B$4*(P221-Pool!$B$4)/Pool!$C$4+Settings!$B$5*(Q221-Pool!$B$5)/Pool!$C$5+Settings!$B$6*(R221-Pool!$B$6)/Pool!$C$6+Settings!$B$7*(S221-Pool!$B$7)/Pool!$C$7+Settings!$B$8*(AO221-Pool!$B$8)/Pool!$C$8+Settings!$B$9*(AP221-Pool!$B$9)/Pool!$C$9+Settings!$B$10*-(T221-Pool!$B$10)/Pool!$C$10</f>
        <v>-3.1902572685636135</v>
      </c>
      <c r="AR221">
        <f>IF(RANK(AQ221,$AQ$2:$AQ$266)&lt;=Settings!$F$5,1,0)</f>
        <v>0</v>
      </c>
      <c r="AS221" s="6">
        <f>X221*(U221-Pool!$D$12)</f>
        <v>-4.4079031014030958</v>
      </c>
      <c r="AT221" s="6">
        <f>Z221*(V221-Pool!$D$13)</f>
        <v>-10.431553641739207</v>
      </c>
    </row>
    <row r="222" spans="1:46" x14ac:dyDescent="0.2">
      <c r="A222">
        <f t="shared" si="18"/>
        <v>221</v>
      </c>
      <c r="B222" t="s">
        <v>263</v>
      </c>
      <c r="C222" t="str">
        <f>INDEX('Player Data'!$C:$C,AL222)</f>
        <v>PF</v>
      </c>
      <c r="D222">
        <f t="shared" si="19"/>
        <v>65</v>
      </c>
      <c r="E222" t="str">
        <f>INDEX('Player Data'!$B:$B,AL222)</f>
        <v>CHA</v>
      </c>
      <c r="F222" s="2"/>
      <c r="G222" s="3">
        <f>Settings!$B$2*AB222+Settings!$B$3*AC222+Settings!$B$4*AD222+Settings!$B$5*AE222+Settings!$B$6*AF222+Settings!$B$7*AG222+Settings!$B$8*AH222+Settings!$B$9*AI222+Settings!$B$10*AJ222</f>
        <v>-5.3507182117210608</v>
      </c>
      <c r="H222" s="3">
        <f>G222-LARGE($G$2:$G$266,Settings!$F$4)</f>
        <v>-2.1344534452738957</v>
      </c>
      <c r="I222" t="str">
        <f>IF(INDEX('Player Data'!$R:$R,AL222)="","",INDEX('Player Data'!$R:$R,AL222))</f>
        <v/>
      </c>
      <c r="J222" s="4" t="str">
        <f t="shared" si="20"/>
        <v/>
      </c>
      <c r="L222" s="5">
        <f>IF(Settings!$F$7="Yes",INDEX('Minutes &amp; Health'!$O:$O,AL222),Settings!$F$8)</f>
        <v>75</v>
      </c>
      <c r="M222" s="6">
        <f>INDEX('Minutes &amp; Health'!$P:$P,AL222)</f>
        <v>20.399999999999999</v>
      </c>
      <c r="N222" s="5">
        <f>INDEX('Player Data'!$F:$F,AL222)/INDEX('Player Data'!$E:$E,AL222)*M222*L222*AM222</f>
        <v>554.91193737769072</v>
      </c>
      <c r="O222" s="5">
        <f>INDEX('Player Data'!$G:$G,AL222)/INDEX('Player Data'!$E:$E,AL222)*M222*L222*AM222</f>
        <v>316.37964774951075</v>
      </c>
      <c r="P222" s="5">
        <f>INDEX('Player Data'!$H:$H,AL222)/INDEX('Player Data'!$E:$E,AL222)*M222*L222*AM222</f>
        <v>88.825831702544022</v>
      </c>
      <c r="Q222" s="5">
        <f>INDEX('Player Data'!$I:$I,AL222)/INDEX('Player Data'!$E:$E,AL222)*M222*L222*AM222</f>
        <v>41.917808219178077</v>
      </c>
      <c r="R222" s="5">
        <f>INDEX('Player Data'!$J:$J,AL222)/INDEX('Player Data'!$E:$E,AL222)*M222*L222*AM222</f>
        <v>54.892367906066532</v>
      </c>
      <c r="S222" s="5">
        <f>INDEX('Player Data'!$K:$K,AL222)/INDEX('Player Data'!$E:$E,AL222)*M222*L222*AM222</f>
        <v>30.939334637964773</v>
      </c>
      <c r="T222" s="5">
        <f>INDEX('Player Data'!$L:$L,AL222)/INDEX('Player Data'!$E:$E,AL222)*M222*L222*AM222</f>
        <v>69.863013698630127</v>
      </c>
      <c r="U222" s="7">
        <f>INDEX('Player Data'!$M:$M,AL222)</f>
        <v>0.48099999999999998</v>
      </c>
      <c r="V222" s="7">
        <f>INDEX('Player Data'!$N:$N,AL222)</f>
        <v>0.73099999999999998</v>
      </c>
      <c r="W222" s="5">
        <f t="shared" si="21"/>
        <v>221.45108219178081</v>
      </c>
      <c r="X222" s="5">
        <f>INDEX('Player Data'!$O:$O,AL222)/INDEX('Player Data'!$E:$E,AL222)*M222*L222*AM222</f>
        <v>460.39726027397262</v>
      </c>
      <c r="Y222" s="5">
        <f t="shared" si="22"/>
        <v>81.05516829745595</v>
      </c>
      <c r="Z222" s="5">
        <f>INDEX('Player Data'!$P:$P,AL222)/INDEX('Player Data'!$E:$E,AL222)*M222*L222*AM222</f>
        <v>110.88258317025438</v>
      </c>
      <c r="AB222" s="3">
        <f>(N222-Pool!$D$2)/Pool!$E$2</f>
        <v>-1.6871869623121771</v>
      </c>
      <c r="AC222" s="3">
        <f>(O222-Pool!$D$3)/Pool!$E$3</f>
        <v>-0.65798032272682727</v>
      </c>
      <c r="AD222" s="3">
        <f>(P222-Pool!$D$4)/Pool!$E$4</f>
        <v>-1.293396919132767</v>
      </c>
      <c r="AE222" s="3">
        <f>(Q222-Pool!$D$5)/Pool!$E$5</f>
        <v>-1.42618505237765</v>
      </c>
      <c r="AF222" s="3">
        <f>(R222-Pool!$D$6)/Pool!$E$6</f>
        <v>0.13191943136170708</v>
      </c>
      <c r="AG222" s="3">
        <f>(S222-Pool!$D$7)/Pool!$E$7</f>
        <v>-1.3024213032064851</v>
      </c>
      <c r="AH222" s="3">
        <f>(AS222-Pool!$D$8)/Pool!$E$8</f>
        <v>-3.0947075319115912E-2</v>
      </c>
      <c r="AI222" s="3">
        <f>(AT222-Pool!$D$9)/Pool!$E$9</f>
        <v>-0.34361478094369641</v>
      </c>
      <c r="AJ222" s="3">
        <f>-(T222-Pool!$D$10)/Pool!$E$10</f>
        <v>1.2590947729359507</v>
      </c>
      <c r="AL222">
        <f>MATCH(B222,'Player Data'!$A:$A,0)</f>
        <v>224</v>
      </c>
      <c r="AM222" s="3">
        <f>1+IF(Settings!$F$10="ON",IFERROR(VLOOKUP(TRIM(F222),Settings!$D$12:$F$17,3,FALSE),0),0)</f>
        <v>1</v>
      </c>
      <c r="AN222" t="str">
        <f t="shared" si="23"/>
        <v>PF</v>
      </c>
      <c r="AO222" s="6">
        <f>X222*(U222-Pool!$B$12)</f>
        <v>0.18104216012884516</v>
      </c>
      <c r="AP222" s="6">
        <f>Z222*(V222-Pool!$B$13)</f>
        <v>-6.5531226588051297</v>
      </c>
      <c r="AQ222" s="3">
        <f>Settings!$B$2*(N222-Pool!$B$2)/Pool!$C$2+Settings!$B$3*(O222-Pool!$B$3)/Pool!$C$3+Settings!$B$4*(P222-Pool!$B$4)/Pool!$C$4+Settings!$B$5*(Q222-Pool!$B$5)/Pool!$C$5+Settings!$B$6*(R222-Pool!$B$6)/Pool!$C$6+Settings!$B$7*(S222-Pool!$B$7)/Pool!$C$7+Settings!$B$8*(AO222-Pool!$B$8)/Pool!$C$8+Settings!$B$9*(AP222-Pool!$B$9)/Pool!$C$9+Settings!$B$10*-(T222-Pool!$B$10)/Pool!$C$10</f>
        <v>-3.1344579352179371</v>
      </c>
      <c r="AR222">
        <f>IF(RANK(AQ222,$AQ$2:$AQ$266)&lt;=Settings!$F$5,1,0)</f>
        <v>0</v>
      </c>
      <c r="AS222" s="6">
        <f>X222*(U222-Pool!$D$12)</f>
        <v>-1.415073860552553</v>
      </c>
      <c r="AT222" s="6">
        <f>Z222*(V222-Pool!$D$13)</f>
        <v>-7.6662478005737462</v>
      </c>
    </row>
    <row r="223" spans="1:46" x14ac:dyDescent="0.2">
      <c r="A223">
        <f t="shared" si="18"/>
        <v>222</v>
      </c>
      <c r="B223" t="s">
        <v>264</v>
      </c>
      <c r="C223" t="str">
        <f>INDEX('Player Data'!$C:$C,AL223)</f>
        <v>C</v>
      </c>
      <c r="D223">
        <f t="shared" si="19"/>
        <v>48</v>
      </c>
      <c r="E223" t="str">
        <f>INDEX('Player Data'!$B:$B,AL223)</f>
        <v>NYK</v>
      </c>
      <c r="F223" s="2"/>
      <c r="G223" s="3">
        <f>Settings!$B$2*AB223+Settings!$B$3*AC223+Settings!$B$4*AD223+Settings!$B$5*AE223+Settings!$B$6*AF223+Settings!$B$7*AG223+Settings!$B$8*AH223+Settings!$B$9*AI223+Settings!$B$10*AJ223</f>
        <v>-5.357085726437516</v>
      </c>
      <c r="H223" s="3">
        <f>G223-LARGE($G$2:$G$266,Settings!$F$4)</f>
        <v>-2.1408209599903509</v>
      </c>
      <c r="I223">
        <f>IF(INDEX('Player Data'!$R:$R,AL223)="","",INDEX('Player Data'!$R:$R,AL223))</f>
        <v>101</v>
      </c>
      <c r="J223" s="4">
        <f t="shared" si="20"/>
        <v>-121</v>
      </c>
      <c r="L223" s="5">
        <f>IF(Settings!$F$7="Yes",INDEX('Minutes &amp; Health'!$O:$O,AL223),Settings!$F$8)</f>
        <v>69</v>
      </c>
      <c r="M223" s="6">
        <f>INDEX('Minutes &amp; Health'!$P:$P,AL223)</f>
        <v>16.600000000000001</v>
      </c>
      <c r="N223" s="5">
        <f>INDEX('Player Data'!$F:$F,AL223)/INDEX('Player Data'!$E:$E,AL223)*M223*L223*AM223</f>
        <v>392.79424083769635</v>
      </c>
      <c r="O223" s="5">
        <f>INDEX('Player Data'!$G:$G,AL223)/INDEX('Player Data'!$E:$E,AL223)*M223*L223*AM223</f>
        <v>504.73560209424085</v>
      </c>
      <c r="P223" s="5">
        <f>INDEX('Player Data'!$H:$H,AL223)/INDEX('Player Data'!$E:$E,AL223)*M223*L223*AM223</f>
        <v>70.962827225130894</v>
      </c>
      <c r="Q223" s="5">
        <f>INDEX('Player Data'!$I:$I,AL223)/INDEX('Player Data'!$E:$E,AL223)*M223*L223*AM223</f>
        <v>40.978534031413616</v>
      </c>
      <c r="R223" s="5">
        <f>INDEX('Player Data'!$J:$J,AL223)/INDEX('Player Data'!$E:$E,AL223)*M223*L223*AM223</f>
        <v>37.980104712041893</v>
      </c>
      <c r="S223" s="5">
        <f>INDEX('Player Data'!$K:$K,AL223)/INDEX('Player Data'!$E:$E,AL223)*M223*L223*AM223</f>
        <v>23.987434554973827</v>
      </c>
      <c r="T223" s="5">
        <f>INDEX('Player Data'!$L:$L,AL223)/INDEX('Player Data'!$E:$E,AL223)*M223*L223*AM223</f>
        <v>59.968586387434556</v>
      </c>
      <c r="U223" s="7">
        <f>INDEX('Player Data'!$M:$M,AL223)</f>
        <v>0.50600000000000001</v>
      </c>
      <c r="V223" s="7">
        <f>INDEX('Player Data'!$N:$N,AL223)</f>
        <v>0.63300000000000001</v>
      </c>
      <c r="W223" s="5">
        <f t="shared" si="21"/>
        <v>157.08131539267021</v>
      </c>
      <c r="X223" s="5">
        <f>INDEX('Player Data'!$O:$O,AL223)/INDEX('Player Data'!$E:$E,AL223)*M223*L223*AM223</f>
        <v>310.43738219895295</v>
      </c>
      <c r="Y223" s="5">
        <f t="shared" si="22"/>
        <v>54.662565863874349</v>
      </c>
      <c r="Z223" s="5">
        <f>INDEX('Player Data'!$P:$P,AL223)/INDEX('Player Data'!$E:$E,AL223)*M223*L223*AM223</f>
        <v>86.354764397905768</v>
      </c>
      <c r="AB223" s="3">
        <f>(N223-Pool!$D$2)/Pool!$E$2</f>
        <v>-2.0868007863084586</v>
      </c>
      <c r="AC223" s="3">
        <f>(O223-Pool!$D$3)/Pool!$E$3</f>
        <v>0.43834733149739274</v>
      </c>
      <c r="AD223" s="3">
        <f>(P223-Pool!$D$4)/Pool!$E$4</f>
        <v>-1.4142102708724733</v>
      </c>
      <c r="AE223" s="3">
        <f>(Q223-Pool!$D$5)/Pool!$E$5</f>
        <v>-1.4676522880469642</v>
      </c>
      <c r="AF223" s="3">
        <f>(R223-Pool!$D$6)/Pool!$E$6</f>
        <v>-0.3575337400383492</v>
      </c>
      <c r="AG223" s="3">
        <f>(S223-Pool!$D$7)/Pool!$E$7</f>
        <v>-1.4003340319117759</v>
      </c>
      <c r="AH223" s="3">
        <f>(AS223-Pool!$D$8)/Pool!$E$8</f>
        <v>0.14886136063884614</v>
      </c>
      <c r="AI223" s="3">
        <f>(AT223-Pool!$D$9)/Pool!$E$9</f>
        <v>-0.64692153456317858</v>
      </c>
      <c r="AJ223" s="3">
        <f>-(T223-Pool!$D$10)/Pool!$E$10</f>
        <v>1.4291582331674446</v>
      </c>
      <c r="AL223">
        <f>MATCH(B223,'Player Data'!$A:$A,0)</f>
        <v>246</v>
      </c>
      <c r="AM223" s="3">
        <f>1+IF(Settings!$F$10="ON",IFERROR(VLOOKUP(TRIM(F223),Settings!$D$12:$F$17,3,FALSE),0),0)</f>
        <v>1</v>
      </c>
      <c r="AN223" t="str">
        <f t="shared" si="23"/>
        <v>C</v>
      </c>
      <c r="AO223" s="6">
        <f>X223*(U223-Pool!$B$12)</f>
        <v>7.8830079448645467</v>
      </c>
      <c r="AP223" s="6">
        <f>Z223*(V223-Pool!$B$13)</f>
        <v>-13.56630388760718</v>
      </c>
      <c r="AQ223" s="3">
        <f>Settings!$B$2*(N223-Pool!$B$2)/Pool!$C$2+Settings!$B$3*(O223-Pool!$B$3)/Pool!$C$3+Settings!$B$4*(P223-Pool!$B$4)/Pool!$C$4+Settings!$B$5*(Q223-Pool!$B$5)/Pool!$C$5+Settings!$B$6*(R223-Pool!$B$6)/Pool!$C$6+Settings!$B$7*(S223-Pool!$B$7)/Pool!$C$7+Settings!$B$8*(AO223-Pool!$B$8)/Pool!$C$8+Settings!$B$9*(AP223-Pool!$B$9)/Pool!$C$9+Settings!$B$10*-(T223-Pool!$B$10)/Pool!$C$10</f>
        <v>-3.1846556509913233</v>
      </c>
      <c r="AR223">
        <f>IF(RANK(AQ223,$AQ$2:$AQ$266)&lt;=Settings!$F$5,1,0)</f>
        <v>0</v>
      </c>
      <c r="AS223" s="6">
        <f>X223*(U223-Pool!$D$12)</f>
        <v>6.8067763468500733</v>
      </c>
      <c r="AT223" s="6">
        <f>Z223*(V223-Pool!$D$13)</f>
        <v>-14.433199811335989</v>
      </c>
    </row>
    <row r="224" spans="1:46" x14ac:dyDescent="0.2">
      <c r="A224">
        <f t="shared" si="18"/>
        <v>223</v>
      </c>
      <c r="B224" t="s">
        <v>265</v>
      </c>
      <c r="C224" t="str">
        <f>INDEX('Player Data'!$C:$C,AL224)</f>
        <v>PG</v>
      </c>
      <c r="D224">
        <f t="shared" si="19"/>
        <v>70</v>
      </c>
      <c r="E224" t="str">
        <f>INDEX('Player Data'!$B:$B,AL224)</f>
        <v>NYK</v>
      </c>
      <c r="F224" s="2"/>
      <c r="G224" s="3">
        <f>Settings!$B$2*AB224+Settings!$B$3*AC224+Settings!$B$4*AD224+Settings!$B$5*AE224+Settings!$B$6*AF224+Settings!$B$7*AG224+Settings!$B$8*AH224+Settings!$B$9*AI224+Settings!$B$10*AJ224</f>
        <v>-5.4277664283870983</v>
      </c>
      <c r="H224" s="3">
        <f>G224-LARGE($G$2:$G$266,Settings!$F$4)</f>
        <v>-2.2115016619399332</v>
      </c>
      <c r="I224" t="str">
        <f>IF(INDEX('Player Data'!$R:$R,AL224)="","",INDEX('Player Data'!$R:$R,AL224))</f>
        <v/>
      </c>
      <c r="J224" s="4" t="str">
        <f t="shared" si="20"/>
        <v/>
      </c>
      <c r="L224" s="5">
        <f>IF(Settings!$F$7="Yes",INDEX('Minutes &amp; Health'!$O:$O,AL224),Settings!$F$8)</f>
        <v>72</v>
      </c>
      <c r="M224" s="6">
        <f>INDEX('Minutes &amp; Health'!$P:$P,AL224)</f>
        <v>17.600000000000001</v>
      </c>
      <c r="N224" s="5">
        <f>INDEX('Player Data'!$F:$F,AL224)/INDEX('Player Data'!$E:$E,AL224)*M224*L224*AM224</f>
        <v>496.68643533123031</v>
      </c>
      <c r="O224" s="5">
        <f>INDEX('Player Data'!$G:$G,AL224)/INDEX('Player Data'!$E:$E,AL224)*M224*L224*AM224</f>
        <v>154.90220820189276</v>
      </c>
      <c r="P224" s="5">
        <f>INDEX('Player Data'!$H:$H,AL224)/INDEX('Player Data'!$E:$E,AL224)*M224*L224*AM224</f>
        <v>216.86309148264985</v>
      </c>
      <c r="Q224" s="5">
        <f>INDEX('Player Data'!$I:$I,AL224)/INDEX('Player Data'!$E:$E,AL224)*M224*L224*AM224</f>
        <v>61.960883280757102</v>
      </c>
      <c r="R224" s="5">
        <f>INDEX('Player Data'!$J:$J,AL224)/INDEX('Player Data'!$E:$E,AL224)*M224*L224*AM224</f>
        <v>7.9949526813880132</v>
      </c>
      <c r="S224" s="5">
        <f>INDEX('Player Data'!$K:$K,AL224)/INDEX('Player Data'!$E:$E,AL224)*M224*L224*AM224</f>
        <v>98.937539432176663</v>
      </c>
      <c r="T224" s="5">
        <f>INDEX('Player Data'!$L:$L,AL224)/INDEX('Player Data'!$E:$E,AL224)*M224*L224*AM224</f>
        <v>71.954574132492112</v>
      </c>
      <c r="U224" s="7">
        <f>INDEX('Player Data'!$M:$M,AL224)</f>
        <v>0.41599999999999998</v>
      </c>
      <c r="V224" s="7">
        <f>INDEX('Player Data'!$N:$N,AL224)</f>
        <v>0.77900000000000003</v>
      </c>
      <c r="W224" s="5">
        <f t="shared" si="21"/>
        <v>174.36032403785489</v>
      </c>
      <c r="X224" s="5">
        <f>INDEX('Player Data'!$O:$O,AL224)/INDEX('Player Data'!$E:$E,AL224)*M224*L224*AM224</f>
        <v>419.13539432176657</v>
      </c>
      <c r="Y224" s="5">
        <f t="shared" si="22"/>
        <v>48.968185741324923</v>
      </c>
      <c r="Z224" s="5">
        <f>INDEX('Player Data'!$P:$P,AL224)/INDEX('Player Data'!$E:$E,AL224)*M224*L224*AM224</f>
        <v>62.86031545741325</v>
      </c>
      <c r="AB224" s="3">
        <f>(N224-Pool!$D$2)/Pool!$E$2</f>
        <v>-1.8307105629028704</v>
      </c>
      <c r="AC224" s="3">
        <f>(O224-Pool!$D$3)/Pool!$E$3</f>
        <v>-1.5978613215794999</v>
      </c>
      <c r="AD224" s="3">
        <f>(P224-Pool!$D$4)/Pool!$E$4</f>
        <v>-0.42743898237238781</v>
      </c>
      <c r="AE224" s="3">
        <f>(Q224-Pool!$D$5)/Pool!$E$5</f>
        <v>-0.54131998534711667</v>
      </c>
      <c r="AF224" s="3">
        <f>(R224-Pool!$D$6)/Pool!$E$6</f>
        <v>-1.2253258023982674</v>
      </c>
      <c r="AG224" s="3">
        <f>(S224-Pool!$D$7)/Pool!$E$7</f>
        <v>-0.34471338177761141</v>
      </c>
      <c r="AH224" s="3">
        <f>(AS224-Pool!$D$8)/Pool!$E$8</f>
        <v>-0.62398408751339651</v>
      </c>
      <c r="AI224" s="3">
        <f>(AT224-Pool!$D$9)/Pool!$E$9</f>
        <v>-5.9557750252205853E-2</v>
      </c>
      <c r="AJ224" s="3">
        <f>-(T224-Pool!$D$10)/Pool!$E$10</f>
        <v>1.2231454457562583</v>
      </c>
      <c r="AL224">
        <f>MATCH(B224,'Player Data'!$A:$A,0)</f>
        <v>229</v>
      </c>
      <c r="AM224" s="3">
        <f>1+IF(Settings!$F$10="ON",IFERROR(VLOOKUP(TRIM(F224),Settings!$D$12:$F$17,3,FALSE),0),0)</f>
        <v>1</v>
      </c>
      <c r="AN224" t="str">
        <f t="shared" si="23"/>
        <v>PG</v>
      </c>
      <c r="AO224" s="6">
        <f>X224*(U224-Pool!$B$12)</f>
        <v>-27.078983887371844</v>
      </c>
      <c r="AP224" s="6">
        <f>Z224*(V224-Pool!$B$13)</f>
        <v>-0.69772795532458964</v>
      </c>
      <c r="AQ224" s="3">
        <f>Settings!$B$2*(N224-Pool!$B$2)/Pool!$C$2+Settings!$B$3*(O224-Pool!$B$3)/Pool!$C$3+Settings!$B$4*(P224-Pool!$B$4)/Pool!$C$4+Settings!$B$5*(Q224-Pool!$B$5)/Pool!$C$5+Settings!$B$6*(R224-Pool!$B$6)/Pool!$C$6+Settings!$B$7*(S224-Pool!$B$7)/Pool!$C$7+Settings!$B$8*(AO224-Pool!$B$8)/Pool!$C$8+Settings!$B$9*(AP224-Pool!$B$9)/Pool!$C$9+Settings!$B$10*-(T224-Pool!$B$10)/Pool!$C$10</f>
        <v>-3.4707558549580368</v>
      </c>
      <c r="AR224">
        <f>IF(RANK(AQ224,$AQ$2:$AQ$266)&lt;=Settings!$F$5,1,0)</f>
        <v>0</v>
      </c>
      <c r="AS224" s="6">
        <f>X224*(U224-Pool!$D$12)</f>
        <v>-28.532052303359997</v>
      </c>
      <c r="AT224" s="6">
        <f>Z224*(V224-Pool!$D$13)</f>
        <v>-1.3287684267367288</v>
      </c>
    </row>
    <row r="225" spans="1:46" x14ac:dyDescent="0.2">
      <c r="A225">
        <f t="shared" si="18"/>
        <v>224</v>
      </c>
      <c r="B225" t="s">
        <v>266</v>
      </c>
      <c r="C225" t="str">
        <f>INDEX('Player Data'!$C:$C,AL225)</f>
        <v>C</v>
      </c>
      <c r="D225">
        <f t="shared" si="19"/>
        <v>49</v>
      </c>
      <c r="E225" t="str">
        <f>INDEX('Player Data'!$B:$B,AL225)</f>
        <v>ORL</v>
      </c>
      <c r="F225" s="2"/>
      <c r="G225" s="3">
        <f>Settings!$B$2*AB225+Settings!$B$3*AC225+Settings!$B$4*AD225+Settings!$B$5*AE225+Settings!$B$6*AF225+Settings!$B$7*AG225+Settings!$B$8*AH225+Settings!$B$9*AI225+Settings!$B$10*AJ225</f>
        <v>-5.4383986049436999</v>
      </c>
      <c r="H225" s="3">
        <f>G225-LARGE($G$2:$G$266,Settings!$F$4)</f>
        <v>-2.2221338384965348</v>
      </c>
      <c r="I225" t="str">
        <f>IF(INDEX('Player Data'!$R:$R,AL225)="","",INDEX('Player Data'!$R:$R,AL225))</f>
        <v/>
      </c>
      <c r="J225" s="4" t="str">
        <f t="shared" si="20"/>
        <v/>
      </c>
      <c r="L225" s="5">
        <f>IF(Settings!$F$7="Yes",INDEX('Minutes &amp; Health'!$O:$O,AL225),Settings!$F$8)</f>
        <v>72</v>
      </c>
      <c r="M225" s="6">
        <f>INDEX('Minutes &amp; Health'!$P:$P,AL225)</f>
        <v>12.9</v>
      </c>
      <c r="N225" s="5">
        <f>INDEX('Player Data'!$F:$F,AL225)/INDEX('Player Data'!$E:$E,AL225)*M225*L225*AM225</f>
        <v>334.56774193548392</v>
      </c>
      <c r="O225" s="5">
        <f>INDEX('Player Data'!$G:$G,AL225)/INDEX('Player Data'!$E:$E,AL225)*M225*L225*AM225</f>
        <v>299.61290322580646</v>
      </c>
      <c r="P225" s="5">
        <f>INDEX('Player Data'!$H:$H,AL225)/INDEX('Player Data'!$E:$E,AL225)*M225*L225*AM225</f>
        <v>81.894193548387094</v>
      </c>
      <c r="Q225" s="5">
        <f>INDEX('Player Data'!$I:$I,AL225)/INDEX('Player Data'!$E:$E,AL225)*M225*L225*AM225</f>
        <v>34.954838709677425</v>
      </c>
      <c r="R225" s="5">
        <f>INDEX('Player Data'!$J:$J,AL225)/INDEX('Player Data'!$E:$E,AL225)*M225*L225*AM225</f>
        <v>60.921290322580646</v>
      </c>
      <c r="S225" s="5">
        <f>INDEX('Player Data'!$K:$K,AL225)/INDEX('Player Data'!$E:$E,AL225)*M225*L225*AM225</f>
        <v>0.9987096774193549</v>
      </c>
      <c r="T225" s="5">
        <f>INDEX('Player Data'!$L:$L,AL225)/INDEX('Player Data'!$E:$E,AL225)*M225*L225*AM225</f>
        <v>41.945806451612896</v>
      </c>
      <c r="U225" s="7">
        <f>INDEX('Player Data'!$M:$M,AL225)</f>
        <v>0.63500000000000001</v>
      </c>
      <c r="V225" s="7">
        <f>INDEX('Player Data'!$N:$N,AL225)</f>
        <v>0.68799999999999994</v>
      </c>
      <c r="W225" s="5">
        <f t="shared" si="21"/>
        <v>138.18796258064518</v>
      </c>
      <c r="X225" s="5">
        <f>INDEX('Player Data'!$O:$O,AL225)/INDEX('Player Data'!$E:$E,AL225)*M225*L225*AM225</f>
        <v>217.61883870967745</v>
      </c>
      <c r="Y225" s="5">
        <f t="shared" si="22"/>
        <v>57.236451096774189</v>
      </c>
      <c r="Z225" s="5">
        <f>INDEX('Player Data'!$P:$P,AL225)/INDEX('Player Data'!$E:$E,AL225)*M225*L225*AM225</f>
        <v>83.192516129032256</v>
      </c>
      <c r="AB225" s="3">
        <f>(N225-Pool!$D$2)/Pool!$E$2</f>
        <v>-2.2303268441098547</v>
      </c>
      <c r="AC225" s="3">
        <f>(O225-Pool!$D$3)/Pool!$E$3</f>
        <v>-0.75557132141119565</v>
      </c>
      <c r="AD225" s="3">
        <f>(P225-Pool!$D$4)/Pool!$E$4</f>
        <v>-1.3402778589830271</v>
      </c>
      <c r="AE225" s="3">
        <f>(Q225-Pool!$D$5)/Pool!$E$5</f>
        <v>-1.7335874076961986</v>
      </c>
      <c r="AF225" s="3">
        <f>(R225-Pool!$D$6)/Pool!$E$6</f>
        <v>0.30640082176073496</v>
      </c>
      <c r="AG225" s="3">
        <f>(S225-Pool!$D$7)/Pool!$E$7</f>
        <v>-1.7241144020761514</v>
      </c>
      <c r="AH225" s="3">
        <f>(AS225-Pool!$D$8)/Pool!$E$8</f>
        <v>0.7182939764002414</v>
      </c>
      <c r="AI225" s="3">
        <f>(AT225-Pool!$D$9)/Pool!$E$9</f>
        <v>-0.41814577994620211</v>
      </c>
      <c r="AJ225" s="3">
        <f>-(T225-Pool!$D$10)/Pool!$E$10</f>
        <v>1.7389302111179521</v>
      </c>
      <c r="AL225">
        <f>MATCH(B225,'Player Data'!$A:$A,0)</f>
        <v>256</v>
      </c>
      <c r="AM225" s="3">
        <f>1+IF(Settings!$F$10="ON",IFERROR(VLOOKUP(TRIM(F225),Settings!$D$12:$F$17,3,FALSE),0),0)</f>
        <v>1</v>
      </c>
      <c r="AN225" t="str">
        <f t="shared" si="23"/>
        <v>C</v>
      </c>
      <c r="AO225" s="6">
        <f>X225*(U225-Pool!$B$12)</f>
        <v>33.59887548599697</v>
      </c>
      <c r="AP225" s="6">
        <f>Z225*(V225-Pool!$B$13)</f>
        <v>-8.4939273813752241</v>
      </c>
      <c r="AQ225" s="3">
        <f>Settings!$B$2*(N225-Pool!$B$2)/Pool!$C$2+Settings!$B$3*(O225-Pool!$B$3)/Pool!$C$3+Settings!$B$4*(P225-Pool!$B$4)/Pool!$C$4+Settings!$B$5*(Q225-Pool!$B$5)/Pool!$C$5+Settings!$B$6*(R225-Pool!$B$6)/Pool!$C$6+Settings!$B$7*(S225-Pool!$B$7)/Pool!$C$7+Settings!$B$8*(AO225-Pool!$B$8)/Pool!$C$8+Settings!$B$9*(AP225-Pool!$B$9)/Pool!$C$9+Settings!$B$10*-(T225-Pool!$B$10)/Pool!$C$10</f>
        <v>-3.0505486863811475</v>
      </c>
      <c r="AR225">
        <f>IF(RANK(AQ225,$AQ$2:$AQ$266)&lt;=Settings!$F$5,1,0)</f>
        <v>0</v>
      </c>
      <c r="AS225" s="6">
        <f>X225*(U225-Pool!$D$12)</f>
        <v>32.844429391639459</v>
      </c>
      <c r="AT225" s="6">
        <f>Z225*(V225-Pool!$D$13)</f>
        <v>-9.329078210861482</v>
      </c>
    </row>
    <row r="226" spans="1:46" x14ac:dyDescent="0.2">
      <c r="A226">
        <f t="shared" si="18"/>
        <v>225</v>
      </c>
      <c r="B226" t="s">
        <v>267</v>
      </c>
      <c r="C226" t="str">
        <f>INDEX('Player Data'!$C:$C,AL226)</f>
        <v>SF,PF</v>
      </c>
      <c r="D226">
        <f t="shared" si="19"/>
        <v>27</v>
      </c>
      <c r="E226" t="str">
        <f>INDEX('Player Data'!$B:$B,AL226)</f>
        <v>ORL</v>
      </c>
      <c r="F226" s="2"/>
      <c r="G226" s="3">
        <f>Settings!$B$2*AB226+Settings!$B$3*AC226+Settings!$B$4*AD226+Settings!$B$5*AE226+Settings!$B$6*AF226+Settings!$B$7*AG226+Settings!$B$8*AH226+Settings!$B$9*AI226+Settings!$B$10*AJ226</f>
        <v>-5.4475790878848862</v>
      </c>
      <c r="H226" s="3">
        <f>G226-LARGE($G$2:$G$266,Settings!$F$4)</f>
        <v>-2.2313143214377211</v>
      </c>
      <c r="I226" t="str">
        <f>IF(INDEX('Player Data'!$R:$R,AL226)="","",INDEX('Player Data'!$R:$R,AL226))</f>
        <v/>
      </c>
      <c r="J226" s="4" t="str">
        <f t="shared" si="20"/>
        <v/>
      </c>
      <c r="L226" s="5">
        <f>IF(Settings!$F$7="Yes",INDEX('Minutes &amp; Health'!$O:$O,AL226),Settings!$F$8)</f>
        <v>78</v>
      </c>
      <c r="M226" s="6">
        <f>INDEX('Minutes &amp; Health'!$P:$P,AL226)</f>
        <v>19.100000000000001</v>
      </c>
      <c r="N226" s="5">
        <f>INDEX('Player Data'!$F:$F,AL226)/INDEX('Player Data'!$E:$E,AL226)*M226*L226*AM226</f>
        <v>549.03187626092813</v>
      </c>
      <c r="O226" s="5">
        <f>INDEX('Player Data'!$G:$G,AL226)/INDEX('Player Data'!$E:$E,AL226)*M226*L226*AM226</f>
        <v>224.42178883658374</v>
      </c>
      <c r="P226" s="5">
        <f>INDEX('Player Data'!$H:$H,AL226)/INDEX('Player Data'!$E:$E,AL226)*M226*L226*AM226</f>
        <v>95.17888365837257</v>
      </c>
      <c r="Q226" s="5">
        <f>INDEX('Player Data'!$I:$I,AL226)/INDEX('Player Data'!$E:$E,AL226)*M226*L226*AM226</f>
        <v>45.08473436449227</v>
      </c>
      <c r="R226" s="5">
        <f>INDEX('Player Data'!$J:$J,AL226)/INDEX('Player Data'!$E:$E,AL226)*M226*L226*AM226</f>
        <v>20.03765971755212</v>
      </c>
      <c r="S226" s="5">
        <f>INDEX('Player Data'!$K:$K,AL226)/INDEX('Player Data'!$E:$E,AL226)*M226*L226*AM226</f>
        <v>85.160053799596511</v>
      </c>
      <c r="T226" s="5">
        <f>INDEX('Player Data'!$L:$L,AL226)/INDEX('Player Data'!$E:$E,AL226)*M226*L226*AM226</f>
        <v>54.101681237390721</v>
      </c>
      <c r="U226" s="7">
        <f>INDEX('Player Data'!$M:$M,AL226)</f>
        <v>0.443</v>
      </c>
      <c r="V226" s="7">
        <f>INDEX('Player Data'!$N:$N,AL226)</f>
        <v>0.877</v>
      </c>
      <c r="W226" s="5">
        <f t="shared" si="21"/>
        <v>197.55058583725625</v>
      </c>
      <c r="X226" s="5">
        <f>INDEX('Player Data'!$O:$O,AL226)/INDEX('Player Data'!$E:$E,AL226)*M226*L226*AM226</f>
        <v>445.93811701412244</v>
      </c>
      <c r="Y226" s="5">
        <f t="shared" si="22"/>
        <v>68.798402945527911</v>
      </c>
      <c r="Z226" s="5">
        <f>INDEX('Player Data'!$P:$P,AL226)/INDEX('Player Data'!$E:$E,AL226)*M226*L226*AM226</f>
        <v>78.44743779421654</v>
      </c>
      <c r="AB226" s="3">
        <f>(N226-Pool!$D$2)/Pool!$E$2</f>
        <v>-1.7016810845354204</v>
      </c>
      <c r="AC226" s="3">
        <f>(O226-Pool!$D$3)/Pool!$E$3</f>
        <v>-1.19322193003475</v>
      </c>
      <c r="AD226" s="3">
        <f>(P226-Pool!$D$4)/Pool!$E$4</f>
        <v>-1.2504291473040887</v>
      </c>
      <c r="AE226" s="3">
        <f>(Q226-Pool!$D$5)/Pool!$E$5</f>
        <v>-1.2863710613984922</v>
      </c>
      <c r="AF226" s="3">
        <f>(R226-Pool!$D$6)/Pool!$E$6</f>
        <v>-0.87680112042815384</v>
      </c>
      <c r="AG226" s="3">
        <f>(S226-Pool!$D$7)/Pool!$E$7</f>
        <v>-0.53875978590882267</v>
      </c>
      <c r="AH226" s="3">
        <f>(AS226-Pool!$D$8)/Pool!$E$8</f>
        <v>-0.40056942381344257</v>
      </c>
      <c r="AI226" s="3">
        <f>(AT226-Pool!$D$9)/Pool!$E$9</f>
        <v>0.27025702669620016</v>
      </c>
      <c r="AJ226" s="3">
        <f>-(T226-Pool!$D$10)/Pool!$E$10</f>
        <v>1.5299974388420847</v>
      </c>
      <c r="AL226">
        <f>MATCH(B226,'Player Data'!$A:$A,0)</f>
        <v>226</v>
      </c>
      <c r="AM226" s="3">
        <f>1+IF(Settings!$F$10="ON",IFERROR(VLOOKUP(TRIM(F226),Settings!$D$12:$F$17,3,FALSE),0),0)</f>
        <v>1</v>
      </c>
      <c r="AN226" t="str">
        <f t="shared" si="23"/>
        <v>SF</v>
      </c>
      <c r="AO226" s="6">
        <f>X226*(U226-Pool!$B$12)</f>
        <v>-16.770292059880511</v>
      </c>
      <c r="AP226" s="6">
        <f>Z226*(V226-Pool!$B$13)</f>
        <v>6.8171092332743974</v>
      </c>
      <c r="AQ226" s="3">
        <f>Settings!$B$2*(N226-Pool!$B$2)/Pool!$C$2+Settings!$B$3*(O226-Pool!$B$3)/Pool!$C$3+Settings!$B$4*(P226-Pool!$B$4)/Pool!$C$4+Settings!$B$5*(Q226-Pool!$B$5)/Pool!$C$5+Settings!$B$6*(R226-Pool!$B$6)/Pool!$C$6+Settings!$B$7*(S226-Pool!$B$7)/Pool!$C$7+Settings!$B$8*(AO226-Pool!$B$8)/Pool!$C$8+Settings!$B$9*(AP226-Pool!$B$9)/Pool!$C$9+Settings!$B$10*-(T226-Pool!$B$10)/Pool!$C$10</f>
        <v>-3.3059250306005845</v>
      </c>
      <c r="AR226">
        <f>IF(RANK(AQ226,$AQ$2:$AQ$266)&lt;=Settings!$F$5,1,0)</f>
        <v>0</v>
      </c>
      <c r="AS226" s="6">
        <f>X226*(U226-Pool!$D$12)</f>
        <v>-18.316280783564874</v>
      </c>
      <c r="AT226" s="6">
        <f>Z226*(V226-Pool!$D$13)</f>
        <v>6.0295931706120225</v>
      </c>
    </row>
    <row r="227" spans="1:46" x14ac:dyDescent="0.2">
      <c r="A227">
        <f t="shared" si="18"/>
        <v>226</v>
      </c>
      <c r="B227" t="s">
        <v>268</v>
      </c>
      <c r="C227" t="str">
        <f>INDEX('Player Data'!$C:$C,AL227)</f>
        <v>PG,SG</v>
      </c>
      <c r="D227">
        <f t="shared" si="19"/>
        <v>71</v>
      </c>
      <c r="E227" t="str">
        <f>INDEX('Player Data'!$B:$B,AL227)</f>
        <v>POR</v>
      </c>
      <c r="F227" s="2"/>
      <c r="G227" s="3">
        <f>Settings!$B$2*AB227+Settings!$B$3*AC227+Settings!$B$4*AD227+Settings!$B$5*AE227+Settings!$B$6*AF227+Settings!$B$7*AG227+Settings!$B$8*AH227+Settings!$B$9*AI227+Settings!$B$10*AJ227</f>
        <v>-5.4664725630083506</v>
      </c>
      <c r="H227" s="3">
        <f>G227-LARGE($G$2:$G$266,Settings!$F$4)</f>
        <v>-2.2502077965611855</v>
      </c>
      <c r="I227" t="str">
        <f>IF(INDEX('Player Data'!$R:$R,AL227)="","",INDEX('Player Data'!$R:$R,AL227))</f>
        <v/>
      </c>
      <c r="J227" s="4" t="str">
        <f t="shared" si="20"/>
        <v/>
      </c>
      <c r="L227" s="5">
        <f>IF(Settings!$F$7="Yes",INDEX('Minutes &amp; Health'!$O:$O,AL227),Settings!$F$8)</f>
        <v>72</v>
      </c>
      <c r="M227" s="6">
        <f>INDEX('Minutes &amp; Health'!$P:$P,AL227)</f>
        <v>23.6</v>
      </c>
      <c r="N227" s="5">
        <f>INDEX('Player Data'!$F:$F,AL227)/INDEX('Player Data'!$E:$E,AL227)*M227*L227*AM227</f>
        <v>849.6</v>
      </c>
      <c r="O227" s="5">
        <f>INDEX('Player Data'!$G:$G,AL227)/INDEX('Player Data'!$E:$E,AL227)*M227*L227*AM227</f>
        <v>179.33773584905663</v>
      </c>
      <c r="P227" s="5">
        <f>INDEX('Player Data'!$H:$H,AL227)/INDEX('Player Data'!$E:$E,AL227)*M227*L227*AM227</f>
        <v>267.50377358490567</v>
      </c>
      <c r="Q227" s="5">
        <f>INDEX('Player Data'!$I:$I,AL227)/INDEX('Player Data'!$E:$E,AL227)*M227*L227*AM227</f>
        <v>62.116981132075473</v>
      </c>
      <c r="R227" s="5">
        <f>INDEX('Player Data'!$J:$J,AL227)/INDEX('Player Data'!$E:$E,AL227)*M227*L227*AM227</f>
        <v>18.033962264150944</v>
      </c>
      <c r="S227" s="5">
        <f>INDEX('Player Data'!$K:$K,AL227)/INDEX('Player Data'!$E:$E,AL227)*M227*L227*AM227</f>
        <v>109.2056603773585</v>
      </c>
      <c r="T227" s="5">
        <f>INDEX('Player Data'!$L:$L,AL227)/INDEX('Player Data'!$E:$E,AL227)*M227*L227*AM227</f>
        <v>162.30566037735852</v>
      </c>
      <c r="U227" s="7">
        <f>INDEX('Player Data'!$M:$M,AL227)</f>
        <v>0.41799999999999998</v>
      </c>
      <c r="V227" s="7">
        <f>INDEX('Player Data'!$N:$N,AL227)</f>
        <v>0.80500000000000005</v>
      </c>
      <c r="W227" s="5">
        <f t="shared" si="21"/>
        <v>291.72819396226419</v>
      </c>
      <c r="X227" s="5">
        <f>INDEX('Player Data'!$O:$O,AL227)/INDEX('Player Data'!$E:$E,AL227)*M227*L227*AM227</f>
        <v>697.91433962264159</v>
      </c>
      <c r="Y227" s="5">
        <f t="shared" si="22"/>
        <v>156.94857169811323</v>
      </c>
      <c r="Z227" s="5">
        <f>INDEX('Player Data'!$P:$P,AL227)/INDEX('Player Data'!$E:$E,AL227)*M227*L227*AM227</f>
        <v>194.96716981132076</v>
      </c>
      <c r="AB227" s="3">
        <f>(N227-Pool!$D$2)/Pool!$E$2</f>
        <v>-0.96079233603826475</v>
      </c>
      <c r="AC227" s="3">
        <f>(O227-Pool!$D$3)/Pool!$E$3</f>
        <v>-1.4556340965451575</v>
      </c>
      <c r="AD227" s="3">
        <f>(P227-Pool!$D$4)/Pool!$E$4</f>
        <v>-8.4939457900204018E-2</v>
      </c>
      <c r="AE227" s="3">
        <f>(Q227-Pool!$D$5)/Pool!$E$5</f>
        <v>-0.53442855101152775</v>
      </c>
      <c r="AF227" s="3">
        <f>(R227-Pool!$D$6)/Pool!$E$6</f>
        <v>-0.93478957897106041</v>
      </c>
      <c r="AG227" s="3">
        <f>(S227-Pool!$D$7)/Pool!$E$7</f>
        <v>-0.20009396429223314</v>
      </c>
      <c r="AH227" s="3">
        <f>(AS227-Pool!$D$8)/Pool!$E$8</f>
        <v>-1.0084875696512965</v>
      </c>
      <c r="AI227" s="3">
        <f>(AT227-Pool!$D$9)/Pool!$E$9</f>
        <v>4.2484151191785009E-2</v>
      </c>
      <c r="AJ227" s="3">
        <f>-(T227-Pool!$D$10)/Pool!$E$10</f>
        <v>-0.32979115979039186</v>
      </c>
      <c r="AL227">
        <f>MATCH(B227,'Player Data'!$A:$A,0)</f>
        <v>142</v>
      </c>
      <c r="AM227" s="3">
        <f>1+IF(Settings!$F$10="ON",IFERROR(VLOOKUP(TRIM(F227),Settings!$D$12:$F$17,3,FALSE),0),0)</f>
        <v>1</v>
      </c>
      <c r="AN227" t="str">
        <f t="shared" si="23"/>
        <v>PG</v>
      </c>
      <c r="AO227" s="6">
        <f>X227*(U227-Pool!$B$12)</f>
        <v>-43.694162319937242</v>
      </c>
      <c r="AP227" s="6">
        <f>Z227*(V227-Pool!$B$13)</f>
        <v>2.9050776579142195</v>
      </c>
      <c r="AQ227" s="3">
        <f>Settings!$B$2*(N227-Pool!$B$2)/Pool!$C$2+Settings!$B$3*(O227-Pool!$B$3)/Pool!$C$3+Settings!$B$4*(P227-Pool!$B$4)/Pool!$C$4+Settings!$B$5*(Q227-Pool!$B$5)/Pool!$C$5+Settings!$B$6*(R227-Pool!$B$6)/Pool!$C$6+Settings!$B$7*(S227-Pool!$B$7)/Pool!$C$7+Settings!$B$8*(AO227-Pool!$B$8)/Pool!$C$8+Settings!$B$9*(AP227-Pool!$B$9)/Pool!$C$9+Settings!$B$10*-(T227-Pool!$B$10)/Pool!$C$10</f>
        <v>-3.4785286289105808</v>
      </c>
      <c r="AR227">
        <f>IF(RANK(AQ227,$AQ$2:$AQ$266)&lt;=Settings!$F$5,1,0)</f>
        <v>0</v>
      </c>
      <c r="AS227" s="6">
        <f>X227*(U227-Pool!$D$12)</f>
        <v>-46.113708122342942</v>
      </c>
      <c r="AT227" s="6">
        <f>Z227*(V227-Pool!$D$13)</f>
        <v>0.94784639280899474</v>
      </c>
    </row>
    <row r="228" spans="1:46" x14ac:dyDescent="0.2">
      <c r="A228">
        <f t="shared" si="18"/>
        <v>227</v>
      </c>
      <c r="B228" t="s">
        <v>269</v>
      </c>
      <c r="C228" t="str">
        <f>INDEX('Player Data'!$C:$C,AL228)</f>
        <v>SF,PF</v>
      </c>
      <c r="D228">
        <f t="shared" si="19"/>
        <v>28</v>
      </c>
      <c r="E228" t="str">
        <f>INDEX('Player Data'!$B:$B,AL228)</f>
        <v>GSW</v>
      </c>
      <c r="F228" s="2"/>
      <c r="G228" s="3">
        <f>Settings!$B$2*AB228+Settings!$B$3*AC228+Settings!$B$4*AD228+Settings!$B$5*AE228+Settings!$B$6*AF228+Settings!$B$7*AG228+Settings!$B$8*AH228+Settings!$B$9*AI228+Settings!$B$10*AJ228</f>
        <v>-5.5001728901820428</v>
      </c>
      <c r="H228" s="3">
        <f>G228-LARGE($G$2:$G$266,Settings!$F$4)</f>
        <v>-2.2839081237348777</v>
      </c>
      <c r="I228" t="str">
        <f>IF(INDEX('Player Data'!$R:$R,AL228)="","",INDEX('Player Data'!$R:$R,AL228))</f>
        <v/>
      </c>
      <c r="J228" s="4" t="str">
        <f t="shared" si="20"/>
        <v/>
      </c>
      <c r="L228" s="5">
        <f>IF(Settings!$F$7="Yes",INDEX('Minutes &amp; Health'!$O:$O,AL228),Settings!$F$8)</f>
        <v>73</v>
      </c>
      <c r="M228" s="6">
        <f>INDEX('Minutes &amp; Health'!$P:$P,AL228)</f>
        <v>19.399999999999999</v>
      </c>
      <c r="N228" s="5">
        <f>INDEX('Player Data'!$F:$F,AL228)/INDEX('Player Data'!$E:$E,AL228)*M228*L228*AM228</f>
        <v>489.37799717912554</v>
      </c>
      <c r="O228" s="5">
        <f>INDEX('Player Data'!$G:$G,AL228)/INDEX('Player Data'!$E:$E,AL228)*M228*L228*AM228</f>
        <v>303.61410437235543</v>
      </c>
      <c r="P228" s="5">
        <f>INDEX('Player Data'!$H:$H,AL228)/INDEX('Player Data'!$E:$E,AL228)*M228*L228*AM228</f>
        <v>146.81339915373766</v>
      </c>
      <c r="Q228" s="5">
        <f>INDEX('Player Data'!$I:$I,AL228)/INDEX('Player Data'!$E:$E,AL228)*M228*L228*AM228</f>
        <v>52.932722143864588</v>
      </c>
      <c r="R228" s="5">
        <f>INDEX('Player Data'!$J:$J,AL228)/INDEX('Player Data'!$E:$E,AL228)*M228*L228*AM228</f>
        <v>18.975881523272214</v>
      </c>
      <c r="S228" s="5">
        <f>INDEX('Player Data'!$K:$K,AL228)/INDEX('Player Data'!$E:$E,AL228)*M228*L228*AM228</f>
        <v>69.911142454160782</v>
      </c>
      <c r="T228" s="5">
        <f>INDEX('Player Data'!$L:$L,AL228)/INDEX('Player Data'!$E:$E,AL228)*M228*L228*AM228</f>
        <v>85.890832157968958</v>
      </c>
      <c r="U228" s="7">
        <f>INDEX('Player Data'!$M:$M,AL228)</f>
        <v>0.47699999999999998</v>
      </c>
      <c r="V228" s="7">
        <f>INDEX('Player Data'!$N:$N,AL228)</f>
        <v>0.71899999999999997</v>
      </c>
      <c r="W228" s="5">
        <f t="shared" si="21"/>
        <v>175.78957023977429</v>
      </c>
      <c r="X228" s="5">
        <f>INDEX('Player Data'!$O:$O,AL228)/INDEX('Player Data'!$E:$E,AL228)*M228*L228*AM228</f>
        <v>368.53159379407612</v>
      </c>
      <c r="Y228" s="5">
        <f t="shared" si="22"/>
        <v>67.93105915373765</v>
      </c>
      <c r="Z228" s="5">
        <f>INDEX('Player Data'!$P:$P,AL228)/INDEX('Player Data'!$E:$E,AL228)*M228*L228*AM228</f>
        <v>94.479915373765849</v>
      </c>
      <c r="AB228" s="3">
        <f>(N228-Pool!$D$2)/Pool!$E$2</f>
        <v>-1.8487255790284076</v>
      </c>
      <c r="AC228" s="3">
        <f>(O228-Pool!$D$3)/Pool!$E$3</f>
        <v>-0.7322822914342253</v>
      </c>
      <c r="AD228" s="3">
        <f>(P228-Pool!$D$4)/Pool!$E$4</f>
        <v>-0.90120800198451634</v>
      </c>
      <c r="AE228" s="3">
        <f>(Q228-Pool!$D$5)/Pool!$E$5</f>
        <v>-0.93989676984824144</v>
      </c>
      <c r="AF228" s="3">
        <f>(R228-Pool!$D$6)/Pool!$E$6</f>
        <v>-0.90752975198689989</v>
      </c>
      <c r="AG228" s="3">
        <f>(S228-Pool!$D$7)/Pool!$E$7</f>
        <v>-0.75353020864112308</v>
      </c>
      <c r="AH228" s="3">
        <f>(AS228-Pool!$D$8)/Pool!$E$8</f>
        <v>-5.7010559729065914E-2</v>
      </c>
      <c r="AI228" s="3">
        <f>(AT228-Pool!$D$9)/Pool!$E$9</f>
        <v>-0.34360152591546761</v>
      </c>
      <c r="AJ228" s="3">
        <f>-(T228-Pool!$D$10)/Pool!$E$10</f>
        <v>0.98361179838590429</v>
      </c>
      <c r="AL228">
        <f>MATCH(B228,'Player Data'!$A:$A,0)</f>
        <v>231</v>
      </c>
      <c r="AM228" s="3">
        <f>1+IF(Settings!$F$10="ON",IFERROR(VLOOKUP(TRIM(F228),Settings!$D$12:$F$17,3,FALSE),0),0)</f>
        <v>1</v>
      </c>
      <c r="AN228" t="str">
        <f t="shared" si="23"/>
        <v>SF</v>
      </c>
      <c r="AO228" s="6">
        <f>X228*(U228-Pool!$B$12)</f>
        <v>-1.329208580104063</v>
      </c>
      <c r="AP228" s="6">
        <f>Z228*(V228-Pool!$B$13)</f>
        <v>-6.71748959876175</v>
      </c>
      <c r="AQ228" s="3">
        <f>Settings!$B$2*(N228-Pool!$B$2)/Pool!$C$2+Settings!$B$3*(O228-Pool!$B$3)/Pool!$C$3+Settings!$B$4*(P228-Pool!$B$4)/Pool!$C$4+Settings!$B$5*(Q228-Pool!$B$5)/Pool!$C$5+Settings!$B$6*(R228-Pool!$B$6)/Pool!$C$6+Settings!$B$7*(S228-Pool!$B$7)/Pool!$C$7+Settings!$B$8*(AO228-Pool!$B$8)/Pool!$C$8+Settings!$B$9*(AP228-Pool!$B$9)/Pool!$C$9+Settings!$B$10*-(T228-Pool!$B$10)/Pool!$C$10</f>
        <v>-3.412342073900414</v>
      </c>
      <c r="AR228">
        <f>IF(RANK(AQ228,$AQ$2:$AQ$266)&lt;=Settings!$F$5,1,0)</f>
        <v>0</v>
      </c>
      <c r="AS228" s="6">
        <f>X228*(U228-Pool!$D$12)</f>
        <v>-2.6068425534946464</v>
      </c>
      <c r="AT228" s="6">
        <f>Z228*(V228-Pool!$D$13)</f>
        <v>-7.6659520731003044</v>
      </c>
    </row>
    <row r="229" spans="1:46" x14ac:dyDescent="0.2">
      <c r="A229">
        <f t="shared" si="18"/>
        <v>228</v>
      </c>
      <c r="B229" t="s">
        <v>270</v>
      </c>
      <c r="C229" t="str">
        <f>INDEX('Player Data'!$C:$C,AL229)</f>
        <v>PG,SG</v>
      </c>
      <c r="D229">
        <f t="shared" si="19"/>
        <v>72</v>
      </c>
      <c r="E229" t="str">
        <f>INDEX('Player Data'!$B:$B,AL229)</f>
        <v>OKC</v>
      </c>
      <c r="F229" s="2"/>
      <c r="G229" s="3">
        <f>Settings!$B$2*AB229+Settings!$B$3*AC229+Settings!$B$4*AD229+Settings!$B$5*AE229+Settings!$B$6*AF229+Settings!$B$7*AG229+Settings!$B$8*AH229+Settings!$B$9*AI229+Settings!$B$10*AJ229</f>
        <v>-5.5128658631530119</v>
      </c>
      <c r="H229" s="3">
        <f>G229-LARGE($G$2:$G$266,Settings!$F$4)</f>
        <v>-2.2966010967058468</v>
      </c>
      <c r="I229">
        <f>IF(INDEX('Player Data'!$R:$R,AL229)="","",INDEX('Player Data'!$R:$R,AL229))</f>
        <v>121</v>
      </c>
      <c r="J229" s="4">
        <f t="shared" si="20"/>
        <v>-107</v>
      </c>
      <c r="L229" s="5">
        <f>IF(Settings!$F$7="Yes",INDEX('Minutes &amp; Health'!$O:$O,AL229),Settings!$F$8)</f>
        <v>74</v>
      </c>
      <c r="M229" s="6">
        <f>INDEX('Minutes &amp; Health'!$P:$P,AL229)</f>
        <v>20.3</v>
      </c>
      <c r="N229" s="5">
        <f>INDEX('Player Data'!$F:$F,AL229)/INDEX('Player Data'!$E:$E,AL229)*M229*L229*AM229</f>
        <v>757.60519653564302</v>
      </c>
      <c r="O229" s="5">
        <f>INDEX('Player Data'!$G:$G,AL229)/INDEX('Player Data'!$E:$E,AL229)*M229*L229*AM229</f>
        <v>168.13431045969355</v>
      </c>
      <c r="P229" s="5">
        <f>INDEX('Player Data'!$H:$H,AL229)/INDEX('Player Data'!$E:$E,AL229)*M229*L229*AM229</f>
        <v>120.09593604263823</v>
      </c>
      <c r="Q229" s="5">
        <f>INDEX('Player Data'!$I:$I,AL229)/INDEX('Player Data'!$E:$E,AL229)*M229*L229*AM229</f>
        <v>43.034377081945372</v>
      </c>
      <c r="R229" s="5">
        <f>INDEX('Player Data'!$J:$J,AL229)/INDEX('Player Data'!$E:$E,AL229)*M229*L229*AM229</f>
        <v>4.0031978680879412</v>
      </c>
      <c r="S229" s="5">
        <f>INDEX('Player Data'!$K:$K,AL229)/INDEX('Player Data'!$E:$E,AL229)*M229*L229*AM229</f>
        <v>128.10233177881412</v>
      </c>
      <c r="T229" s="5">
        <f>INDEX('Player Data'!$L:$L,AL229)/INDEX('Player Data'!$E:$E,AL229)*M229*L229*AM229</f>
        <v>70.055962691538966</v>
      </c>
      <c r="U229" s="7">
        <f>INDEX('Player Data'!$M:$M,AL229)</f>
        <v>0.439</v>
      </c>
      <c r="V229" s="7">
        <f>INDEX('Player Data'!$N:$N,AL229)</f>
        <v>0.86299999999999999</v>
      </c>
      <c r="W229" s="5">
        <f t="shared" si="21"/>
        <v>271.43102680879412</v>
      </c>
      <c r="X229" s="5">
        <f>INDEX('Player Data'!$O:$O,AL229)/INDEX('Player Data'!$E:$E,AL229)*M229*L229*AM229</f>
        <v>618.2939107261825</v>
      </c>
      <c r="Y229" s="5">
        <f t="shared" si="22"/>
        <v>86.628100986009329</v>
      </c>
      <c r="Z229" s="5">
        <f>INDEX('Player Data'!$P:$P,AL229)/INDEX('Player Data'!$E:$E,AL229)*M229*L229*AM229</f>
        <v>100.38018654230513</v>
      </c>
      <c r="AB229" s="3">
        <f>(N229-Pool!$D$2)/Pool!$E$2</f>
        <v>-1.1875559527487256</v>
      </c>
      <c r="AC229" s="3">
        <f>(O229-Pool!$D$3)/Pool!$E$3</f>
        <v>-1.5208437423942966</v>
      </c>
      <c r="AD229" s="3">
        <f>(P229-Pool!$D$4)/Pool!$E$4</f>
        <v>-1.0819069584515153</v>
      </c>
      <c r="AE229" s="3">
        <f>(Q229-Pool!$D$5)/Pool!$E$5</f>
        <v>-1.3768905814164185</v>
      </c>
      <c r="AF229" s="3">
        <f>(R229-Pool!$D$6)/Pool!$E$6</f>
        <v>-1.3408500838268735</v>
      </c>
      <c r="AG229" s="3">
        <f>(S229-Pool!$D$7)/Pool!$E$7</f>
        <v>6.6052648615891621E-2</v>
      </c>
      <c r="AH229" s="3">
        <f>(AS229-Pool!$D$8)/Pool!$E$8</f>
        <v>-0.60947746534503267</v>
      </c>
      <c r="AI229" s="3">
        <f>(AT229-Pool!$D$9)/Pool!$E$9</f>
        <v>0.28282786861694076</v>
      </c>
      <c r="AJ229" s="3">
        <f>-(T229-Pool!$D$10)/Pool!$E$10</f>
        <v>1.2557784037970183</v>
      </c>
      <c r="AL229">
        <f>MATCH(B229,'Player Data'!$A:$A,0)</f>
        <v>170</v>
      </c>
      <c r="AM229" s="3">
        <f>1+IF(Settings!$F$10="ON",IFERROR(VLOOKUP(TRIM(F229),Settings!$D$12:$F$17,3,FALSE),0),0)</f>
        <v>1</v>
      </c>
      <c r="AN229" t="str">
        <f t="shared" si="23"/>
        <v>PG</v>
      </c>
      <c r="AO229" s="6">
        <f>X229*(U229-Pool!$B$12)</f>
        <v>-25.725212340623024</v>
      </c>
      <c r="AP229" s="6">
        <f>Z229*(V229-Pool!$B$13)</f>
        <v>7.3177500056475493</v>
      </c>
      <c r="AQ229" s="3">
        <f>Settings!$B$2*(N229-Pool!$B$2)/Pool!$C$2+Settings!$B$3*(O229-Pool!$B$3)/Pool!$C$3+Settings!$B$4*(P229-Pool!$B$4)/Pool!$C$4+Settings!$B$5*(Q229-Pool!$B$5)/Pool!$C$5+Settings!$B$6*(R229-Pool!$B$6)/Pool!$C$6+Settings!$B$7*(S229-Pool!$B$7)/Pool!$C$7+Settings!$B$8*(AO229-Pool!$B$8)/Pool!$C$8+Settings!$B$9*(AP229-Pool!$B$9)/Pool!$C$9+Settings!$B$10*-(T229-Pool!$B$10)/Pool!$C$10</f>
        <v>-3.4551406931113373</v>
      </c>
      <c r="AR229">
        <f>IF(RANK(AQ229,$AQ$2:$AQ$266)&lt;=Settings!$F$5,1,0)</f>
        <v>0</v>
      </c>
      <c r="AS229" s="6">
        <f>X229*(U229-Pool!$D$12)</f>
        <v>-27.868728172608098</v>
      </c>
      <c r="AT229" s="6">
        <f>Z229*(V229-Pool!$D$13)</f>
        <v>6.3100560452344947</v>
      </c>
    </row>
    <row r="230" spans="1:46" x14ac:dyDescent="0.2">
      <c r="A230">
        <f t="shared" si="18"/>
        <v>229</v>
      </c>
      <c r="B230" t="s">
        <v>271</v>
      </c>
      <c r="C230" t="str">
        <f>INDEX('Player Data'!$C:$C,AL230)</f>
        <v>SF,PF</v>
      </c>
      <c r="D230">
        <f t="shared" si="19"/>
        <v>29</v>
      </c>
      <c r="E230" t="str">
        <f>INDEX('Player Data'!$B:$B,AL230)</f>
        <v>PHO</v>
      </c>
      <c r="F230" s="2"/>
      <c r="G230" s="3">
        <f>Settings!$B$2*AB230+Settings!$B$3*AC230+Settings!$B$4*AD230+Settings!$B$5*AE230+Settings!$B$6*AF230+Settings!$B$7*AG230+Settings!$B$8*AH230+Settings!$B$9*AI230+Settings!$B$10*AJ230</f>
        <v>-5.535319062359938</v>
      </c>
      <c r="H230" s="3">
        <f>G230-LARGE($G$2:$G$266,Settings!$F$4)</f>
        <v>-2.3190542959127729</v>
      </c>
      <c r="I230" t="str">
        <f>IF(INDEX('Player Data'!$R:$R,AL230)="","",INDEX('Player Data'!$R:$R,AL230))</f>
        <v/>
      </c>
      <c r="J230" s="4" t="str">
        <f t="shared" si="20"/>
        <v/>
      </c>
      <c r="L230" s="5">
        <f>IF(Settings!$F$7="Yes",INDEX('Minutes &amp; Health'!$O:$O,AL230),Settings!$F$8)</f>
        <v>75</v>
      </c>
      <c r="M230" s="6">
        <f>INDEX('Minutes &amp; Health'!$P:$P,AL230)</f>
        <v>18.899999999999999</v>
      </c>
      <c r="N230" s="5">
        <f>INDEX('Player Data'!$F:$F,AL230)/INDEX('Player Data'!$E:$E,AL230)*M230*L230*AM230</f>
        <v>432.45762711864404</v>
      </c>
      <c r="O230" s="5">
        <f>INDEX('Player Data'!$G:$G,AL230)/INDEX('Player Data'!$E:$E,AL230)*M230*L230*AM230</f>
        <v>297.31461864406776</v>
      </c>
      <c r="P230" s="5">
        <f>INDEX('Player Data'!$H:$H,AL230)/INDEX('Player Data'!$E:$E,AL230)*M230*L230*AM230</f>
        <v>90.095338983050837</v>
      </c>
      <c r="Q230" s="5">
        <f>INDEX('Player Data'!$I:$I,AL230)/INDEX('Player Data'!$E:$E,AL230)*M230*L230*AM230</f>
        <v>63.066737288135592</v>
      </c>
      <c r="R230" s="5">
        <f>INDEX('Player Data'!$J:$J,AL230)/INDEX('Player Data'!$E:$E,AL230)*M230*L230*AM230</f>
        <v>34.03601694915254</v>
      </c>
      <c r="S230" s="5">
        <f>INDEX('Player Data'!$K:$K,AL230)/INDEX('Player Data'!$E:$E,AL230)*M230*L230*AM230</f>
        <v>62.065677966101696</v>
      </c>
      <c r="T230" s="5">
        <f>INDEX('Player Data'!$L:$L,AL230)/INDEX('Player Data'!$E:$E,AL230)*M230*L230*AM230</f>
        <v>52.055084745762713</v>
      </c>
      <c r="U230" s="7">
        <f>INDEX('Player Data'!$M:$M,AL230)</f>
        <v>0.44500000000000001</v>
      </c>
      <c r="V230" s="7">
        <f>INDEX('Player Data'!$N:$N,AL230)</f>
        <v>0.49</v>
      </c>
      <c r="W230" s="5">
        <f t="shared" si="21"/>
        <v>169.23458421610167</v>
      </c>
      <c r="X230" s="5">
        <f>INDEX('Player Data'!$O:$O,AL230)/INDEX('Player Data'!$E:$E,AL230)*M230*L230*AM230</f>
        <v>380.30243644067787</v>
      </c>
      <c r="Y230" s="5">
        <f t="shared" si="22"/>
        <v>31.883739406779661</v>
      </c>
      <c r="Z230" s="5">
        <f>INDEX('Player Data'!$P:$P,AL230)/INDEX('Player Data'!$E:$E,AL230)*M230*L230*AM230</f>
        <v>65.068855932203391</v>
      </c>
      <c r="AB230" s="3">
        <f>(N230-Pool!$D$2)/Pool!$E$2</f>
        <v>-1.9890320799756436</v>
      </c>
      <c r="AC230" s="3">
        <f>(O230-Pool!$D$3)/Pool!$E$3</f>
        <v>-0.7689485090504341</v>
      </c>
      <c r="AD230" s="3">
        <f>(P230-Pool!$D$4)/Pool!$E$4</f>
        <v>-1.2848108254658297</v>
      </c>
      <c r="AE230" s="3">
        <f>(Q230-Pool!$D$5)/Pool!$E$5</f>
        <v>-0.49249855563343375</v>
      </c>
      <c r="AF230" s="3">
        <f>(R230-Pool!$D$6)/Pool!$E$6</f>
        <v>-0.47167850243232634</v>
      </c>
      <c r="AG230" s="3">
        <f>(S230-Pool!$D$7)/Pool!$E$7</f>
        <v>-0.86402817708370594</v>
      </c>
      <c r="AH230" s="3">
        <f>(AS230-Pool!$D$8)/Pool!$E$8</f>
        <v>-0.32497725127750776</v>
      </c>
      <c r="AI230" s="3">
        <f>(AT230-Pool!$D$9)/Pool!$E$9</f>
        <v>-0.90451909611429171</v>
      </c>
      <c r="AJ230" s="3">
        <f>-(T230-Pool!$D$10)/Pool!$E$10</f>
        <v>1.5651739346732354</v>
      </c>
      <c r="AL230">
        <f>MATCH(B230,'Player Data'!$A:$A,0)</f>
        <v>244</v>
      </c>
      <c r="AM230" s="3">
        <f>1+IF(Settings!$F$10="ON",IFERROR(VLOOKUP(TRIM(F230),Settings!$D$12:$F$17,3,FALSE),0),0)</f>
        <v>1</v>
      </c>
      <c r="AN230" t="str">
        <f t="shared" si="23"/>
        <v>SF</v>
      </c>
      <c r="AO230" s="6">
        <f>X230*(U230-Pool!$B$12)</f>
        <v>-13.541341264619005</v>
      </c>
      <c r="AP230" s="6">
        <f>Z230*(V230-Pool!$B$13)</f>
        <v>-19.52714136199339</v>
      </c>
      <c r="AQ230" s="3">
        <f>Settings!$B$2*(N230-Pool!$B$2)/Pool!$C$2+Settings!$B$3*(O230-Pool!$B$3)/Pool!$C$3+Settings!$B$4*(P230-Pool!$B$4)/Pool!$C$4+Settings!$B$5*(Q230-Pool!$B$5)/Pool!$C$5+Settings!$B$6*(R230-Pool!$B$6)/Pool!$C$6+Settings!$B$7*(S230-Pool!$B$7)/Pool!$C$7+Settings!$B$8*(AO230-Pool!$B$8)/Pool!$C$8+Settings!$B$9*(AP230-Pool!$B$9)/Pool!$C$9+Settings!$B$10*-(T230-Pool!$B$10)/Pool!$C$10</f>
        <v>-3.6375713128135421</v>
      </c>
      <c r="AR230">
        <f>IF(RANK(AQ230,$AQ$2:$AQ$266)&lt;=Settings!$F$5,1,0)</f>
        <v>0</v>
      </c>
      <c r="AS230" s="6">
        <f>X230*(U230-Pool!$D$12)</f>
        <v>-14.859782671385672</v>
      </c>
      <c r="AT230" s="6">
        <f>Z230*(V230-Pool!$D$13)</f>
        <v>-20.180352871081734</v>
      </c>
    </row>
    <row r="231" spans="1:46" x14ac:dyDescent="0.2">
      <c r="A231">
        <f t="shared" si="18"/>
        <v>230</v>
      </c>
      <c r="B231" t="s">
        <v>272</v>
      </c>
      <c r="C231" t="str">
        <f>INDEX('Player Data'!$C:$C,AL231)</f>
        <v>PG,SG</v>
      </c>
      <c r="D231">
        <f t="shared" si="19"/>
        <v>73</v>
      </c>
      <c r="E231" t="str">
        <f>INDEX('Player Data'!$B:$B,AL231)</f>
        <v>UTH</v>
      </c>
      <c r="F231" s="2"/>
      <c r="G231" s="3">
        <f>Settings!$B$2*AB231+Settings!$B$3*AC231+Settings!$B$4*AD231+Settings!$B$5*AE231+Settings!$B$6*AF231+Settings!$B$7*AG231+Settings!$B$8*AH231+Settings!$B$9*AI231+Settings!$B$10*AJ231</f>
        <v>-5.5817709685000994</v>
      </c>
      <c r="H231" s="3">
        <f>G231-LARGE($G$2:$G$266,Settings!$F$4)</f>
        <v>-2.3655062020529343</v>
      </c>
      <c r="I231">
        <f>IF(INDEX('Player Data'!$R:$R,AL231)="","",INDEX('Player Data'!$R:$R,AL231))</f>
        <v>178</v>
      </c>
      <c r="J231" s="4">
        <f t="shared" si="20"/>
        <v>-52</v>
      </c>
      <c r="L231" s="5">
        <f>IF(Settings!$F$7="Yes",INDEX('Minutes &amp; Health'!$O:$O,AL231),Settings!$F$8)</f>
        <v>73</v>
      </c>
      <c r="M231" s="6">
        <f>INDEX('Minutes &amp; Health'!$P:$P,AL231)</f>
        <v>22.8</v>
      </c>
      <c r="N231" s="5">
        <f>INDEX('Player Data'!$F:$F,AL231)/INDEX('Player Data'!$E:$E,AL231)*M231*L231*AM231</f>
        <v>650.3747899159664</v>
      </c>
      <c r="O231" s="5">
        <f>INDEX('Player Data'!$G:$G,AL231)/INDEX('Player Data'!$E:$E,AL231)*M231*L231*AM231</f>
        <v>170.83577430972392</v>
      </c>
      <c r="P231" s="5">
        <f>INDEX('Player Data'!$H:$H,AL231)/INDEX('Player Data'!$E:$E,AL231)*M231*L231*AM231</f>
        <v>424.59183673469386</v>
      </c>
      <c r="Q231" s="5">
        <f>INDEX('Player Data'!$I:$I,AL231)/INDEX('Player Data'!$E:$E,AL231)*M231*L231*AM231</f>
        <v>69.932773109243712</v>
      </c>
      <c r="R231" s="5">
        <f>INDEX('Player Data'!$J:$J,AL231)/INDEX('Player Data'!$E:$E,AL231)*M231*L231*AM231</f>
        <v>17.982713085234096</v>
      </c>
      <c r="S231" s="5">
        <f>INDEX('Player Data'!$K:$K,AL231)/INDEX('Player Data'!$E:$E,AL231)*M231*L231*AM231</f>
        <v>29.971188475390157</v>
      </c>
      <c r="T231" s="5">
        <f>INDEX('Player Data'!$L:$L,AL231)/INDEX('Player Data'!$E:$E,AL231)*M231*L231*AM231</f>
        <v>156.84921968787515</v>
      </c>
      <c r="U231" s="7">
        <f>INDEX('Player Data'!$M:$M,AL231)</f>
        <v>0.46700000000000003</v>
      </c>
      <c r="V231" s="7">
        <f>INDEX('Player Data'!$N:$N,AL231)</f>
        <v>0.71399999999999997</v>
      </c>
      <c r="W231" s="5">
        <f t="shared" si="21"/>
        <v>242.65343546218489</v>
      </c>
      <c r="X231" s="5">
        <f>INDEX('Player Data'!$O:$O,AL231)/INDEX('Player Data'!$E:$E,AL231)*M231*L231*AM231</f>
        <v>519.60050420168068</v>
      </c>
      <c r="Y231" s="5">
        <f t="shared" si="22"/>
        <v>135.10172571428572</v>
      </c>
      <c r="Z231" s="5">
        <f>INDEX('Player Data'!$P:$P,AL231)/INDEX('Player Data'!$E:$E,AL231)*M231*L231*AM231</f>
        <v>189.21810324129652</v>
      </c>
      <c r="AB231" s="3">
        <f>(N231-Pool!$D$2)/Pool!$E$2</f>
        <v>-1.4518747393618447</v>
      </c>
      <c r="AC231" s="3">
        <f>(O231-Pool!$D$3)/Pool!$E$3</f>
        <v>-1.5051198459240271</v>
      </c>
      <c r="AD231" s="3">
        <f>(P231-Pool!$D$4)/Pool!$E$4</f>
        <v>0.97749857996860579</v>
      </c>
      <c r="AE231" s="3">
        <f>(Q231-Pool!$D$5)/Pool!$E$5</f>
        <v>-0.18937564518117697</v>
      </c>
      <c r="AF231" s="3">
        <f>(R231-Pool!$D$6)/Pool!$E$6</f>
        <v>-0.93627276740449039</v>
      </c>
      <c r="AG231" s="3">
        <f>(S231-Pool!$D$7)/Pool!$E$7</f>
        <v>-1.3160569756746738</v>
      </c>
      <c r="AH231" s="3">
        <f>(AS231-Pool!$D$8)/Pool!$E$8</f>
        <v>-0.19401486016799463</v>
      </c>
      <c r="AI231" s="3">
        <f>(AT231-Pool!$D$9)/Pool!$E$9</f>
        <v>-0.73054777865045128</v>
      </c>
      <c r="AJ231" s="3">
        <f>-(T231-Pool!$D$10)/Pool!$E$10</f>
        <v>-0.23600693610404538</v>
      </c>
      <c r="AL231">
        <f>MATCH(B231,'Player Data'!$A:$A,0)</f>
        <v>199</v>
      </c>
      <c r="AM231" s="3">
        <f>1+IF(Settings!$F$10="ON",IFERROR(VLOOKUP(TRIM(F231),Settings!$D$12:$F$17,3,FALSE),0),0)</f>
        <v>1</v>
      </c>
      <c r="AN231" t="str">
        <f t="shared" si="23"/>
        <v>PG</v>
      </c>
      <c r="AO231" s="6">
        <f>X231*(U231-Pool!$B$12)</f>
        <v>-7.0700843883785733</v>
      </c>
      <c r="AP231" s="6">
        <f>Z231*(V231-Pool!$B$13)</f>
        <v>-14.399432799510151</v>
      </c>
      <c r="AQ231" s="3">
        <f>Settings!$B$2*(N231-Pool!$B$2)/Pool!$C$2+Settings!$B$3*(O231-Pool!$B$3)/Pool!$C$3+Settings!$B$4*(P231-Pool!$B$4)/Pool!$C$4+Settings!$B$5*(Q231-Pool!$B$5)/Pool!$C$5+Settings!$B$6*(R231-Pool!$B$6)/Pool!$C$6+Settings!$B$7*(S231-Pool!$B$7)/Pool!$C$7+Settings!$B$8*(AO231-Pool!$B$8)/Pool!$C$8+Settings!$B$9*(AP231-Pool!$B$9)/Pool!$C$9+Settings!$B$10*-(T231-Pool!$B$10)/Pool!$C$10</f>
        <v>-3.6066223366318577</v>
      </c>
      <c r="AR231">
        <f>IF(RANK(AQ231,$AQ$2:$AQ$266)&lt;=Settings!$F$5,1,0)</f>
        <v>0</v>
      </c>
      <c r="AS231" s="6">
        <f>X231*(U231-Pool!$D$12)</f>
        <v>-8.8714476037393908</v>
      </c>
      <c r="AT231" s="6">
        <f>Z231*(V231-Pool!$D$13)</f>
        <v>-16.298950487263291</v>
      </c>
    </row>
    <row r="232" spans="1:46" x14ac:dyDescent="0.2">
      <c r="A232">
        <f t="shared" si="18"/>
        <v>231</v>
      </c>
      <c r="B232" t="s">
        <v>273</v>
      </c>
      <c r="C232" t="str">
        <f>INDEX('Player Data'!$C:$C,AL232)</f>
        <v>PF,SF</v>
      </c>
      <c r="D232">
        <f t="shared" si="19"/>
        <v>66</v>
      </c>
      <c r="E232" t="str">
        <f>INDEX('Player Data'!$B:$B,AL232)</f>
        <v>DET</v>
      </c>
      <c r="F232" s="2"/>
      <c r="G232" s="3">
        <f>Settings!$B$2*AB232+Settings!$B$3*AC232+Settings!$B$4*AD232+Settings!$B$5*AE232+Settings!$B$6*AF232+Settings!$B$7*AG232+Settings!$B$8*AH232+Settings!$B$9*AI232+Settings!$B$10*AJ232</f>
        <v>-5.5929982455676086</v>
      </c>
      <c r="H232" s="3">
        <f>G232-LARGE($G$2:$G$266,Settings!$F$4)</f>
        <v>-2.3767334791204435</v>
      </c>
      <c r="I232" t="str">
        <f>IF(INDEX('Player Data'!$R:$R,AL232)="","",INDEX('Player Data'!$R:$R,AL232))</f>
        <v/>
      </c>
      <c r="J232" s="4" t="str">
        <f t="shared" si="20"/>
        <v/>
      </c>
      <c r="L232" s="5">
        <f>IF(Settings!$F$7="Yes",INDEX('Minutes &amp; Health'!$O:$O,AL232),Settings!$F$8)</f>
        <v>79</v>
      </c>
      <c r="M232" s="6">
        <f>INDEX('Minutes &amp; Health'!$P:$P,AL232)</f>
        <v>16.600000000000001</v>
      </c>
      <c r="N232" s="5">
        <f>INDEX('Player Data'!$F:$F,AL232)/INDEX('Player Data'!$E:$E,AL232)*M232*L232*AM232</f>
        <v>528.16109839816932</v>
      </c>
      <c r="O232" s="5">
        <f>INDEX('Player Data'!$G:$G,AL232)/INDEX('Player Data'!$E:$E,AL232)*M232*L232*AM232</f>
        <v>256.07810831426394</v>
      </c>
      <c r="P232" s="5">
        <f>INDEX('Player Data'!$H:$H,AL232)/INDEX('Player Data'!$E:$E,AL232)*M232*L232*AM232</f>
        <v>81.024713958810068</v>
      </c>
      <c r="Q232" s="5">
        <f>INDEX('Player Data'!$I:$I,AL232)/INDEX('Player Data'!$E:$E,AL232)*M232*L232*AM232</f>
        <v>70.02135774218155</v>
      </c>
      <c r="R232" s="5">
        <f>INDEX('Player Data'!$J:$J,AL232)/INDEX('Player Data'!$E:$E,AL232)*M232*L232*AM232</f>
        <v>24.007322654462246</v>
      </c>
      <c r="S232" s="5">
        <f>INDEX('Player Data'!$K:$K,AL232)/INDEX('Player Data'!$E:$E,AL232)*M232*L232*AM232</f>
        <v>40.012204424103743</v>
      </c>
      <c r="T232" s="5">
        <f>INDEX('Player Data'!$L:$L,AL232)/INDEX('Player Data'!$E:$E,AL232)*M232*L232*AM232</f>
        <v>77.023493516399697</v>
      </c>
      <c r="U232" s="7">
        <f>INDEX('Player Data'!$M:$M,AL232)</f>
        <v>0.441</v>
      </c>
      <c r="V232" s="7">
        <f>INDEX('Player Data'!$N:$N,AL232)</f>
        <v>0.78600000000000003</v>
      </c>
      <c r="W232" s="5">
        <f t="shared" si="21"/>
        <v>200.93678924485127</v>
      </c>
      <c r="X232" s="5">
        <f>INDEX('Player Data'!$O:$O,AL232)/INDEX('Player Data'!$E:$E,AL232)*M232*L232*AM232</f>
        <v>455.63897787948133</v>
      </c>
      <c r="Y232" s="5">
        <f t="shared" si="22"/>
        <v>86.250507917620141</v>
      </c>
      <c r="Z232" s="5">
        <f>INDEX('Player Data'!$P:$P,AL232)/INDEX('Player Data'!$E:$E,AL232)*M232*L232*AM232</f>
        <v>109.7334706331045</v>
      </c>
      <c r="AB232" s="3">
        <f>(N232-Pool!$D$2)/Pool!$E$2</f>
        <v>-1.7531267411757272</v>
      </c>
      <c r="AC232" s="3">
        <f>(O232-Pool!$D$3)/Pool!$E$3</f>
        <v>-1.0089660163044143</v>
      </c>
      <c r="AD232" s="3">
        <f>(P232-Pool!$D$4)/Pool!$E$4</f>
        <v>-1.3461584343150708</v>
      </c>
      <c r="AE232" s="3">
        <f>(Q232-Pool!$D$5)/Pool!$E$5</f>
        <v>-0.18546479582689432</v>
      </c>
      <c r="AF232" s="3">
        <f>(R232-Pool!$D$6)/Pool!$E$6</f>
        <v>-0.761916193936092</v>
      </c>
      <c r="AG232" s="3">
        <f>(S232-Pool!$D$7)/Pool!$E$7</f>
        <v>-1.1746361757818033</v>
      </c>
      <c r="AH232" s="3">
        <f>(AS232-Pool!$D$8)/Pool!$E$8</f>
        <v>-0.42921261089141105</v>
      </c>
      <c r="AI232" s="3">
        <f>(AT232-Pool!$D$9)/Pool!$E$9</f>
        <v>-6.9539138982999307E-2</v>
      </c>
      <c r="AJ232" s="3">
        <f>-(T232-Pool!$D$10)/Pool!$E$10</f>
        <v>1.1360218616468052</v>
      </c>
      <c r="AL232">
        <f>MATCH(B232,'Player Data'!$A:$A,0)</f>
        <v>232</v>
      </c>
      <c r="AM232" s="3">
        <f>1+IF(Settings!$F$10="ON",IFERROR(VLOOKUP(TRIM(F232),Settings!$D$12:$F$17,3,FALSE),0),0)</f>
        <v>1</v>
      </c>
      <c r="AN232" t="str">
        <f t="shared" si="23"/>
        <v>PF</v>
      </c>
      <c r="AO232" s="6">
        <f>X232*(U232-Pool!$B$12)</f>
        <v>-18.046388055939854</v>
      </c>
      <c r="AP232" s="6">
        <f>Z232*(V232-Pool!$B$13)</f>
        <v>-0.44986961691322008</v>
      </c>
      <c r="AQ232" s="3">
        <f>Settings!$B$2*(N232-Pool!$B$2)/Pool!$C$2+Settings!$B$3*(O232-Pool!$B$3)/Pool!$C$3+Settings!$B$4*(P232-Pool!$B$4)/Pool!$C$4+Settings!$B$5*(Q232-Pool!$B$5)/Pool!$C$5+Settings!$B$6*(R232-Pool!$B$6)/Pool!$C$6+Settings!$B$7*(S232-Pool!$B$7)/Pool!$C$7+Settings!$B$8*(AO232-Pool!$B$8)/Pool!$C$8+Settings!$B$9*(AP232-Pool!$B$9)/Pool!$C$9+Settings!$B$10*-(T232-Pool!$B$10)/Pool!$C$10</f>
        <v>-3.6201766062882217</v>
      </c>
      <c r="AR232">
        <f>IF(RANK(AQ232,$AQ$2:$AQ$266)&lt;=Settings!$F$5,1,0)</f>
        <v>0</v>
      </c>
      <c r="AS232" s="6">
        <f>X232*(U232-Pool!$D$12)</f>
        <v>-19.626007951609012</v>
      </c>
      <c r="AT232" s="6">
        <f>Z232*(V232-Pool!$D$13)</f>
        <v>-1.5514590781515671</v>
      </c>
    </row>
    <row r="233" spans="1:46" x14ac:dyDescent="0.2">
      <c r="A233">
        <f t="shared" si="18"/>
        <v>232</v>
      </c>
      <c r="B233" t="s">
        <v>274</v>
      </c>
      <c r="C233" t="str">
        <f>INDEX('Player Data'!$C:$C,AL233)</f>
        <v>PG,SG</v>
      </c>
      <c r="D233">
        <f t="shared" si="19"/>
        <v>74</v>
      </c>
      <c r="E233" t="str">
        <f>INDEX('Player Data'!$B:$B,AL233)</f>
        <v>CHA</v>
      </c>
      <c r="F233" s="2"/>
      <c r="G233" s="3">
        <f>Settings!$B$2*AB233+Settings!$B$3*AC233+Settings!$B$4*AD233+Settings!$B$5*AE233+Settings!$B$6*AF233+Settings!$B$7*AG233+Settings!$B$8*AH233+Settings!$B$9*AI233+Settings!$B$10*AJ233</f>
        <v>-5.6643374022331194</v>
      </c>
      <c r="H233" s="3">
        <f>G233-LARGE($G$2:$G$266,Settings!$F$4)</f>
        <v>-2.4480726357859544</v>
      </c>
      <c r="I233" t="str">
        <f>IF(INDEX('Player Data'!$R:$R,AL233)="","",INDEX('Player Data'!$R:$R,AL233))</f>
        <v/>
      </c>
      <c r="J233" s="4" t="str">
        <f t="shared" si="20"/>
        <v/>
      </c>
      <c r="L233" s="5">
        <f>IF(Settings!$F$7="Yes",INDEX('Minutes &amp; Health'!$O:$O,AL233),Settings!$F$8)</f>
        <v>75</v>
      </c>
      <c r="M233" s="6">
        <f>INDEX('Minutes &amp; Health'!$P:$P,AL233)</f>
        <v>21.9</v>
      </c>
      <c r="N233" s="5">
        <f>INDEX('Player Data'!$F:$F,AL233)/INDEX('Player Data'!$E:$E,AL233)*M233*L233*AM233</f>
        <v>716.78180158247096</v>
      </c>
      <c r="O233" s="5">
        <f>INDEX('Player Data'!$G:$G,AL233)/INDEX('Player Data'!$E:$E,AL233)*M233*L233*AM233</f>
        <v>163.950091296409</v>
      </c>
      <c r="P233" s="5">
        <f>INDEX('Player Data'!$H:$H,AL233)/INDEX('Player Data'!$E:$E,AL233)*M233*L233*AM233</f>
        <v>305.90687766281189</v>
      </c>
      <c r="Q233" s="5">
        <f>INDEX('Player Data'!$I:$I,AL233)/INDEX('Player Data'!$E:$E,AL233)*M233*L233*AM233</f>
        <v>43.986609860012166</v>
      </c>
      <c r="R233" s="5">
        <f>INDEX('Player Data'!$J:$J,AL233)/INDEX('Player Data'!$E:$E,AL233)*M233*L233*AM233</f>
        <v>10.996652465003041</v>
      </c>
      <c r="S233" s="5">
        <f>INDEX('Player Data'!$K:$K,AL233)/INDEX('Player Data'!$E:$E,AL233)*M233*L233*AM233</f>
        <v>95.970785149117461</v>
      </c>
      <c r="T233" s="5">
        <f>INDEX('Player Data'!$L:$L,AL233)/INDEX('Player Data'!$E:$E,AL233)*M233*L233*AM233</f>
        <v>110.96622032866706</v>
      </c>
      <c r="U233" s="7">
        <f>INDEX('Player Data'!$M:$M,AL233)</f>
        <v>0.40799999999999997</v>
      </c>
      <c r="V233" s="7">
        <f>INDEX('Player Data'!$N:$N,AL233)</f>
        <v>0.83299999999999996</v>
      </c>
      <c r="W233" s="5">
        <f t="shared" si="21"/>
        <v>235.91538405356053</v>
      </c>
      <c r="X233" s="5">
        <f>INDEX('Player Data'!$O:$O,AL233)/INDEX('Player Data'!$E:$E,AL233)*M233*L233*AM233</f>
        <v>578.22398052343272</v>
      </c>
      <c r="Y233" s="5">
        <f t="shared" si="22"/>
        <v>148.97834890444307</v>
      </c>
      <c r="Z233" s="5">
        <f>INDEX('Player Data'!$P:$P,AL233)/INDEX('Player Data'!$E:$E,AL233)*M233*L233*AM233</f>
        <v>178.84555690809492</v>
      </c>
      <c r="AB233" s="3">
        <f>(N233-Pool!$D$2)/Pool!$E$2</f>
        <v>-1.2881840353943672</v>
      </c>
      <c r="AC233" s="3">
        <f>(O233-Pool!$D$3)/Pool!$E$3</f>
        <v>-1.5451980305080038</v>
      </c>
      <c r="AD233" s="3">
        <f>(P233-Pool!$D$4)/Pool!$E$4</f>
        <v>0.17479331699369402</v>
      </c>
      <c r="AE233" s="3">
        <f>(Q233-Pool!$D$5)/Pool!$E$5</f>
        <v>-1.334851247711186</v>
      </c>
      <c r="AF233" s="3">
        <f>(R233-Pool!$D$6)/Pool!$E$6</f>
        <v>-1.1384544320898673</v>
      </c>
      <c r="AG233" s="3">
        <f>(S233-Pool!$D$7)/Pool!$E$7</f>
        <v>-0.38649807427673882</v>
      </c>
      <c r="AH233" s="3">
        <f>(AS233-Pool!$D$8)/Pool!$E$8</f>
        <v>-0.96198994307236518</v>
      </c>
      <c r="AI233" s="3">
        <f>(AT233-Pool!$D$9)/Pool!$E$9</f>
        <v>0.26342405924179813</v>
      </c>
      <c r="AJ233" s="3">
        <f>-(T233-Pool!$D$10)/Pool!$E$10</f>
        <v>0.55262098458391662</v>
      </c>
      <c r="AL233">
        <f>MATCH(B233,'Player Data'!$A:$A,0)</f>
        <v>186</v>
      </c>
      <c r="AM233" s="3">
        <f>1+IF(Settings!$F$10="ON",IFERROR(VLOOKUP(TRIM(F233),Settings!$D$12:$F$17,3,FALSE),0),0)</f>
        <v>1</v>
      </c>
      <c r="AN233" t="str">
        <f t="shared" si="23"/>
        <v>PG</v>
      </c>
      <c r="AO233" s="6">
        <f>X233*(U233-Pool!$B$12)</f>
        <v>-41.982975379648451</v>
      </c>
      <c r="AP233" s="6">
        <f>Z233*(V233-Pool!$B$13)</f>
        <v>7.6725356931743915</v>
      </c>
      <c r="AQ233" s="3">
        <f>Settings!$B$2*(N233-Pool!$B$2)/Pool!$C$2+Settings!$B$3*(O233-Pool!$B$3)/Pool!$C$3+Settings!$B$4*(P233-Pool!$B$4)/Pool!$C$4+Settings!$B$5*(Q233-Pool!$B$5)/Pool!$C$5+Settings!$B$6*(R233-Pool!$B$6)/Pool!$C$6+Settings!$B$7*(S233-Pool!$B$7)/Pool!$C$7+Settings!$B$8*(AO233-Pool!$B$8)/Pool!$C$8+Settings!$B$9*(AP233-Pool!$B$9)/Pool!$C$9+Settings!$B$10*-(T233-Pool!$B$10)/Pool!$C$10</f>
        <v>-3.5592805256734996</v>
      </c>
      <c r="AR233">
        <f>IF(RANK(AQ233,$AQ$2:$AQ$266)&lt;=Settings!$F$5,1,0)</f>
        <v>0</v>
      </c>
      <c r="AS233" s="6">
        <f>X233*(U233-Pool!$D$12)</f>
        <v>-43.987575837753724</v>
      </c>
      <c r="AT233" s="6">
        <f>Z233*(V233-Pool!$D$13)</f>
        <v>5.8771456490739826</v>
      </c>
    </row>
    <row r="234" spans="1:46" x14ac:dyDescent="0.2">
      <c r="A234">
        <f t="shared" si="18"/>
        <v>233</v>
      </c>
      <c r="B234" t="s">
        <v>275</v>
      </c>
      <c r="C234" t="str">
        <f>INDEX('Player Data'!$C:$C,AL234)</f>
        <v>SG,SF</v>
      </c>
      <c r="D234">
        <f t="shared" si="19"/>
        <v>15</v>
      </c>
      <c r="E234" t="str">
        <f>INDEX('Player Data'!$B:$B,AL234)</f>
        <v>ATL</v>
      </c>
      <c r="F234" s="2"/>
      <c r="G234" s="3">
        <f>Settings!$B$2*AB234+Settings!$B$3*AC234+Settings!$B$4*AD234+Settings!$B$5*AE234+Settings!$B$6*AF234+Settings!$B$7*AG234+Settings!$B$8*AH234+Settings!$B$9*AI234+Settings!$B$10*AJ234</f>
        <v>-5.6941511024501272</v>
      </c>
      <c r="H234" s="3">
        <f>G234-LARGE($G$2:$G$266,Settings!$F$4)</f>
        <v>-2.4778863360029622</v>
      </c>
      <c r="I234">
        <f>IF(INDEX('Player Data'!$R:$R,AL234)="","",INDEX('Player Data'!$R:$R,AL234))</f>
        <v>90</v>
      </c>
      <c r="J234" s="4">
        <f t="shared" si="20"/>
        <v>-143</v>
      </c>
      <c r="L234" s="5">
        <f>IF(Settings!$F$7="Yes",INDEX('Minutes &amp; Health'!$O:$O,AL234),Settings!$F$8)</f>
        <v>75</v>
      </c>
      <c r="M234" s="6">
        <f>INDEX('Minutes &amp; Health'!$P:$P,AL234)</f>
        <v>17.600000000000001</v>
      </c>
      <c r="N234" s="5">
        <f>INDEX('Player Data'!$F:$F,AL234)/INDEX('Player Data'!$E:$E,AL234)*M234*L234*AM234</f>
        <v>623.47232752084915</v>
      </c>
      <c r="O234" s="5">
        <f>INDEX('Player Data'!$G:$G,AL234)/INDEX('Player Data'!$E:$E,AL234)*M234*L234*AM234</f>
        <v>201.15238817285822</v>
      </c>
      <c r="P234" s="5">
        <f>INDEX('Player Data'!$H:$H,AL234)/INDEX('Player Data'!$E:$E,AL234)*M234*L234*AM234</f>
        <v>101.07657316148597</v>
      </c>
      <c r="Q234" s="5">
        <f>INDEX('Player Data'!$I:$I,AL234)/INDEX('Player Data'!$E:$E,AL234)*M234*L234*AM234</f>
        <v>43.032600454890073</v>
      </c>
      <c r="R234" s="5">
        <f>INDEX('Player Data'!$J:$J,AL234)/INDEX('Player Data'!$E:$E,AL234)*M234*L234*AM234</f>
        <v>15.01137225170584</v>
      </c>
      <c r="S234" s="5">
        <f>INDEX('Player Data'!$K:$K,AL234)/INDEX('Player Data'!$E:$E,AL234)*M234*L234*AM234</f>
        <v>91.068991660348757</v>
      </c>
      <c r="T234" s="5">
        <f>INDEX('Player Data'!$L:$L,AL234)/INDEX('Player Data'!$E:$E,AL234)*M234*L234*AM234</f>
        <v>63.047763457164528</v>
      </c>
      <c r="U234" s="7">
        <f>INDEX('Player Data'!$M:$M,AL234)</f>
        <v>0.46899999999999997</v>
      </c>
      <c r="V234" s="7">
        <f>INDEX('Player Data'!$N:$N,AL234)</f>
        <v>0.80200000000000005</v>
      </c>
      <c r="W234" s="5">
        <f t="shared" si="21"/>
        <v>234.49004397270662</v>
      </c>
      <c r="X234" s="5">
        <f>INDEX('Player Data'!$O:$O,AL234)/INDEX('Player Data'!$E:$E,AL234)*M234*L234*AM234</f>
        <v>499.97877179681586</v>
      </c>
      <c r="Y234" s="5">
        <f t="shared" si="22"/>
        <v>63.406034874905252</v>
      </c>
      <c r="Z234" s="5">
        <f>INDEX('Player Data'!$P:$P,AL234)/INDEX('Player Data'!$E:$E,AL234)*M234*L234*AM234</f>
        <v>79.059893858984097</v>
      </c>
      <c r="AB234" s="3">
        <f>(N234-Pool!$D$2)/Pool!$E$2</f>
        <v>-1.5181882640545472</v>
      </c>
      <c r="AC234" s="3">
        <f>(O234-Pool!$D$3)/Pool!$E$3</f>
        <v>-1.3286617016820828</v>
      </c>
      <c r="AD234" s="3">
        <f>(P234-Pool!$D$4)/Pool!$E$4</f>
        <v>-1.2105411409335951</v>
      </c>
      <c r="AE234" s="3">
        <f>(Q234-Pool!$D$5)/Pool!$E$5</f>
        <v>-1.3769690162480772</v>
      </c>
      <c r="AF234" s="3">
        <f>(R234-Pool!$D$6)/Pool!$E$6</f>
        <v>-1.0222655276634915</v>
      </c>
      <c r="AG234" s="3">
        <f>(S234-Pool!$D$7)/Pool!$E$7</f>
        <v>-0.45553646238727119</v>
      </c>
      <c r="AH234" s="3">
        <f>(AS234-Pool!$D$8)/Pool!$E$8</f>
        <v>-0.16481960058702813</v>
      </c>
      <c r="AI234" s="3">
        <f>(AT234-Pool!$D$9)/Pool!$E$9</f>
        <v>6.5966645772472131E-3</v>
      </c>
      <c r="AJ234" s="3">
        <f>-(T234-Pool!$D$10)/Pool!$E$10</f>
        <v>1.3762339465287188</v>
      </c>
      <c r="AL234">
        <f>MATCH(B234,'Player Data'!$A:$A,0)</f>
        <v>207</v>
      </c>
      <c r="AM234" s="3">
        <f>1+IF(Settings!$F$10="ON",IFERROR(VLOOKUP(TRIM(F234),Settings!$D$12:$F$17,3,FALSE),0),0)</f>
        <v>1</v>
      </c>
      <c r="AN234" t="str">
        <f t="shared" si="23"/>
        <v>SG</v>
      </c>
      <c r="AO234" s="6">
        <f>X234*(U234-Pool!$B$12)</f>
        <v>-5.8031384511502884</v>
      </c>
      <c r="AP234" s="6">
        <f>Z234*(V234-Pool!$B$13)</f>
        <v>0.94083983580677999</v>
      </c>
      <c r="AQ234" s="3">
        <f>Settings!$B$2*(N234-Pool!$B$2)/Pool!$C$2+Settings!$B$3*(O234-Pool!$B$3)/Pool!$C$3+Settings!$B$4*(P234-Pool!$B$4)/Pool!$C$4+Settings!$B$5*(Q234-Pool!$B$5)/Pool!$C$5+Settings!$B$6*(R234-Pool!$B$6)/Pool!$C$6+Settings!$B$7*(S234-Pool!$B$7)/Pool!$C$7+Settings!$B$8*(AO234-Pool!$B$8)/Pool!$C$8+Settings!$B$9*(AP234-Pool!$B$9)/Pool!$C$9+Settings!$B$10*-(T234-Pool!$B$10)/Pool!$C$10</f>
        <v>-3.5795735092254501</v>
      </c>
      <c r="AR234">
        <f>IF(RANK(AQ234,$AQ$2:$AQ$266)&lt;=Settings!$F$5,1,0)</f>
        <v>0</v>
      </c>
      <c r="AS234" s="6">
        <f>X234*(U234-Pool!$D$12)</f>
        <v>-7.5364765843759711</v>
      </c>
      <c r="AT234" s="6">
        <f>Z234*(V234-Pool!$D$13)</f>
        <v>0.14717546540815227</v>
      </c>
    </row>
    <row r="235" spans="1:46" x14ac:dyDescent="0.2">
      <c r="A235">
        <f t="shared" si="18"/>
        <v>234</v>
      </c>
      <c r="B235" t="s">
        <v>276</v>
      </c>
      <c r="C235" t="str">
        <f>INDEX('Player Data'!$C:$C,AL235)</f>
        <v>PF,C</v>
      </c>
      <c r="D235">
        <f t="shared" si="19"/>
        <v>67</v>
      </c>
      <c r="E235" t="str">
        <f>INDEX('Player Data'!$B:$B,AL235)</f>
        <v>DEN</v>
      </c>
      <c r="F235" s="2"/>
      <c r="G235" s="3">
        <f>Settings!$B$2*AB235+Settings!$B$3*AC235+Settings!$B$4*AD235+Settings!$B$5*AE235+Settings!$B$6*AF235+Settings!$B$7*AG235+Settings!$B$8*AH235+Settings!$B$9*AI235+Settings!$B$10*AJ235</f>
        <v>-5.7935062997190894</v>
      </c>
      <c r="H235" s="3">
        <f>G235-LARGE($G$2:$G$266,Settings!$F$4)</f>
        <v>-2.5772415332719243</v>
      </c>
      <c r="I235" t="str">
        <f>IF(INDEX('Player Data'!$R:$R,AL235)="","",INDEX('Player Data'!$R:$R,AL235))</f>
        <v/>
      </c>
      <c r="J235" s="4" t="str">
        <f t="shared" si="20"/>
        <v/>
      </c>
      <c r="L235" s="5">
        <f>IF(Settings!$F$7="Yes",INDEX('Minutes &amp; Health'!$O:$O,AL235),Settings!$F$8)</f>
        <v>70</v>
      </c>
      <c r="M235" s="6">
        <f>INDEX('Minutes &amp; Health'!$P:$P,AL235)</f>
        <v>15.3</v>
      </c>
      <c r="N235" s="5">
        <f>INDEX('Player Data'!$F:$F,AL235)/INDEX('Player Data'!$E:$E,AL235)*M235*L235*AM235</f>
        <v>556.95992544268415</v>
      </c>
      <c r="O235" s="5">
        <f>INDEX('Player Data'!$G:$G,AL235)/INDEX('Player Data'!$E:$E,AL235)*M235*L235*AM235</f>
        <v>321.39981360671015</v>
      </c>
      <c r="P235" s="5">
        <f>INDEX('Player Data'!$H:$H,AL235)/INDEX('Player Data'!$E:$E,AL235)*M235*L235*AM235</f>
        <v>72.863932898415669</v>
      </c>
      <c r="Q235" s="5">
        <f>INDEX('Player Data'!$I:$I,AL235)/INDEX('Player Data'!$E:$E,AL235)*M235*L235*AM235</f>
        <v>22.957129543336439</v>
      </c>
      <c r="R235" s="5">
        <f>INDEX('Player Data'!$J:$J,AL235)/INDEX('Player Data'!$E:$E,AL235)*M235*L235*AM235</f>
        <v>37.92917054986021</v>
      </c>
      <c r="S235" s="5">
        <f>INDEX('Player Data'!$K:$K,AL235)/INDEX('Player Data'!$E:$E,AL235)*M235*L235*AM235</f>
        <v>19.962721342031685</v>
      </c>
      <c r="T235" s="5">
        <f>INDEX('Player Data'!$L:$L,AL235)/INDEX('Player Data'!$E:$E,AL235)*M235*L235*AM235</f>
        <v>51.903075489282386</v>
      </c>
      <c r="U235" s="7">
        <f>INDEX('Player Data'!$M:$M,AL235)</f>
        <v>0.626</v>
      </c>
      <c r="V235" s="7">
        <f>INDEX('Player Data'!$N:$N,AL235)</f>
        <v>0.66300000000000003</v>
      </c>
      <c r="W235" s="5">
        <f t="shared" si="21"/>
        <v>230.18854277726001</v>
      </c>
      <c r="X235" s="5">
        <f>INDEX('Player Data'!$O:$O,AL235)/INDEX('Player Data'!$E:$E,AL235)*M235*L235*AM235</f>
        <v>367.71332712022365</v>
      </c>
      <c r="Y235" s="5">
        <f t="shared" si="22"/>
        <v>76.698472227399819</v>
      </c>
      <c r="Z235" s="5">
        <f>INDEX('Player Data'!$P:$P,AL235)/INDEX('Player Data'!$E:$E,AL235)*M235*L235*AM235</f>
        <v>115.68397017707363</v>
      </c>
      <c r="AB235" s="3">
        <f>(N235-Pool!$D$2)/Pool!$E$2</f>
        <v>-1.6821387512925439</v>
      </c>
      <c r="AC235" s="3">
        <f>(O235-Pool!$D$3)/Pool!$E$3</f>
        <v>-0.62876039879510515</v>
      </c>
      <c r="AD235" s="3">
        <f>(P235-Pool!$D$4)/Pool!$E$4</f>
        <v>-1.4013524703444982</v>
      </c>
      <c r="AE235" s="3">
        <f>(Q235-Pool!$D$5)/Pool!$E$5</f>
        <v>-2.2632643007413114</v>
      </c>
      <c r="AF235" s="3">
        <f>(R235-Pool!$D$6)/Pool!$E$6</f>
        <v>-0.35900781165883094</v>
      </c>
      <c r="AG235" s="3">
        <f>(S235-Pool!$D$7)/Pool!$E$7</f>
        <v>-1.4570193479017981</v>
      </c>
      <c r="AH235" s="3">
        <f>(AS235-Pool!$D$8)/Pool!$E$8</f>
        <v>1.141334858199248</v>
      </c>
      <c r="AI235" s="3">
        <f>(AT235-Pool!$D$9)/Pool!$E$9</f>
        <v>-0.71108471690156683</v>
      </c>
      <c r="AJ235" s="3">
        <f>-(T235-Pool!$D$10)/Pool!$E$10</f>
        <v>1.5677866397173172</v>
      </c>
      <c r="AL235">
        <f>MATCH(B235,'Player Data'!$A:$A,0)</f>
        <v>215</v>
      </c>
      <c r="AM235" s="3">
        <f>1+IF(Settings!$F$10="ON",IFERROR(VLOOKUP(TRIM(F235),Settings!$D$12:$F$17,3,FALSE),0),0)</f>
        <v>1</v>
      </c>
      <c r="AN235" t="str">
        <f t="shared" si="23"/>
        <v>PF</v>
      </c>
      <c r="AO235" s="6">
        <f>X235*(U235-Pool!$B$12)</f>
        <v>53.463028460241972</v>
      </c>
      <c r="AP235" s="6">
        <f>Z235*(V235-Pool!$B$13)</f>
        <v>-14.703392957206569</v>
      </c>
      <c r="AQ235" s="3">
        <f>Settings!$B$2*(N235-Pool!$B$2)/Pool!$C$2+Settings!$B$3*(O235-Pool!$B$3)/Pool!$C$3+Settings!$B$4*(P235-Pool!$B$4)/Pool!$C$4+Settings!$B$5*(Q235-Pool!$B$5)/Pool!$C$5+Settings!$B$6*(R235-Pool!$B$6)/Pool!$C$6+Settings!$B$7*(S235-Pool!$B$7)/Pool!$C$7+Settings!$B$8*(AO235-Pool!$B$8)/Pool!$C$8+Settings!$B$9*(AP235-Pool!$B$9)/Pool!$C$9+Settings!$B$10*-(T235-Pool!$B$10)/Pool!$C$10</f>
        <v>-3.4248851546252057</v>
      </c>
      <c r="AR235">
        <f>IF(RANK(AQ235,$AQ$2:$AQ$266)&lt;=Settings!$F$5,1,0)</f>
        <v>0</v>
      </c>
      <c r="AS235" s="6">
        <f>X235*(U235-Pool!$D$12)</f>
        <v>52.188231272949004</v>
      </c>
      <c r="AT235" s="6">
        <f>Z235*(V235-Pool!$D$13)</f>
        <v>-15.864718135805544</v>
      </c>
    </row>
    <row r="236" spans="1:46" x14ac:dyDescent="0.2">
      <c r="A236">
        <f t="shared" si="18"/>
        <v>235</v>
      </c>
      <c r="B236" t="s">
        <v>277</v>
      </c>
      <c r="C236" t="str">
        <f>INDEX('Player Data'!$C:$C,AL236)</f>
        <v>C</v>
      </c>
      <c r="D236">
        <f t="shared" si="19"/>
        <v>50</v>
      </c>
      <c r="E236" t="str">
        <f>INDEX('Player Data'!$B:$B,AL236)</f>
        <v>PHI</v>
      </c>
      <c r="F236" s="2"/>
      <c r="G236" s="3">
        <f>Settings!$B$2*AB236+Settings!$B$3*AC236+Settings!$B$4*AD236+Settings!$B$5*AE236+Settings!$B$6*AF236+Settings!$B$7*AG236+Settings!$B$8*AH236+Settings!$B$9*AI236+Settings!$B$10*AJ236</f>
        <v>-5.9966903991868605</v>
      </c>
      <c r="H236" s="3">
        <f>G236-LARGE($G$2:$G$266,Settings!$F$4)</f>
        <v>-2.7804256327396955</v>
      </c>
      <c r="I236">
        <f>IF(INDEX('Player Data'!$R:$R,AL236)="","",INDEX('Player Data'!$R:$R,AL236))</f>
        <v>89</v>
      </c>
      <c r="J236" s="4">
        <f t="shared" si="20"/>
        <v>-146</v>
      </c>
      <c r="L236" s="5">
        <f>IF(Settings!$F$7="Yes",INDEX('Minutes &amp; Health'!$O:$O,AL236),Settings!$F$8)</f>
        <v>74</v>
      </c>
      <c r="M236" s="6">
        <f>INDEX('Minutes &amp; Health'!$P:$P,AL236)</f>
        <v>14.9</v>
      </c>
      <c r="N236" s="5">
        <f>INDEX('Player Data'!$F:$F,AL236)/INDEX('Player Data'!$E:$E,AL236)*M236*L236*AM236</f>
        <v>318.03839854413104</v>
      </c>
      <c r="O236" s="5">
        <f>INDEX('Player Data'!$G:$G,AL236)/INDEX('Player Data'!$E:$E,AL236)*M236*L236*AM236</f>
        <v>277.90737033666971</v>
      </c>
      <c r="P236" s="5">
        <f>INDEX('Player Data'!$H:$H,AL236)/INDEX('Player Data'!$E:$E,AL236)*M236*L236*AM236</f>
        <v>29.094995450409463</v>
      </c>
      <c r="Q236" s="5">
        <f>INDEX('Player Data'!$I:$I,AL236)/INDEX('Player Data'!$E:$E,AL236)*M236*L236*AM236</f>
        <v>26.085168334849861</v>
      </c>
      <c r="R236" s="5">
        <f>INDEX('Player Data'!$J:$J,AL236)/INDEX('Player Data'!$E:$E,AL236)*M236*L236*AM236</f>
        <v>80.262056414922654</v>
      </c>
      <c r="S236" s="5">
        <f>INDEX('Player Data'!$K:$K,AL236)/INDEX('Player Data'!$E:$E,AL236)*M236*L236*AM236</f>
        <v>1.0032757051865333</v>
      </c>
      <c r="T236" s="5">
        <f>INDEX('Player Data'!$L:$L,AL236)/INDEX('Player Data'!$E:$E,AL236)*M236*L236*AM236</f>
        <v>53.173612374886261</v>
      </c>
      <c r="U236" s="7">
        <f>INDEX('Player Data'!$M:$M,AL236)</f>
        <v>0.64</v>
      </c>
      <c r="V236" s="7">
        <f>INDEX('Player Data'!$N:$N,AL236)</f>
        <v>0.69699999999999995</v>
      </c>
      <c r="W236" s="5">
        <f t="shared" si="21"/>
        <v>128.74033848953596</v>
      </c>
      <c r="X236" s="5">
        <f>INDEX('Player Data'!$O:$O,AL236)/INDEX('Player Data'!$E:$E,AL236)*M236*L236*AM236</f>
        <v>201.15677888989993</v>
      </c>
      <c r="Y236" s="5">
        <f t="shared" si="22"/>
        <v>59.57892578707915</v>
      </c>
      <c r="Z236" s="5">
        <f>INDEX('Player Data'!$P:$P,AL236)/INDEX('Player Data'!$E:$E,AL236)*M236*L236*AM236</f>
        <v>85.479090081892622</v>
      </c>
      <c r="AB236" s="3">
        <f>(N236-Pool!$D$2)/Pool!$E$2</f>
        <v>-2.2710710334349029</v>
      </c>
      <c r="AC236" s="3">
        <f>(O236-Pool!$D$3)/Pool!$E$3</f>
        <v>-0.88190858554929497</v>
      </c>
      <c r="AD236" s="3">
        <f>(P236-Pool!$D$4)/Pool!$E$4</f>
        <v>-1.6973761343292117</v>
      </c>
      <c r="AE236" s="3">
        <f>(Q236-Pool!$D$5)/Pool!$E$5</f>
        <v>-2.1251671152334617</v>
      </c>
      <c r="AF236" s="3">
        <f>(R236-Pool!$D$6)/Pool!$E$6</f>
        <v>0.86613662959443127</v>
      </c>
      <c r="AG236" s="3">
        <f>(S236-Pool!$D$7)/Pool!$E$7</f>
        <v>-1.7240500927171716</v>
      </c>
      <c r="AH236" s="3">
        <f>(AS236-Pool!$D$8)/Pool!$E$8</f>
        <v>0.68595376964453281</v>
      </c>
      <c r="AI236" s="3">
        <f>(AT236-Pool!$D$9)/Pool!$E$9</f>
        <v>-0.39515674010851687</v>
      </c>
      <c r="AJ236" s="3">
        <f>-(T236-Pool!$D$10)/Pool!$E$10</f>
        <v>1.5459489029467357</v>
      </c>
      <c r="AL236">
        <f>MATCH(B236,'Player Data'!$A:$A,0)</f>
        <v>259</v>
      </c>
      <c r="AM236" s="3">
        <f>1+IF(Settings!$F$10="ON",IFERROR(VLOOKUP(TRIM(F236),Settings!$D$12:$F$17,3,FALSE),0),0)</f>
        <v>1</v>
      </c>
      <c r="AN236" t="str">
        <f t="shared" si="23"/>
        <v>C</v>
      </c>
      <c r="AO236" s="6">
        <f>X236*(U236-Pool!$B$12)</f>
        <v>32.063028787216297</v>
      </c>
      <c r="AP236" s="6">
        <f>Z236*(V236-Pool!$B$13)</f>
        <v>-7.9580739874700157</v>
      </c>
      <c r="AQ236" s="3">
        <f>Settings!$B$2*(N236-Pool!$B$2)/Pool!$C$2+Settings!$B$3*(O236-Pool!$B$3)/Pool!$C$3+Settings!$B$4*(P236-Pool!$B$4)/Pool!$C$4+Settings!$B$5*(Q236-Pool!$B$5)/Pool!$C$5+Settings!$B$6*(R236-Pool!$B$6)/Pool!$C$6+Settings!$B$7*(S236-Pool!$B$7)/Pool!$C$7+Settings!$B$8*(AO236-Pool!$B$8)/Pool!$C$8+Settings!$B$9*(AP236-Pool!$B$9)/Pool!$C$9+Settings!$B$10*-(T236-Pool!$B$10)/Pool!$C$10</f>
        <v>-3.5060885025146882</v>
      </c>
      <c r="AR236">
        <f>IF(RANK(AQ236,$AQ$2:$AQ$266)&lt;=Settings!$F$5,1,0)</f>
        <v>0</v>
      </c>
      <c r="AS236" s="6">
        <f>X236*(U236-Pool!$D$12)</f>
        <v>31.365653747964817</v>
      </c>
      <c r="AT236" s="6">
        <f>Z236*(V236-Pool!$D$13)</f>
        <v>-8.8161792150472156</v>
      </c>
    </row>
    <row r="237" spans="1:46" x14ac:dyDescent="0.2">
      <c r="A237">
        <f t="shared" si="18"/>
        <v>236</v>
      </c>
      <c r="B237" t="s">
        <v>278</v>
      </c>
      <c r="C237" t="str">
        <f>INDEX('Player Data'!$C:$C,AL237)</f>
        <v>C</v>
      </c>
      <c r="D237">
        <f t="shared" si="19"/>
        <v>51</v>
      </c>
      <c r="E237" t="str">
        <f>INDEX('Player Data'!$B:$B,AL237)</f>
        <v>PHO</v>
      </c>
      <c r="F237" s="2"/>
      <c r="G237" s="3">
        <f>Settings!$B$2*AB237+Settings!$B$3*AC237+Settings!$B$4*AD237+Settings!$B$5*AE237+Settings!$B$6*AF237+Settings!$B$7*AG237+Settings!$B$8*AH237+Settings!$B$9*AI237+Settings!$B$10*AJ237</f>
        <v>-6.0471951468273453</v>
      </c>
      <c r="H237" s="3">
        <f>G237-LARGE($G$2:$G$266,Settings!$F$4)</f>
        <v>-2.8309303803801802</v>
      </c>
      <c r="I237" t="str">
        <f>IF(INDEX('Player Data'!$R:$R,AL237)="","",INDEX('Player Data'!$R:$R,AL237))</f>
        <v/>
      </c>
      <c r="J237" s="4" t="str">
        <f t="shared" si="20"/>
        <v/>
      </c>
      <c r="L237" s="5">
        <f>IF(Settings!$F$7="Yes",INDEX('Minutes &amp; Health'!$O:$O,AL237),Settings!$F$8)</f>
        <v>72</v>
      </c>
      <c r="M237" s="6">
        <f>INDEX('Minutes &amp; Health'!$P:$P,AL237)</f>
        <v>14.9</v>
      </c>
      <c r="N237" s="5">
        <f>INDEX('Player Data'!$F:$F,AL237)/INDEX('Player Data'!$E:$E,AL237)*M237*L237*AM237</f>
        <v>361.94467289719626</v>
      </c>
      <c r="O237" s="5">
        <f>INDEX('Player Data'!$G:$G,AL237)/INDEX('Player Data'!$E:$E,AL237)*M237*L237*AM237</f>
        <v>352.9211214953271</v>
      </c>
      <c r="P237" s="5">
        <f>INDEX('Player Data'!$H:$H,AL237)/INDEX('Player Data'!$E:$E,AL237)*M237*L237*AM237</f>
        <v>15.039252336448598</v>
      </c>
      <c r="Q237" s="5">
        <f>INDEX('Player Data'!$I:$I,AL237)/INDEX('Player Data'!$E:$E,AL237)*M237*L237*AM237</f>
        <v>15.039252336448598</v>
      </c>
      <c r="R237" s="5">
        <f>INDEX('Player Data'!$J:$J,AL237)/INDEX('Player Data'!$E:$E,AL237)*M237*L237*AM237</f>
        <v>88.230280373831775</v>
      </c>
      <c r="S237" s="5">
        <f>INDEX('Player Data'!$K:$K,AL237)/INDEX('Player Data'!$E:$E,AL237)*M237*L237*AM237</f>
        <v>18.047102803738319</v>
      </c>
      <c r="T237" s="5">
        <f>INDEX('Player Data'!$L:$L,AL237)/INDEX('Player Data'!$E:$E,AL237)*M237*L237*AM237</f>
        <v>65.170093457943921</v>
      </c>
      <c r="U237" s="7">
        <f>INDEX('Player Data'!$M:$M,AL237)</f>
        <v>0.54100000000000004</v>
      </c>
      <c r="V237" s="7">
        <f>INDEX('Player Data'!$N:$N,AL237)</f>
        <v>0.71599999999999997</v>
      </c>
      <c r="W237" s="5">
        <f t="shared" si="21"/>
        <v>142.16715521495331</v>
      </c>
      <c r="X237" s="5">
        <f>INDEX('Player Data'!$O:$O,AL237)/INDEX('Player Data'!$E:$E,AL237)*M237*L237*AM237</f>
        <v>262.78586915887854</v>
      </c>
      <c r="Y237" s="5">
        <f t="shared" si="22"/>
        <v>59.511725158878498</v>
      </c>
      <c r="Z237" s="5">
        <f>INDEX('Player Data'!$P:$P,AL237)/INDEX('Player Data'!$E:$E,AL237)*M237*L237*AM237</f>
        <v>83.116934579439246</v>
      </c>
      <c r="AB237" s="3">
        <f>(N237-Pool!$D$2)/Pool!$E$2</f>
        <v>-2.1628437728327281</v>
      </c>
      <c r="AC237" s="3">
        <f>(O237-Pool!$D$3)/Pool!$E$3</f>
        <v>-0.44529032132487467</v>
      </c>
      <c r="AD237" s="3">
        <f>(P237-Pool!$D$4)/Pool!$E$4</f>
        <v>-1.7924397300942523</v>
      </c>
      <c r="AE237" s="3">
        <f>(Q237-Pool!$D$5)/Pool!$E$5</f>
        <v>-2.6128240825555684</v>
      </c>
      <c r="AF237" s="3">
        <f>(R237-Pool!$D$6)/Pool!$E$6</f>
        <v>1.0967428141346491</v>
      </c>
      <c r="AG237" s="3">
        <f>(S237-Pool!$D$7)/Pool!$E$7</f>
        <v>-1.483999516777017</v>
      </c>
      <c r="AH237" s="3">
        <f>(AS237-Pool!$D$8)/Pool!$E$8</f>
        <v>0.32715705021572528</v>
      </c>
      <c r="AI237" s="3">
        <f>(AT237-Pool!$D$9)/Pool!$E$9</f>
        <v>-0.31345334571009659</v>
      </c>
      <c r="AJ237" s="3">
        <f>-(T237-Pool!$D$10)/Pool!$E$10</f>
        <v>1.3397557581168176</v>
      </c>
      <c r="AL237">
        <f>MATCH(B237,'Player Data'!$A:$A,0)</f>
        <v>252</v>
      </c>
      <c r="AM237" s="3">
        <f>1+IF(Settings!$F$10="ON",IFERROR(VLOOKUP(TRIM(F237),Settings!$D$12:$F$17,3,FALSE),0),0)</f>
        <v>1</v>
      </c>
      <c r="AN237" t="str">
        <f t="shared" si="23"/>
        <v>C</v>
      </c>
      <c r="AO237" s="6">
        <f>X237*(U237-Pool!$B$12)</f>
        <v>15.870487519894288</v>
      </c>
      <c r="AP237" s="6">
        <f>Z237*(V237-Pool!$B$13)</f>
        <v>-6.1589363628441101</v>
      </c>
      <c r="AQ237" s="3">
        <f>Settings!$B$2*(N237-Pool!$B$2)/Pool!$C$2+Settings!$B$3*(O237-Pool!$B$3)/Pool!$C$3+Settings!$B$4*(P237-Pool!$B$4)/Pool!$C$4+Settings!$B$5*(Q237-Pool!$B$5)/Pool!$C$5+Settings!$B$6*(R237-Pool!$B$6)/Pool!$C$6+Settings!$B$7*(S237-Pool!$B$7)/Pool!$C$7+Settings!$B$8*(AO237-Pool!$B$8)/Pool!$C$8+Settings!$B$9*(AP237-Pool!$B$9)/Pool!$C$9+Settings!$B$10*-(T237-Pool!$B$10)/Pool!$C$10</f>
        <v>-3.5138391436968472</v>
      </c>
      <c r="AR237">
        <f>IF(RANK(AQ237,$AQ$2:$AQ$266)&lt;=Settings!$F$5,1,0)</f>
        <v>0</v>
      </c>
      <c r="AS237" s="6">
        <f>X237*(U237-Pool!$D$12)</f>
        <v>14.959455304968479</v>
      </c>
      <c r="AT237" s="6">
        <f>Z237*(V237-Pool!$D$13)</f>
        <v>-6.9933284462703424</v>
      </c>
    </row>
    <row r="238" spans="1:46" x14ac:dyDescent="0.2">
      <c r="A238">
        <f t="shared" si="18"/>
        <v>237</v>
      </c>
      <c r="B238" t="s">
        <v>279</v>
      </c>
      <c r="C238" t="str">
        <f>INDEX('Player Data'!$C:$C,AL238)</f>
        <v>PG,SG</v>
      </c>
      <c r="D238">
        <f t="shared" si="19"/>
        <v>75</v>
      </c>
      <c r="E238" t="str">
        <f>INDEX('Player Data'!$B:$B,AL238)</f>
        <v>WAS</v>
      </c>
      <c r="F238" s="2"/>
      <c r="G238" s="3">
        <f>Settings!$B$2*AB238+Settings!$B$3*AC238+Settings!$B$4*AD238+Settings!$B$5*AE238+Settings!$B$6*AF238+Settings!$B$7*AG238+Settings!$B$8*AH238+Settings!$B$9*AI238+Settings!$B$10*AJ238</f>
        <v>-6.118080111863252</v>
      </c>
      <c r="H238" s="3">
        <f>G238-LARGE($G$2:$G$266,Settings!$F$4)</f>
        <v>-2.9018153454160869</v>
      </c>
      <c r="I238" t="str">
        <f>IF(INDEX('Player Data'!$R:$R,AL238)="","",INDEX('Player Data'!$R:$R,AL238))</f>
        <v/>
      </c>
      <c r="J238" s="4" t="str">
        <f t="shared" si="20"/>
        <v/>
      </c>
      <c r="L238" s="5">
        <f>IF(Settings!$F$7="Yes",INDEX('Minutes &amp; Health'!$O:$O,AL238),Settings!$F$8)</f>
        <v>80</v>
      </c>
      <c r="M238" s="6">
        <f>INDEX('Minutes &amp; Health'!$P:$P,AL238)</f>
        <v>23.6</v>
      </c>
      <c r="N238" s="5">
        <f>INDEX('Player Data'!$F:$F,AL238)/INDEX('Player Data'!$E:$E,AL238)*M238*L238*AM238</f>
        <v>642.63847780126855</v>
      </c>
      <c r="O238" s="5">
        <f>INDEX('Player Data'!$G:$G,AL238)/INDEX('Player Data'!$E:$E,AL238)*M238*L238*AM238</f>
        <v>229.51374207188164</v>
      </c>
      <c r="P238" s="5">
        <f>INDEX('Player Data'!$H:$H,AL238)/INDEX('Player Data'!$E:$E,AL238)*M238*L238*AM238</f>
        <v>282.40169133192393</v>
      </c>
      <c r="Q238" s="5">
        <f>INDEX('Player Data'!$I:$I,AL238)/INDEX('Player Data'!$E:$E,AL238)*M238*L238*AM238</f>
        <v>40.913319238900634</v>
      </c>
      <c r="R238" s="5">
        <f>INDEX('Player Data'!$J:$J,AL238)/INDEX('Player Data'!$E:$E,AL238)*M238*L238*AM238</f>
        <v>15.9661733615222</v>
      </c>
      <c r="S238" s="5">
        <f>INDEX('Player Data'!$K:$K,AL238)/INDEX('Player Data'!$E:$E,AL238)*M238*L238*AM238</f>
        <v>114.75687103594082</v>
      </c>
      <c r="T238" s="5">
        <f>INDEX('Player Data'!$L:$L,AL238)/INDEX('Player Data'!$E:$E,AL238)*M238*L238*AM238</f>
        <v>136.71035940803384</v>
      </c>
      <c r="U238" s="7">
        <f>INDEX('Player Data'!$M:$M,AL238)</f>
        <v>0.41499999999999998</v>
      </c>
      <c r="V238" s="7">
        <f>INDEX('Player Data'!$N:$N,AL238)</f>
        <v>0.755</v>
      </c>
      <c r="W238" s="5">
        <f t="shared" si="21"/>
        <v>228.14015221987313</v>
      </c>
      <c r="X238" s="5">
        <f>INDEX('Player Data'!$O:$O,AL238)/INDEX('Player Data'!$E:$E,AL238)*M238*L238*AM238</f>
        <v>549.73530655391119</v>
      </c>
      <c r="Y238" s="5">
        <f t="shared" si="22"/>
        <v>71.648701902748414</v>
      </c>
      <c r="Z238" s="5">
        <f>INDEX('Player Data'!$P:$P,AL238)/INDEX('Player Data'!$E:$E,AL238)*M238*L238*AM238</f>
        <v>94.898942917547572</v>
      </c>
      <c r="AB238" s="3">
        <f>(N238-Pool!$D$2)/Pool!$E$2</f>
        <v>-1.4709444481830558</v>
      </c>
      <c r="AC238" s="3">
        <f>(O238-Pool!$D$3)/Pool!$E$3</f>
        <v>-1.1635841669744087</v>
      </c>
      <c r="AD238" s="3">
        <f>(P238-Pool!$D$4)/Pool!$E$4</f>
        <v>1.5820040830010842E-2</v>
      </c>
      <c r="AE238" s="3">
        <f>(Q238-Pool!$D$5)/Pool!$E$5</f>
        <v>-1.4705314017344142</v>
      </c>
      <c r="AF238" s="3">
        <f>(R238-Pool!$D$6)/Pool!$E$6</f>
        <v>-0.99463289057083881</v>
      </c>
      <c r="AG238" s="3">
        <f>(S238-Pool!$D$7)/Pool!$E$7</f>
        <v>-0.12190898224257134</v>
      </c>
      <c r="AH238" s="3">
        <f>(AS238-Pool!$D$8)/Pool!$E$8</f>
        <v>-0.83043602630450453</v>
      </c>
      <c r="AI238" s="3">
        <f>(AT238-Pool!$D$9)/Pool!$E$9</f>
        <v>-0.19199804907717161</v>
      </c>
      <c r="AJ238" s="3">
        <f>-(T238-Pool!$D$10)/Pool!$E$10</f>
        <v>0.11013581239370142</v>
      </c>
      <c r="AL238">
        <f>MATCH(B238,'Player Data'!$A:$A,0)</f>
        <v>214</v>
      </c>
      <c r="AM238" s="3">
        <f>1+IF(Settings!$F$10="ON",IFERROR(VLOOKUP(TRIM(F238),Settings!$D$12:$F$17,3,FALSE),0),0)</f>
        <v>1</v>
      </c>
      <c r="AN238" t="str">
        <f t="shared" si="23"/>
        <v>PG</v>
      </c>
      <c r="AO238" s="6">
        <f>X238*(U238-Pool!$B$12)</f>
        <v>-36.066357644262574</v>
      </c>
      <c r="AP238" s="6">
        <f>Z238*(V238-Pool!$B$13)</f>
        <v>-3.3309203684653612</v>
      </c>
      <c r="AQ238" s="3">
        <f>Settings!$B$2*(N238-Pool!$B$2)/Pool!$C$2+Settings!$B$3*(O238-Pool!$B$3)/Pool!$C$3+Settings!$B$4*(P238-Pool!$B$4)/Pool!$C$4+Settings!$B$5*(Q238-Pool!$B$5)/Pool!$C$5+Settings!$B$6*(R238-Pool!$B$6)/Pool!$C$6+Settings!$B$7*(S238-Pool!$B$7)/Pool!$C$7+Settings!$B$8*(AO238-Pool!$B$8)/Pool!$C$8+Settings!$B$9*(AP238-Pool!$B$9)/Pool!$C$9+Settings!$B$10*-(T238-Pool!$B$10)/Pool!$C$10</f>
        <v>-4.0463289653827186</v>
      </c>
      <c r="AR238">
        <f>IF(RANK(AQ238,$AQ$2:$AQ$266)&lt;=Settings!$F$5,1,0)</f>
        <v>0</v>
      </c>
      <c r="AS238" s="6">
        <f>X238*(U238-Pool!$D$12)</f>
        <v>-37.972192899239438</v>
      </c>
      <c r="AT238" s="6">
        <f>Z238*(V238-Pool!$D$13)</f>
        <v>-4.2835893654221771</v>
      </c>
    </row>
    <row r="239" spans="1:46" x14ac:dyDescent="0.2">
      <c r="A239">
        <f t="shared" si="18"/>
        <v>238</v>
      </c>
      <c r="B239" t="s">
        <v>280</v>
      </c>
      <c r="C239" t="str">
        <f>INDEX('Player Data'!$C:$C,AL239)</f>
        <v>SF,PF</v>
      </c>
      <c r="D239">
        <f t="shared" si="19"/>
        <v>30</v>
      </c>
      <c r="E239" t="str">
        <f>INDEX('Player Data'!$B:$B,AL239)</f>
        <v>MIL</v>
      </c>
      <c r="F239" s="2"/>
      <c r="G239" s="3">
        <f>Settings!$B$2*AB239+Settings!$B$3*AC239+Settings!$B$4*AD239+Settings!$B$5*AE239+Settings!$B$6*AF239+Settings!$B$7*AG239+Settings!$B$8*AH239+Settings!$B$9*AI239+Settings!$B$10*AJ239</f>
        <v>-6.1340800865973266</v>
      </c>
      <c r="H239" s="3">
        <f>G239-LARGE($G$2:$G$266,Settings!$F$4)</f>
        <v>-2.9178153201501615</v>
      </c>
      <c r="I239">
        <f>IF(INDEX('Player Data'!$R:$R,AL239)="","",INDEX('Player Data'!$R:$R,AL239))</f>
        <v>171</v>
      </c>
      <c r="J239" s="4">
        <f t="shared" si="20"/>
        <v>-67</v>
      </c>
      <c r="L239" s="5">
        <f>IF(Settings!$F$7="Yes",INDEX('Minutes &amp; Health'!$O:$O,AL239),Settings!$F$8)</f>
        <v>73</v>
      </c>
      <c r="M239" s="6">
        <f>INDEX('Minutes &amp; Health'!$P:$P,AL239)</f>
        <v>24.5</v>
      </c>
      <c r="N239" s="5">
        <f>INDEX('Player Data'!$F:$F,AL239)/INDEX('Player Data'!$E:$E,AL239)*M239*L239*AM239</f>
        <v>849.8121161362368</v>
      </c>
      <c r="O239" s="5">
        <f>INDEX('Player Data'!$G:$G,AL239)/INDEX('Player Data'!$E:$E,AL239)*M239*L239*AM239</f>
        <v>300.57984366275821</v>
      </c>
      <c r="P239" s="5">
        <f>INDEX('Player Data'!$H:$H,AL239)/INDEX('Player Data'!$E:$E,AL239)*M239*L239*AM239</f>
        <v>163.77107761027361</v>
      </c>
      <c r="Q239" s="5">
        <f>INDEX('Player Data'!$I:$I,AL239)/INDEX('Player Data'!$E:$E,AL239)*M239*L239*AM239</f>
        <v>38.945561139028477</v>
      </c>
      <c r="R239" s="5">
        <f>INDEX('Player Data'!$J:$J,AL239)/INDEX('Player Data'!$E:$E,AL239)*M239*L239*AM239</f>
        <v>24.965103294249023</v>
      </c>
      <c r="S239" s="5">
        <f>INDEX('Player Data'!$K:$K,AL239)/INDEX('Player Data'!$E:$E,AL239)*M239*L239*AM239</f>
        <v>79.888330541596872</v>
      </c>
      <c r="T239" s="5">
        <f>INDEX('Player Data'!$L:$L,AL239)/INDEX('Player Data'!$E:$E,AL239)*M239*L239*AM239</f>
        <v>119.83249581239529</v>
      </c>
      <c r="U239" s="7">
        <f>INDEX('Player Data'!$M:$M,AL239)</f>
        <v>0.46500000000000002</v>
      </c>
      <c r="V239" s="7">
        <f>INDEX('Player Data'!$N:$N,AL239)</f>
        <v>0.69699999999999995</v>
      </c>
      <c r="W239" s="5">
        <f t="shared" si="21"/>
        <v>321.23796733668343</v>
      </c>
      <c r="X239" s="5">
        <f>INDEX('Player Data'!$O:$O,AL239)/INDEX('Player Data'!$E:$E,AL239)*M239*L239*AM239</f>
        <v>690.83433835845892</v>
      </c>
      <c r="Y239" s="5">
        <f t="shared" si="22"/>
        <v>127.37295561139027</v>
      </c>
      <c r="Z239" s="5">
        <f>INDEX('Player Data'!$P:$P,AL239)/INDEX('Player Data'!$E:$E,AL239)*M239*L239*AM239</f>
        <v>182.74455611390283</v>
      </c>
      <c r="AB239" s="3">
        <f>(N239-Pool!$D$2)/Pool!$E$2</f>
        <v>-0.96026947800276341</v>
      </c>
      <c r="AC239" s="3">
        <f>(O239-Pool!$D$3)/Pool!$E$3</f>
        <v>-0.74994323524473616</v>
      </c>
      <c r="AD239" s="3">
        <f>(P239-Pool!$D$4)/Pool!$E$4</f>
        <v>-0.78651766673610868</v>
      </c>
      <c r="AE239" s="3">
        <f>(Q239-Pool!$D$5)/Pool!$E$5</f>
        <v>-1.5574043190683913</v>
      </c>
      <c r="AF239" s="3">
        <f>(R239-Pool!$D$6)/Pool!$E$6</f>
        <v>-0.73419732708361529</v>
      </c>
      <c r="AG239" s="3">
        <f>(S239-Pool!$D$7)/Pool!$E$7</f>
        <v>-0.61300838025107862</v>
      </c>
      <c r="AH239" s="3">
        <f>(AS239-Pool!$D$8)/Pool!$E$8</f>
        <v>-0.28816878403521584</v>
      </c>
      <c r="AI239" s="3">
        <f>(AT239-Pool!$D$9)/Pool!$E$9</f>
        <v>-0.84480009084518892</v>
      </c>
      <c r="AJ239" s="3">
        <f>-(T239-Pool!$D$10)/Pool!$E$10</f>
        <v>0.40022919466977253</v>
      </c>
      <c r="AL239">
        <f>MATCH(B239,'Player Data'!$A:$A,0)</f>
        <v>145</v>
      </c>
      <c r="AM239" s="3">
        <f>1+IF(Settings!$F$10="ON",IFERROR(VLOOKUP(TRIM(F239),Settings!$D$12:$F$17,3,FALSE),0),0)</f>
        <v>1</v>
      </c>
      <c r="AN239" t="str">
        <f t="shared" si="23"/>
        <v>SF</v>
      </c>
      <c r="AO239" s="6">
        <f>X239*(U239-Pool!$B$12)</f>
        <v>-10.781692408580309</v>
      </c>
      <c r="AP239" s="6">
        <f>Z239*(V239-Pool!$B$13)</f>
        <v>-17.013455535950701</v>
      </c>
      <c r="AQ239" s="3">
        <f>Settings!$B$2*(N239-Pool!$B$2)/Pool!$C$2+Settings!$B$3*(O239-Pool!$B$3)/Pool!$C$3+Settings!$B$4*(P239-Pool!$B$4)/Pool!$C$4+Settings!$B$5*(Q239-Pool!$B$5)/Pool!$C$5+Settings!$B$6*(R239-Pool!$B$6)/Pool!$C$6+Settings!$B$7*(S239-Pool!$B$7)/Pool!$C$7+Settings!$B$8*(AO239-Pool!$B$8)/Pool!$C$8+Settings!$B$9*(AP239-Pool!$B$9)/Pool!$C$9+Settings!$B$10*-(T239-Pool!$B$10)/Pool!$C$10</f>
        <v>-4.1072362772227446</v>
      </c>
      <c r="AR239">
        <f>IF(RANK(AQ239,$AQ$2:$AQ$266)&lt;=Settings!$F$5,1,0)</f>
        <v>0</v>
      </c>
      <c r="AS239" s="6">
        <f>X239*(U239-Pool!$D$12)</f>
        <v>-13.176693096539671</v>
      </c>
      <c r="AT239" s="6">
        <f>Z239*(V239-Pool!$D$13)</f>
        <v>-18.847986750103548</v>
      </c>
    </row>
    <row r="240" spans="1:46" x14ac:dyDescent="0.2">
      <c r="A240">
        <f t="shared" si="18"/>
        <v>239</v>
      </c>
      <c r="B240" t="s">
        <v>281</v>
      </c>
      <c r="C240" t="str">
        <f>INDEX('Player Data'!$C:$C,AL240)</f>
        <v>PF,C</v>
      </c>
      <c r="D240">
        <f t="shared" si="19"/>
        <v>68</v>
      </c>
      <c r="E240" t="str">
        <f>INDEX('Player Data'!$B:$B,AL240)</f>
        <v>CHA</v>
      </c>
      <c r="F240" s="2"/>
      <c r="G240" s="3">
        <f>Settings!$B$2*AB240+Settings!$B$3*AC240+Settings!$B$4*AD240+Settings!$B$5*AE240+Settings!$B$6*AF240+Settings!$B$7*AG240+Settings!$B$8*AH240+Settings!$B$9*AI240+Settings!$B$10*AJ240</f>
        <v>-6.2300165387626194</v>
      </c>
      <c r="H240" s="3">
        <f>G240-LARGE($G$2:$G$266,Settings!$F$4)</f>
        <v>-3.0137517723154543</v>
      </c>
      <c r="I240" t="str">
        <f>IF(INDEX('Player Data'!$R:$R,AL240)="","",INDEX('Player Data'!$R:$R,AL240))</f>
        <v/>
      </c>
      <c r="J240" s="4" t="str">
        <f t="shared" si="20"/>
        <v/>
      </c>
      <c r="L240" s="5">
        <f>IF(Settings!$F$7="Yes",INDEX('Minutes &amp; Health'!$O:$O,AL240),Settings!$F$8)</f>
        <v>71</v>
      </c>
      <c r="M240" s="6">
        <f>INDEX('Minutes &amp; Health'!$P:$P,AL240)</f>
        <v>18.100000000000001</v>
      </c>
      <c r="N240" s="5">
        <f>INDEX('Player Data'!$F:$F,AL240)/INDEX('Player Data'!$E:$E,AL240)*M240*L240*AM240</f>
        <v>436.05187207488308</v>
      </c>
      <c r="O240" s="5">
        <f>INDEX('Player Data'!$G:$G,AL240)/INDEX('Player Data'!$E:$E,AL240)*M240*L240*AM240</f>
        <v>227.54890795631829</v>
      </c>
      <c r="P240" s="5">
        <f>INDEX('Player Data'!$H:$H,AL240)/INDEX('Player Data'!$E:$E,AL240)*M240*L240*AM240</f>
        <v>95.229719188767561</v>
      </c>
      <c r="Q240" s="5">
        <f>INDEX('Player Data'!$I:$I,AL240)/INDEX('Player Data'!$E:$E,AL240)*M240*L240*AM240</f>
        <v>33.079797191887678</v>
      </c>
      <c r="R240" s="5">
        <f>INDEX('Player Data'!$J:$J,AL240)/INDEX('Player Data'!$E:$E,AL240)*M240*L240*AM240</f>
        <v>31.074960998439941</v>
      </c>
      <c r="S240" s="5">
        <f>INDEX('Player Data'!$K:$K,AL240)/INDEX('Player Data'!$E:$E,AL240)*M240*L240*AM240</f>
        <v>84.203120124804997</v>
      </c>
      <c r="T240" s="5">
        <f>INDEX('Player Data'!$L:$L,AL240)/INDEX('Player Data'!$E:$E,AL240)*M240*L240*AM240</f>
        <v>58.140249609984402</v>
      </c>
      <c r="U240" s="7">
        <f>INDEX('Player Data'!$M:$M,AL240)</f>
        <v>0.42599999999999999</v>
      </c>
      <c r="V240" s="7">
        <f>INDEX('Player Data'!$N:$N,AL240)</f>
        <v>0.81499999999999995</v>
      </c>
      <c r="W240" s="5">
        <f t="shared" si="21"/>
        <v>140.15128184087365</v>
      </c>
      <c r="X240" s="5">
        <f>INDEX('Player Data'!$O:$O,AL240)/INDEX('Player Data'!$E:$E,AL240)*M240*L240*AM240</f>
        <v>328.99361934477383</v>
      </c>
      <c r="Y240" s="5">
        <f t="shared" si="22"/>
        <v>71.566637597503899</v>
      </c>
      <c r="Z240" s="5">
        <f>INDEX('Player Data'!$P:$P,AL240)/INDEX('Player Data'!$E:$E,AL240)*M240*L240*AM240</f>
        <v>87.811825273010925</v>
      </c>
      <c r="AB240" s="3">
        <f>(N240-Pool!$D$2)/Pool!$E$2</f>
        <v>-1.9801724057883308</v>
      </c>
      <c r="AC240" s="3">
        <f>(O240-Pool!$D$3)/Pool!$E$3</f>
        <v>-1.1750205029498184</v>
      </c>
      <c r="AD240" s="3">
        <f>(P240-Pool!$D$4)/Pool!$E$4</f>
        <v>-1.2500853299567747</v>
      </c>
      <c r="AE240" s="3">
        <f>(Q240-Pool!$D$5)/Pool!$E$5</f>
        <v>-1.8163670576863606</v>
      </c>
      <c r="AF240" s="3">
        <f>(R240-Pool!$D$6)/Pool!$E$6</f>
        <v>-0.55737361071809077</v>
      </c>
      <c r="AG240" s="3">
        <f>(S240-Pool!$D$7)/Pool!$E$7</f>
        <v>-0.55223753820248156</v>
      </c>
      <c r="AH240" s="3">
        <f>(AS240-Pool!$D$8)/Pool!$E$8</f>
        <v>-0.41783678956021103</v>
      </c>
      <c r="AI240" s="3">
        <f>(AT240-Pool!$D$9)/Pool!$E$9</f>
        <v>5.8493371912350448E-2</v>
      </c>
      <c r="AJ240" s="3">
        <f>-(T240-Pool!$D$10)/Pool!$E$10</f>
        <v>1.4605833241870987</v>
      </c>
      <c r="AL240">
        <f>MATCH(B240,'Player Data'!$A:$A,0)</f>
        <v>241</v>
      </c>
      <c r="AM240" s="3">
        <f>1+IF(Settings!$F$10="ON",IFERROR(VLOOKUP(TRIM(F240),Settings!$D$12:$F$17,3,FALSE),0),0)</f>
        <v>1</v>
      </c>
      <c r="AN240" t="str">
        <f t="shared" si="23"/>
        <v>PF</v>
      </c>
      <c r="AO240" s="6">
        <f>X240*(U240-Pool!$B$12)</f>
        <v>-17.965278799075794</v>
      </c>
      <c r="AP240" s="6">
        <f>Z240*(V240-Pool!$B$13)</f>
        <v>2.1865445480297865</v>
      </c>
      <c r="AQ240" s="3">
        <f>Settings!$B$2*(N240-Pool!$B$2)/Pool!$C$2+Settings!$B$3*(O240-Pool!$B$3)/Pool!$C$3+Settings!$B$4*(P240-Pool!$B$4)/Pool!$C$4+Settings!$B$5*(Q240-Pool!$B$5)/Pool!$C$5+Settings!$B$6*(R240-Pool!$B$6)/Pool!$C$6+Settings!$B$7*(S240-Pool!$B$7)/Pool!$C$7+Settings!$B$8*(AO240-Pool!$B$8)/Pool!$C$8+Settings!$B$9*(AP240-Pool!$B$9)/Pool!$C$9+Settings!$B$10*-(T240-Pool!$B$10)/Pool!$C$10</f>
        <v>-4.003203848578031</v>
      </c>
      <c r="AR240">
        <f>IF(RANK(AQ240,$AQ$2:$AQ$266)&lt;=Settings!$F$5,1,0)</f>
        <v>0</v>
      </c>
      <c r="AS240" s="6">
        <f>X240*(U240-Pool!$D$12)</f>
        <v>-19.105841595269819</v>
      </c>
      <c r="AT240" s="6">
        <f>Z240*(V240-Pool!$D$13)</f>
        <v>1.3050215201445317</v>
      </c>
    </row>
    <row r="241" spans="1:46" x14ac:dyDescent="0.2">
      <c r="A241">
        <f t="shared" si="18"/>
        <v>240</v>
      </c>
      <c r="B241" t="s">
        <v>282</v>
      </c>
      <c r="C241" t="str">
        <f>INDEX('Player Data'!$C:$C,AL241)</f>
        <v>PG</v>
      </c>
      <c r="D241">
        <f t="shared" si="19"/>
        <v>76</v>
      </c>
      <c r="E241" t="str">
        <f>INDEX('Player Data'!$B:$B,AL241)</f>
        <v>BOS</v>
      </c>
      <c r="F241" s="2"/>
      <c r="G241" s="3">
        <f>Settings!$B$2*AB241+Settings!$B$3*AC241+Settings!$B$4*AD241+Settings!$B$5*AE241+Settings!$B$6*AF241+Settings!$B$7*AG241+Settings!$B$8*AH241+Settings!$B$9*AI241+Settings!$B$10*AJ241</f>
        <v>-6.2696882104590994</v>
      </c>
      <c r="H241" s="3">
        <f>G241-LARGE($G$2:$G$266,Settings!$F$4)</f>
        <v>-3.0534234440119343</v>
      </c>
      <c r="I241" t="str">
        <f>IF(INDEX('Player Data'!$R:$R,AL241)="","",INDEX('Player Data'!$R:$R,AL241))</f>
        <v/>
      </c>
      <c r="J241" s="4" t="str">
        <f t="shared" si="20"/>
        <v/>
      </c>
      <c r="L241" s="5">
        <f>IF(Settings!$F$7="Yes",INDEX('Minutes &amp; Health'!$O:$O,AL241),Settings!$F$8)</f>
        <v>67</v>
      </c>
      <c r="M241" s="6">
        <f>INDEX('Minutes &amp; Health'!$P:$P,AL241)</f>
        <v>18.2</v>
      </c>
      <c r="N241" s="5">
        <f>INDEX('Player Data'!$F:$F,AL241)/INDEX('Player Data'!$E:$E,AL241)*M241*L241*AM241</f>
        <v>358.41149425287352</v>
      </c>
      <c r="O241" s="5">
        <f>INDEX('Player Data'!$G:$G,AL241)/INDEX('Player Data'!$E:$E,AL241)*M241*L241*AM241</f>
        <v>125.14367816091954</v>
      </c>
      <c r="P241" s="5">
        <f>INDEX('Player Data'!$H:$H,AL241)/INDEX('Player Data'!$E:$E,AL241)*M241*L241*AM241</f>
        <v>188.216091954023</v>
      </c>
      <c r="Q241" s="5">
        <f>INDEX('Player Data'!$I:$I,AL241)/INDEX('Player Data'!$E:$E,AL241)*M241*L241*AM241</f>
        <v>44.050574712643673</v>
      </c>
      <c r="R241" s="5">
        <f>INDEX('Player Data'!$J:$J,AL241)/INDEX('Player Data'!$E:$E,AL241)*M241*L241*AM241</f>
        <v>13.014942528735633</v>
      </c>
      <c r="S241" s="5">
        <f>INDEX('Player Data'!$K:$K,AL241)/INDEX('Player Data'!$E:$E,AL241)*M241*L241*AM241</f>
        <v>82.094252873563221</v>
      </c>
      <c r="T241" s="5">
        <f>INDEX('Player Data'!$L:$L,AL241)/INDEX('Player Data'!$E:$E,AL241)*M241*L241*AM241</f>
        <v>44.050574712643673</v>
      </c>
      <c r="U241" s="7">
        <f>INDEX('Player Data'!$M:$M,AL241)</f>
        <v>0.36799999999999999</v>
      </c>
      <c r="V241" s="7">
        <f>INDEX('Player Data'!$N:$N,AL241)</f>
        <v>0.90100000000000002</v>
      </c>
      <c r="W241" s="5">
        <f t="shared" si="21"/>
        <v>106.36371678160918</v>
      </c>
      <c r="X241" s="5">
        <f>INDEX('Player Data'!$O:$O,AL241)/INDEX('Player Data'!$E:$E,AL241)*M241*L241*AM241</f>
        <v>289.03183908045975</v>
      </c>
      <c r="Y241" s="5">
        <f t="shared" si="22"/>
        <v>63.593512068965509</v>
      </c>
      <c r="Z241" s="5">
        <f>INDEX('Player Data'!$P:$P,AL241)/INDEX('Player Data'!$E:$E,AL241)*M241*L241*AM241</f>
        <v>70.581034482758611</v>
      </c>
      <c r="AB241" s="3">
        <f>(N241-Pool!$D$2)/Pool!$E$2</f>
        <v>-2.1715529209334812</v>
      </c>
      <c r="AC241" s="3">
        <f>(O241-Pool!$D$3)/Pool!$E$3</f>
        <v>-1.7710711335362301</v>
      </c>
      <c r="AD241" s="3">
        <f>(P241-Pool!$D$4)/Pool!$E$4</f>
        <v>-0.6211880258054443</v>
      </c>
      <c r="AE241" s="3">
        <f>(Q241-Pool!$D$5)/Pool!$E$5</f>
        <v>-1.3320273165809837</v>
      </c>
      <c r="AF241" s="3">
        <f>(R241-Pool!$D$6)/Pool!$E$6</f>
        <v>-1.08004365281296</v>
      </c>
      <c r="AG241" s="3">
        <f>(S241-Pool!$D$7)/Pool!$E$7</f>
        <v>-0.58193948221509906</v>
      </c>
      <c r="AH241" s="3">
        <f>(AS241-Pool!$D$8)/Pool!$E$8</f>
        <v>-0.73370185658143094</v>
      </c>
      <c r="AI241" s="3">
        <f>(AT241-Pool!$D$9)/Pool!$E$9</f>
        <v>0.31908230759010686</v>
      </c>
      <c r="AJ241" s="3">
        <f>-(T241-Pool!$D$10)/Pool!$E$10</f>
        <v>1.7027538704164236</v>
      </c>
      <c r="AL241">
        <f>MATCH(B241,'Player Data'!$A:$A,0)</f>
        <v>250</v>
      </c>
      <c r="AM241" s="3">
        <f>1+IF(Settings!$F$10="ON",IFERROR(VLOOKUP(TRIM(F241),Settings!$D$12:$F$17,3,FALSE),0),0)</f>
        <v>1</v>
      </c>
      <c r="AN241" t="str">
        <f t="shared" si="23"/>
        <v>PG</v>
      </c>
      <c r="AO241" s="6">
        <f>X241*(U241-Pool!$B$12)</f>
        <v>-32.546941734685205</v>
      </c>
      <c r="AP241" s="6">
        <f>Z241*(V241-Pool!$B$13)</f>
        <v>7.8274609167751059</v>
      </c>
      <c r="AQ241" s="3">
        <f>Settings!$B$2*(N241-Pool!$B$2)/Pool!$C$2+Settings!$B$3*(O241-Pool!$B$3)/Pool!$C$3+Settings!$B$4*(P241-Pool!$B$4)/Pool!$C$4+Settings!$B$5*(Q241-Pool!$B$5)/Pool!$C$5+Settings!$B$6*(R241-Pool!$B$6)/Pool!$C$6+Settings!$B$7*(S241-Pool!$B$7)/Pool!$C$7+Settings!$B$8*(AO241-Pool!$B$8)/Pool!$C$8+Settings!$B$9*(AP241-Pool!$B$9)/Pool!$C$9+Settings!$B$10*-(T241-Pool!$B$10)/Pool!$C$10</f>
        <v>-4.1450298713008022</v>
      </c>
      <c r="AR241">
        <f>IF(RANK(AQ241,$AQ$2:$AQ$266)&lt;=Settings!$F$5,1,0)</f>
        <v>0</v>
      </c>
      <c r="AS241" s="6">
        <f>X241*(U241-Pool!$D$12)</f>
        <v>-33.548964093742697</v>
      </c>
      <c r="AT241" s="6">
        <f>Z241*(V241-Pool!$D$13)</f>
        <v>7.1189138955160223</v>
      </c>
    </row>
    <row r="242" spans="1:46" x14ac:dyDescent="0.2">
      <c r="A242">
        <f t="shared" si="18"/>
        <v>241</v>
      </c>
      <c r="B242" t="s">
        <v>283</v>
      </c>
      <c r="C242" t="str">
        <f>INDEX('Player Data'!$C:$C,AL242)</f>
        <v>PF,SF</v>
      </c>
      <c r="D242">
        <f t="shared" si="19"/>
        <v>69</v>
      </c>
      <c r="E242" t="str">
        <f>INDEX('Player Data'!$B:$B,AL242)</f>
        <v>TOR</v>
      </c>
      <c r="F242" s="2"/>
      <c r="G242" s="3">
        <f>Settings!$B$2*AB242+Settings!$B$3*AC242+Settings!$B$4*AD242+Settings!$B$5*AE242+Settings!$B$6*AF242+Settings!$B$7*AG242+Settings!$B$8*AH242+Settings!$B$9*AI242+Settings!$B$10*AJ242</f>
        <v>-6.3201671612052177</v>
      </c>
      <c r="H242" s="3">
        <f>G242-LARGE($G$2:$G$266,Settings!$F$4)</f>
        <v>-3.1039023947580526</v>
      </c>
      <c r="I242" t="str">
        <f>IF(INDEX('Player Data'!$R:$R,AL242)="","",INDEX('Player Data'!$R:$R,AL242))</f>
        <v/>
      </c>
      <c r="J242" s="4" t="str">
        <f t="shared" si="20"/>
        <v/>
      </c>
      <c r="L242" s="5">
        <f>IF(Settings!$F$7="Yes",INDEX('Minutes &amp; Health'!$O:$O,AL242),Settings!$F$8)</f>
        <v>70</v>
      </c>
      <c r="M242" s="6">
        <f>INDEX('Minutes &amp; Health'!$P:$P,AL242)</f>
        <v>15.2</v>
      </c>
      <c r="N242" s="5">
        <f>INDEX('Player Data'!$F:$F,AL242)/INDEX('Player Data'!$E:$E,AL242)*M242*L242*AM242</f>
        <v>337.04967197750699</v>
      </c>
      <c r="O242" s="5">
        <f>INDEX('Player Data'!$G:$G,AL242)/INDEX('Player Data'!$E:$E,AL242)*M242*L242*AM242</f>
        <v>187.47141518275538</v>
      </c>
      <c r="P242" s="5">
        <f>INDEX('Player Data'!$H:$H,AL242)/INDEX('Player Data'!$E:$E,AL242)*M242*L242*AM242</f>
        <v>166.53045923149017</v>
      </c>
      <c r="Q242" s="5">
        <f>INDEX('Player Data'!$I:$I,AL242)/INDEX('Player Data'!$E:$E,AL242)*M242*L242*AM242</f>
        <v>47.865042174320521</v>
      </c>
      <c r="R242" s="5">
        <f>INDEX('Player Data'!$J:$J,AL242)/INDEX('Player Data'!$E:$E,AL242)*M242*L242*AM242</f>
        <v>31.910028116213685</v>
      </c>
      <c r="S242" s="5">
        <f>INDEX('Player Data'!$K:$K,AL242)/INDEX('Player Data'!$E:$E,AL242)*M242*L242*AM242</f>
        <v>12.963448922211809</v>
      </c>
      <c r="T242" s="5">
        <f>INDEX('Player Data'!$L:$L,AL242)/INDEX('Player Data'!$E:$E,AL242)*M242*L242*AM242</f>
        <v>45.870665417057168</v>
      </c>
      <c r="U242" s="7">
        <f>INDEX('Player Data'!$M:$M,AL242)</f>
        <v>0.48599999999999999</v>
      </c>
      <c r="V242" s="7">
        <f>INDEX('Player Data'!$N:$N,AL242)</f>
        <v>0.70199999999999996</v>
      </c>
      <c r="W242" s="5">
        <f t="shared" si="21"/>
        <v>134.04964048734769</v>
      </c>
      <c r="X242" s="5">
        <f>INDEX('Player Data'!$O:$O,AL242)/INDEX('Player Data'!$E:$E,AL242)*M242*L242*AM242</f>
        <v>275.822305529522</v>
      </c>
      <c r="Y242" s="5">
        <f t="shared" si="22"/>
        <v>55.932096719775053</v>
      </c>
      <c r="Z242" s="5">
        <f>INDEX('Player Data'!$P:$P,AL242)/INDEX('Player Data'!$E:$E,AL242)*M242*L242*AM242</f>
        <v>79.675351452671023</v>
      </c>
      <c r="AB242" s="3">
        <f>(N242-Pool!$D$2)/Pool!$E$2</f>
        <v>-2.2242089829746927</v>
      </c>
      <c r="AC242" s="3">
        <f>(O242-Pool!$D$3)/Pool!$E$3</f>
        <v>-1.4082919373065612</v>
      </c>
      <c r="AD242" s="3">
        <f>(P242-Pool!$D$4)/Pool!$E$4</f>
        <v>-0.76785506477518728</v>
      </c>
      <c r="AE242" s="3">
        <f>(Q242-Pool!$D$5)/Pool!$E$5</f>
        <v>-1.1636255620701386</v>
      </c>
      <c r="AF242" s="3">
        <f>(R242-Pool!$D$6)/Pool!$E$6</f>
        <v>-0.53320616225556494</v>
      </c>
      <c r="AG242" s="3">
        <f>(S242-Pool!$D$7)/Pool!$E$7</f>
        <v>-1.5555992833719583</v>
      </c>
      <c r="AH242" s="3">
        <f>(AS242-Pool!$D$8)/Pool!$E$8</f>
        <v>1.1620315076370449E-2</v>
      </c>
      <c r="AI242" s="3">
        <f>(AT242-Pool!$D$9)/Pool!$E$9</f>
        <v>-0.35047099479713845</v>
      </c>
      <c r="AJ242" s="3">
        <f>-(T242-Pool!$D$10)/Pool!$E$10</f>
        <v>1.6714705112696542</v>
      </c>
      <c r="AL242">
        <f>MATCH(B242,'Player Data'!$A:$A,0)</f>
        <v>254</v>
      </c>
      <c r="AM242" s="3">
        <f>1+IF(Settings!$F$10="ON",IFERROR(VLOOKUP(TRIM(F242),Settings!$D$12:$F$17,3,FALSE),0),0)</f>
        <v>1</v>
      </c>
      <c r="AN242" t="str">
        <f t="shared" si="23"/>
        <v>PF</v>
      </c>
      <c r="AO242" s="6">
        <f>X242*(U242-Pool!$B$12)</f>
        <v>1.4875732200023126</v>
      </c>
      <c r="AP242" s="6">
        <f>Z242*(V242-Pool!$B$13)</f>
        <v>-7.0193711531387528</v>
      </c>
      <c r="AQ242" s="3">
        <f>Settings!$B$2*(N242-Pool!$B$2)/Pool!$C$2+Settings!$B$3*(O242-Pool!$B$3)/Pool!$C$3+Settings!$B$4*(P242-Pool!$B$4)/Pool!$C$4+Settings!$B$5*(Q242-Pool!$B$5)/Pool!$C$5+Settings!$B$6*(R242-Pool!$B$6)/Pool!$C$6+Settings!$B$7*(S242-Pool!$B$7)/Pool!$C$7+Settings!$B$8*(AO242-Pool!$B$8)/Pool!$C$8+Settings!$B$9*(AP242-Pool!$B$9)/Pool!$C$9+Settings!$B$10*-(T242-Pool!$B$10)/Pool!$C$10</f>
        <v>-4.1771567933978559</v>
      </c>
      <c r="AR242">
        <f>IF(RANK(AQ242,$AQ$2:$AQ$266)&lt;=Settings!$F$5,1,0)</f>
        <v>0</v>
      </c>
      <c r="AS242" s="6">
        <f>X242*(U242-Pool!$D$12)</f>
        <v>0.53134598169301117</v>
      </c>
      <c r="AT242" s="6">
        <f>Z242*(V242-Pool!$D$13)</f>
        <v>-7.8192139629427242</v>
      </c>
    </row>
    <row r="243" spans="1:46" x14ac:dyDescent="0.2">
      <c r="A243">
        <f t="shared" si="18"/>
        <v>242</v>
      </c>
      <c r="B243" t="s">
        <v>284</v>
      </c>
      <c r="C243" t="str">
        <f>INDEX('Player Data'!$C:$C,AL243)</f>
        <v>PF,C</v>
      </c>
      <c r="D243">
        <f t="shared" si="19"/>
        <v>70</v>
      </c>
      <c r="E243" t="str">
        <f>INDEX('Player Data'!$B:$B,AL243)</f>
        <v>ATL</v>
      </c>
      <c r="F243" s="2"/>
      <c r="G243" s="3">
        <f>Settings!$B$2*AB243+Settings!$B$3*AC243+Settings!$B$4*AD243+Settings!$B$5*AE243+Settings!$B$6*AF243+Settings!$B$7*AG243+Settings!$B$8*AH243+Settings!$B$9*AI243+Settings!$B$10*AJ243</f>
        <v>-6.3707126035355923</v>
      </c>
      <c r="H243" s="3">
        <f>G243-LARGE($G$2:$G$266,Settings!$F$4)</f>
        <v>-3.1544478370884272</v>
      </c>
      <c r="I243" t="str">
        <f>IF(INDEX('Player Data'!$R:$R,AL243)="","",INDEX('Player Data'!$R:$R,AL243))</f>
        <v/>
      </c>
      <c r="J243" s="4" t="str">
        <f t="shared" si="20"/>
        <v/>
      </c>
      <c r="L243" s="5">
        <f>IF(Settings!$F$7="Yes",INDEX('Minutes &amp; Health'!$O:$O,AL243),Settings!$F$8)</f>
        <v>74</v>
      </c>
      <c r="M243" s="6">
        <f>INDEX('Minutes &amp; Health'!$P:$P,AL243)</f>
        <v>13.5</v>
      </c>
      <c r="N243" s="5">
        <f>INDEX('Player Data'!$F:$F,AL243)/INDEX('Player Data'!$E:$E,AL243)*M243*L243*AM243</f>
        <v>290.29058116232466</v>
      </c>
      <c r="O243" s="5">
        <f>INDEX('Player Data'!$G:$G,AL243)/INDEX('Player Data'!$E:$E,AL243)*M243*L243*AM243</f>
        <v>222.22244488977955</v>
      </c>
      <c r="P243" s="5">
        <f>INDEX('Player Data'!$H:$H,AL243)/INDEX('Player Data'!$E:$E,AL243)*M243*L243*AM243</f>
        <v>55.055110220440881</v>
      </c>
      <c r="Q243" s="5">
        <f>INDEX('Player Data'!$I:$I,AL243)/INDEX('Player Data'!$E:$E,AL243)*M243*L243*AM243</f>
        <v>49.049098196392784</v>
      </c>
      <c r="R243" s="5">
        <f>INDEX('Player Data'!$J:$J,AL243)/INDEX('Player Data'!$E:$E,AL243)*M243*L243*AM243</f>
        <v>35.03507014028056</v>
      </c>
      <c r="S243" s="5">
        <f>INDEX('Player Data'!$K:$K,AL243)/INDEX('Player Data'!$E:$E,AL243)*M243*L243*AM243</f>
        <v>33.03306613226453</v>
      </c>
      <c r="T243" s="5">
        <f>INDEX('Player Data'!$L:$L,AL243)/INDEX('Player Data'!$E:$E,AL243)*M243*L243*AM243</f>
        <v>25.025050100200403</v>
      </c>
      <c r="U243" s="7">
        <f>INDEX('Player Data'!$M:$M,AL243)</f>
        <v>0.45</v>
      </c>
      <c r="V243" s="7">
        <f>INDEX('Player Data'!$N:$N,AL243)</f>
        <v>0.66900000000000004</v>
      </c>
      <c r="W243" s="5">
        <f t="shared" si="21"/>
        <v>110.22533567134269</v>
      </c>
      <c r="X243" s="5">
        <f>INDEX('Player Data'!$O:$O,AL243)/INDEX('Player Data'!$E:$E,AL243)*M243*L243*AM243</f>
        <v>244.94519038076152</v>
      </c>
      <c r="Y243" s="5">
        <f t="shared" si="22"/>
        <v>36.831868737474949</v>
      </c>
      <c r="Z243" s="5">
        <f>INDEX('Player Data'!$P:$P,AL243)/INDEX('Player Data'!$E:$E,AL243)*M243*L243*AM243</f>
        <v>55.055110220440881</v>
      </c>
      <c r="AB243" s="3">
        <f>(N243-Pool!$D$2)/Pool!$E$2</f>
        <v>-2.3394683253293049</v>
      </c>
      <c r="AC243" s="3">
        <f>(O243-Pool!$D$3)/Pool!$E$3</f>
        <v>-1.2060232327513027</v>
      </c>
      <c r="AD243" s="3">
        <f>(P243-Pool!$D$4)/Pool!$E$4</f>
        <v>-1.5217993728230115</v>
      </c>
      <c r="AE243" s="3">
        <f>(Q243-Pool!$D$5)/Pool!$E$5</f>
        <v>-1.1113516565880754</v>
      </c>
      <c r="AF243" s="3">
        <f>(R243-Pool!$D$6)/Pool!$E$6</f>
        <v>-0.44276517798928411</v>
      </c>
      <c r="AG243" s="3">
        <f>(S243-Pool!$D$7)/Pool!$E$7</f>
        <v>-1.2729325359146952</v>
      </c>
      <c r="AH243" s="3">
        <f>(AS243-Pool!$D$8)/Pool!$E$8</f>
        <v>-0.18252709961812125</v>
      </c>
      <c r="AI243" s="3">
        <f>(AT243-Pool!$D$9)/Pool!$E$9</f>
        <v>-0.32360602812101508</v>
      </c>
      <c r="AJ243" s="3">
        <f>-(T243-Pool!$D$10)/Pool!$E$10</f>
        <v>2.0297608255992192</v>
      </c>
      <c r="AL243">
        <f>MATCH(B243,'Player Data'!$A:$A,0)</f>
        <v>261</v>
      </c>
      <c r="AM243" s="3">
        <f>1+IF(Settings!$F$10="ON",IFERROR(VLOOKUP(TRIM(F243),Settings!$D$12:$F$17,3,FALSE),0),0)</f>
        <v>1</v>
      </c>
      <c r="AN243" t="str">
        <f t="shared" si="23"/>
        <v>PF</v>
      </c>
      <c r="AO243" s="6">
        <f>X243*(U243-Pool!$B$12)</f>
        <v>-7.4969810271950603</v>
      </c>
      <c r="AP243" s="6">
        <f>Z243*(V243-Pool!$B$13)</f>
        <v>-6.6671549767860023</v>
      </c>
      <c r="AQ243" s="3">
        <f>Settings!$B$2*(N243-Pool!$B$2)/Pool!$C$2+Settings!$B$3*(O243-Pool!$B$3)/Pool!$C$3+Settings!$B$4*(P243-Pool!$B$4)/Pool!$C$4+Settings!$B$5*(Q243-Pool!$B$5)/Pool!$C$5+Settings!$B$6*(R243-Pool!$B$6)/Pool!$C$6+Settings!$B$7*(S243-Pool!$B$7)/Pool!$C$7+Settings!$B$8*(AO243-Pool!$B$8)/Pool!$C$8+Settings!$B$9*(AP243-Pool!$B$9)/Pool!$C$9+Settings!$B$10*-(T243-Pool!$B$10)/Pool!$C$10</f>
        <v>-4.2739823308364242</v>
      </c>
      <c r="AR243">
        <f>IF(RANK(AQ243,$AQ$2:$AQ$266)&lt;=Settings!$F$5,1,0)</f>
        <v>0</v>
      </c>
      <c r="AS243" s="6">
        <f>X243*(U243-Pool!$D$12)</f>
        <v>-8.3461627584741223</v>
      </c>
      <c r="AT243" s="6">
        <f>Z243*(V243-Pool!$D$13)</f>
        <v>-7.2198407604055799</v>
      </c>
    </row>
    <row r="244" spans="1:46" x14ac:dyDescent="0.2">
      <c r="A244">
        <f t="shared" si="18"/>
        <v>243</v>
      </c>
      <c r="B244" t="s">
        <v>285</v>
      </c>
      <c r="C244" t="str">
        <f>INDEX('Player Data'!$C:$C,AL244)</f>
        <v>C,PF</v>
      </c>
      <c r="D244">
        <f t="shared" si="19"/>
        <v>52</v>
      </c>
      <c r="E244" t="str">
        <f>INDEX('Player Data'!$B:$B,AL244)</f>
        <v>BKN</v>
      </c>
      <c r="F244" s="2"/>
      <c r="G244" s="3">
        <f>Settings!$B$2*AB244+Settings!$B$3*AC244+Settings!$B$4*AD244+Settings!$B$5*AE244+Settings!$B$6*AF244+Settings!$B$7*AG244+Settings!$B$8*AH244+Settings!$B$9*AI244+Settings!$B$10*AJ244</f>
        <v>-6.4304766814809993</v>
      </c>
      <c r="H244" s="3">
        <f>G244-LARGE($G$2:$G$266,Settings!$F$4)</f>
        <v>-3.2142119150338342</v>
      </c>
      <c r="I244" t="str">
        <f>IF(INDEX('Player Data'!$R:$R,AL244)="","",INDEX('Player Data'!$R:$R,AL244))</f>
        <v/>
      </c>
      <c r="J244" s="4" t="str">
        <f t="shared" si="20"/>
        <v/>
      </c>
      <c r="L244" s="5">
        <f>IF(Settings!$F$7="Yes",INDEX('Minutes &amp; Health'!$O:$O,AL244),Settings!$F$8)</f>
        <v>74</v>
      </c>
      <c r="M244" s="6">
        <f>INDEX('Minutes &amp; Health'!$P:$P,AL244)</f>
        <v>19.2</v>
      </c>
      <c r="N244" s="5">
        <f>INDEX('Player Data'!$F:$F,AL244)/INDEX('Player Data'!$E:$E,AL244)*M244*L244*AM244</f>
        <v>594.33464788732397</v>
      </c>
      <c r="O244" s="5">
        <f>INDEX('Player Data'!$G:$G,AL244)/INDEX('Player Data'!$E:$E,AL244)*M244*L244*AM244</f>
        <v>214.12056338028168</v>
      </c>
      <c r="P244" s="5">
        <f>INDEX('Player Data'!$H:$H,AL244)/INDEX('Player Data'!$E:$E,AL244)*M244*L244*AM244</f>
        <v>74.041690140845063</v>
      </c>
      <c r="Q244" s="5">
        <f>INDEX('Player Data'!$I:$I,AL244)/INDEX('Player Data'!$E:$E,AL244)*M244*L244*AM244</f>
        <v>36.020281690140841</v>
      </c>
      <c r="R244" s="5">
        <f>INDEX('Player Data'!$J:$J,AL244)/INDEX('Player Data'!$E:$E,AL244)*M244*L244*AM244</f>
        <v>36.020281690140841</v>
      </c>
      <c r="S244" s="5">
        <f>INDEX('Player Data'!$K:$K,AL244)/INDEX('Player Data'!$E:$E,AL244)*M244*L244*AM244</f>
        <v>98.055211267605628</v>
      </c>
      <c r="T244" s="5">
        <f>INDEX('Player Data'!$L:$L,AL244)/INDEX('Player Data'!$E:$E,AL244)*M244*L244*AM244</f>
        <v>73.041126760563372</v>
      </c>
      <c r="U244" s="7">
        <f>INDEX('Player Data'!$M:$M,AL244)</f>
        <v>0.38700000000000001</v>
      </c>
      <c r="V244" s="7">
        <f>INDEX('Player Data'!$N:$N,AL244)</f>
        <v>0.80800000000000005</v>
      </c>
      <c r="W244" s="5">
        <f t="shared" si="21"/>
        <v>181.95375143661971</v>
      </c>
      <c r="X244" s="5">
        <f>INDEX('Player Data'!$O:$O,AL244)/INDEX('Player Data'!$E:$E,AL244)*M244*L244*AM244</f>
        <v>470.16473239436618</v>
      </c>
      <c r="Y244" s="5">
        <f t="shared" si="22"/>
        <v>132.34411808450704</v>
      </c>
      <c r="Z244" s="5">
        <f>INDEX('Player Data'!$P:$P,AL244)/INDEX('Player Data'!$E:$E,AL244)*M244*L244*AM244</f>
        <v>163.79222535211267</v>
      </c>
      <c r="AB244" s="3">
        <f>(N244-Pool!$D$2)/Pool!$E$2</f>
        <v>-1.5900115124058403</v>
      </c>
      <c r="AC244" s="3">
        <f>(O244-Pool!$D$3)/Pool!$E$3</f>
        <v>-1.2531803124465584</v>
      </c>
      <c r="AD244" s="3">
        <f>(P244-Pool!$D$4)/Pool!$E$4</f>
        <v>-1.3933869122451581</v>
      </c>
      <c r="AE244" s="3">
        <f>(Q244-Pool!$D$5)/Pool!$E$5</f>
        <v>-1.6865500508321216</v>
      </c>
      <c r="AF244" s="3">
        <f>(R244-Pool!$D$6)/Pool!$E$6</f>
        <v>-0.41425244069050238</v>
      </c>
      <c r="AG244" s="3">
        <f>(S244-Pool!$D$7)/Pool!$E$7</f>
        <v>-0.35714036679974254</v>
      </c>
      <c r="AH244" s="3">
        <f>(AS244-Pool!$D$8)/Pool!$E$8</f>
        <v>-0.99814045359309789</v>
      </c>
      <c r="AI244" s="3">
        <f>(AT244-Pool!$D$9)/Pool!$E$9</f>
        <v>5.7715373506491516E-2</v>
      </c>
      <c r="AJ244" s="3">
        <f>-(T244-Pool!$D$10)/Pool!$E$10</f>
        <v>1.204469994025531</v>
      </c>
      <c r="AL244">
        <f>MATCH(B244,'Player Data'!$A:$A,0)</f>
        <v>213</v>
      </c>
      <c r="AM244" s="3">
        <f>1+IF(Settings!$F$10="ON",IFERROR(VLOOKUP(TRIM(F244),Settings!$D$12:$F$17,3,FALSE),0),0)</f>
        <v>1</v>
      </c>
      <c r="AN244" t="str">
        <f t="shared" si="23"/>
        <v>C</v>
      </c>
      <c r="AO244" s="6">
        <f>X244*(U244-Pool!$B$12)</f>
        <v>-44.01060181879344</v>
      </c>
      <c r="AP244" s="6">
        <f>Z244*(V244-Pool!$B$13)</f>
        <v>2.931936975879927</v>
      </c>
      <c r="AQ244" s="3">
        <f>Settings!$B$2*(N244-Pool!$B$2)/Pool!$C$2+Settings!$B$3*(O244-Pool!$B$3)/Pool!$C$3+Settings!$B$4*(P244-Pool!$B$4)/Pool!$C$4+Settings!$B$5*(Q244-Pool!$B$5)/Pool!$C$5+Settings!$B$6*(R244-Pool!$B$6)/Pool!$C$6+Settings!$B$7*(S244-Pool!$B$7)/Pool!$C$7+Settings!$B$8*(AO244-Pool!$B$8)/Pool!$C$8+Settings!$B$9*(AP244-Pool!$B$9)/Pool!$C$9+Settings!$B$10*-(T244-Pool!$B$10)/Pool!$C$10</f>
        <v>-4.2921507117275848</v>
      </c>
      <c r="AR244">
        <f>IF(RANK(AQ244,$AQ$2:$AQ$266)&lt;=Settings!$F$5,1,0)</f>
        <v>0</v>
      </c>
      <c r="AS244" s="6">
        <f>X244*(U244-Pool!$D$12)</f>
        <v>-45.640579940920972</v>
      </c>
      <c r="AT244" s="6">
        <f>Z244*(V244-Pool!$D$13)</f>
        <v>1.2876639182643514</v>
      </c>
    </row>
    <row r="245" spans="1:46" x14ac:dyDescent="0.2">
      <c r="A245">
        <f t="shared" si="18"/>
        <v>244</v>
      </c>
      <c r="B245" t="s">
        <v>286</v>
      </c>
      <c r="C245" t="str">
        <f>INDEX('Player Data'!$C:$C,AL245)</f>
        <v>C</v>
      </c>
      <c r="D245">
        <f t="shared" si="19"/>
        <v>53</v>
      </c>
      <c r="E245" t="str">
        <f>INDEX('Player Data'!$B:$B,AL245)</f>
        <v>UTH</v>
      </c>
      <c r="F245" s="2"/>
      <c r="G245" s="3">
        <f>Settings!$B$2*AB245+Settings!$B$3*AC245+Settings!$B$4*AD245+Settings!$B$5*AE245+Settings!$B$6*AF245+Settings!$B$7*AG245+Settings!$B$8*AH245+Settings!$B$9*AI245+Settings!$B$10*AJ245</f>
        <v>-6.4774233277647451</v>
      </c>
      <c r="H245" s="3">
        <f>G245-LARGE($G$2:$G$266,Settings!$F$4)</f>
        <v>-3.26115856131758</v>
      </c>
      <c r="I245" t="str">
        <f>IF(INDEX('Player Data'!$R:$R,AL245)="","",INDEX('Player Data'!$R:$R,AL245))</f>
        <v/>
      </c>
      <c r="J245" s="4" t="str">
        <f t="shared" si="20"/>
        <v/>
      </c>
      <c r="L245" s="5">
        <f>IF(Settings!$F$7="Yes",INDEX('Minutes &amp; Health'!$O:$O,AL245),Settings!$F$8)</f>
        <v>71</v>
      </c>
      <c r="M245" s="6">
        <f>INDEX('Minutes &amp; Health'!$P:$P,AL245)</f>
        <v>15.3</v>
      </c>
      <c r="N245" s="5">
        <f>INDEX('Player Data'!$F:$F,AL245)/INDEX('Player Data'!$E:$E,AL245)*M245*L245*AM245</f>
        <v>386.46248847926267</v>
      </c>
      <c r="O245" s="5">
        <f>INDEX('Player Data'!$G:$G,AL245)/INDEX('Player Data'!$E:$E,AL245)*M245*L245*AM245</f>
        <v>241.28875576036867</v>
      </c>
      <c r="P245" s="5">
        <f>INDEX('Player Data'!$H:$H,AL245)/INDEX('Player Data'!$E:$E,AL245)*M245*L245*AM245</f>
        <v>53.06350230414747</v>
      </c>
      <c r="Q245" s="5">
        <f>INDEX('Player Data'!$I:$I,AL245)/INDEX('Player Data'!$E:$E,AL245)*M245*L245*AM245</f>
        <v>30.035944700460831</v>
      </c>
      <c r="R245" s="5">
        <f>INDEX('Player Data'!$J:$J,AL245)/INDEX('Player Data'!$E:$E,AL245)*M245*L245*AM245</f>
        <v>41.049124423963136</v>
      </c>
      <c r="S245" s="5">
        <f>INDEX('Player Data'!$K:$K,AL245)/INDEX('Player Data'!$E:$E,AL245)*M245*L245*AM245</f>
        <v>1.0011981566820276</v>
      </c>
      <c r="T245" s="5">
        <f>INDEX('Player Data'!$L:$L,AL245)/INDEX('Player Data'!$E:$E,AL245)*M245*L245*AM245</f>
        <v>37.044331797235031</v>
      </c>
      <c r="U245" s="7">
        <f>INDEX('Player Data'!$M:$M,AL245)</f>
        <v>0.70899999999999996</v>
      </c>
      <c r="V245" s="7">
        <f>INDEX('Player Data'!$N:$N,AL245)</f>
        <v>0.64500000000000002</v>
      </c>
      <c r="W245" s="5">
        <f t="shared" si="21"/>
        <v>159.00628645161291</v>
      </c>
      <c r="X245" s="5">
        <f>INDEX('Player Data'!$O:$O,AL245)/INDEX('Player Data'!$E:$E,AL245)*M245*L245*AM245</f>
        <v>224.26838709677421</v>
      </c>
      <c r="Y245" s="5">
        <f t="shared" si="22"/>
        <v>67.483258755760374</v>
      </c>
      <c r="Z245" s="5">
        <f>INDEX('Player Data'!$P:$P,AL245)/INDEX('Player Data'!$E:$E,AL245)*M245*L245*AM245</f>
        <v>104.62520737327189</v>
      </c>
      <c r="AB245" s="3">
        <f>(N245-Pool!$D$2)/Pool!$E$2</f>
        <v>-2.1024083098950461</v>
      </c>
      <c r="AC245" s="3">
        <f>(O245-Pool!$D$3)/Pool!$E$3</f>
        <v>-1.0950475859012643</v>
      </c>
      <c r="AD245" s="3">
        <f>(P245-Pool!$D$4)/Pool!$E$4</f>
        <v>-1.5352692696717181</v>
      </c>
      <c r="AE245" s="3">
        <f>(Q245-Pool!$D$5)/Pool!$E$5</f>
        <v>-1.9507475721823875</v>
      </c>
      <c r="AF245" s="3">
        <f>(R245-Pool!$D$6)/Pool!$E$6</f>
        <v>-0.26871408214537906</v>
      </c>
      <c r="AG245" s="3">
        <f>(S245-Pool!$D$7)/Pool!$E$7</f>
        <v>-1.7240793535581886</v>
      </c>
      <c r="AH245" s="3">
        <f>(AS245-Pool!$D$8)/Pool!$E$8</f>
        <v>1.1031866774450798</v>
      </c>
      <c r="AI245" s="3">
        <f>(AT245-Pool!$D$9)/Pool!$E$9</f>
        <v>-0.72751962018039817</v>
      </c>
      <c r="AJ245" s="3">
        <f>-(T245-Pool!$D$10)/Pool!$E$10</f>
        <v>1.823175788324557</v>
      </c>
      <c r="AL245">
        <f>MATCH(B245,'Player Data'!$A:$A,0)</f>
        <v>249</v>
      </c>
      <c r="AM245" s="3">
        <f>1+IF(Settings!$F$10="ON",IFERROR(VLOOKUP(TRIM(F245),Settings!$D$12:$F$17,3,FALSE),0),0)</f>
        <v>1</v>
      </c>
      <c r="AN245" t="str">
        <f t="shared" si="23"/>
        <v>C</v>
      </c>
      <c r="AO245" s="6">
        <f>X245*(U245-Pool!$B$12)</f>
        <v>51.221381386784458</v>
      </c>
      <c r="AP245" s="6">
        <f>Z245*(V245-Pool!$B$13)</f>
        <v>-15.181081728107955</v>
      </c>
      <c r="AQ245" s="3">
        <f>Settings!$B$2*(N245-Pool!$B$2)/Pool!$C$2+Settings!$B$3*(O245-Pool!$B$3)/Pool!$C$3+Settings!$B$4*(P245-Pool!$B$4)/Pool!$C$4+Settings!$B$5*(Q245-Pool!$B$5)/Pool!$C$5+Settings!$B$6*(R245-Pool!$B$6)/Pool!$C$6+Settings!$B$7*(S245-Pool!$B$7)/Pool!$C$7+Settings!$B$8*(AO245-Pool!$B$8)/Pool!$C$8+Settings!$B$9*(AP245-Pool!$B$9)/Pool!$C$9+Settings!$B$10*-(T245-Pool!$B$10)/Pool!$C$10</f>
        <v>-4.1353650898125194</v>
      </c>
      <c r="AR245">
        <f>IF(RANK(AQ245,$AQ$2:$AQ$266)&lt;=Settings!$F$5,1,0)</f>
        <v>0</v>
      </c>
      <c r="AS245" s="6">
        <f>X245*(U245-Pool!$D$12)</f>
        <v>50.443882482111299</v>
      </c>
      <c r="AT245" s="6">
        <f>Z245*(V245-Pool!$D$13)</f>
        <v>-16.23139049130771</v>
      </c>
    </row>
    <row r="246" spans="1:46" x14ac:dyDescent="0.2">
      <c r="A246">
        <f t="shared" si="18"/>
        <v>245</v>
      </c>
      <c r="B246" t="s">
        <v>287</v>
      </c>
      <c r="C246" t="str">
        <f>INDEX('Player Data'!$C:$C,AL246)</f>
        <v>PF,SF,SG</v>
      </c>
      <c r="D246">
        <f t="shared" si="19"/>
        <v>71</v>
      </c>
      <c r="E246" t="str">
        <f>INDEX('Player Data'!$B:$B,AL246)</f>
        <v>WAS</v>
      </c>
      <c r="F246" s="2"/>
      <c r="G246" s="3">
        <f>Settings!$B$2*AB246+Settings!$B$3*AC246+Settings!$B$4*AD246+Settings!$B$5*AE246+Settings!$B$6*AF246+Settings!$B$7*AG246+Settings!$B$8*AH246+Settings!$B$9*AI246+Settings!$B$10*AJ246</f>
        <v>-6.5280691540230036</v>
      </c>
      <c r="H246" s="3">
        <f>G246-LARGE($G$2:$G$266,Settings!$F$4)</f>
        <v>-3.3118043875758385</v>
      </c>
      <c r="I246" t="str">
        <f>IF(INDEX('Player Data'!$R:$R,AL246)="","",INDEX('Player Data'!$R:$R,AL246))</f>
        <v/>
      </c>
      <c r="J246" s="4" t="str">
        <f t="shared" si="20"/>
        <v/>
      </c>
      <c r="L246" s="5">
        <f>IF(Settings!$F$7="Yes",INDEX('Minutes &amp; Health'!$O:$O,AL246),Settings!$F$8)</f>
        <v>66</v>
      </c>
      <c r="M246" s="6">
        <f>INDEX('Minutes &amp; Health'!$P:$P,AL246)</f>
        <v>18.5</v>
      </c>
      <c r="N246" s="5">
        <f>INDEX('Player Data'!$F:$F,AL246)/INDEX('Player Data'!$E:$E,AL246)*M246*L246*AM246</f>
        <v>563.53846153846155</v>
      </c>
      <c r="O246" s="5">
        <f>INDEX('Player Data'!$G:$G,AL246)/INDEX('Player Data'!$E:$E,AL246)*M246*L246*AM246</f>
        <v>192.84206219312605</v>
      </c>
      <c r="P246" s="5">
        <f>INDEX('Player Data'!$H:$H,AL246)/INDEX('Player Data'!$E:$E,AL246)*M246*L246*AM246</f>
        <v>173.85761047463177</v>
      </c>
      <c r="Q246" s="5">
        <f>INDEX('Player Data'!$I:$I,AL246)/INDEX('Player Data'!$E:$E,AL246)*M246*L246*AM246</f>
        <v>38.968085106382972</v>
      </c>
      <c r="R246" s="5">
        <f>INDEX('Player Data'!$J:$J,AL246)/INDEX('Player Data'!$E:$E,AL246)*M246*L246*AM246</f>
        <v>9.9918166939443545</v>
      </c>
      <c r="S246" s="5">
        <f>INDEX('Player Data'!$K:$K,AL246)/INDEX('Player Data'!$E:$E,AL246)*M246*L246*AM246</f>
        <v>58.951718494271681</v>
      </c>
      <c r="T246" s="5">
        <f>INDEX('Player Data'!$L:$L,AL246)/INDEX('Player Data'!$E:$E,AL246)*M246*L246*AM246</f>
        <v>91.924713584288043</v>
      </c>
      <c r="U246" s="7">
        <f>INDEX('Player Data'!$M:$M,AL246)</f>
        <v>0.45</v>
      </c>
      <c r="V246" s="7">
        <f>INDEX('Player Data'!$N:$N,AL246)</f>
        <v>0.86399999999999999</v>
      </c>
      <c r="W246" s="5">
        <f t="shared" si="21"/>
        <v>203.63822013093289</v>
      </c>
      <c r="X246" s="5">
        <f>INDEX('Player Data'!$O:$O,AL246)/INDEX('Player Data'!$E:$E,AL246)*M246*L246*AM246</f>
        <v>452.52937806873973</v>
      </c>
      <c r="Y246" s="5">
        <f t="shared" si="22"/>
        <v>97.293116857610471</v>
      </c>
      <c r="Z246" s="5">
        <f>INDEX('Player Data'!$P:$P,AL246)/INDEX('Player Data'!$E:$E,AL246)*M246*L246*AM246</f>
        <v>112.60777414075287</v>
      </c>
      <c r="AB246" s="3">
        <f>(N246-Pool!$D$2)/Pool!$E$2</f>
        <v>-1.6659229153804993</v>
      </c>
      <c r="AC246" s="3">
        <f>(O246-Pool!$D$3)/Pool!$E$3</f>
        <v>-1.3770320344326135</v>
      </c>
      <c r="AD246" s="3">
        <f>(P246-Pool!$D$4)/Pool!$E$4</f>
        <v>-0.71829914032210851</v>
      </c>
      <c r="AE246" s="3">
        <f>(Q246-Pool!$D$5)/Pool!$E$5</f>
        <v>-1.5564099271489031</v>
      </c>
      <c r="AF246" s="3">
        <f>(R246-Pool!$D$6)/Pool!$E$6</f>
        <v>-1.1675351085929782</v>
      </c>
      <c r="AG246" s="3">
        <f>(S246-Pool!$D$7)/Pool!$E$7</f>
        <v>-0.90788615336713185</v>
      </c>
      <c r="AH246" s="3">
        <f>(AS246-Pool!$D$8)/Pool!$E$8</f>
        <v>-0.33721370377789661</v>
      </c>
      <c r="AI246" s="3">
        <f>(AT246-Pool!$D$9)/Pool!$E$9</f>
        <v>0.32232719150879963</v>
      </c>
      <c r="AJ246" s="3">
        <f>-(T246-Pool!$D$10)/Pool!$E$10</f>
        <v>0.87990263749032793</v>
      </c>
      <c r="AL246">
        <f>MATCH(B246,'Player Data'!$A:$A,0)</f>
        <v>205</v>
      </c>
      <c r="AM246" s="3">
        <f>1+IF(Settings!$F$10="ON",IFERROR(VLOOKUP(TRIM(F246),Settings!$D$12:$F$17,3,FALSE),0),0)</f>
        <v>1</v>
      </c>
      <c r="AN246" t="str">
        <f t="shared" si="23"/>
        <v>PF</v>
      </c>
      <c r="AO246" s="6">
        <f>X246*(U246-Pool!$B$12)</f>
        <v>-13.850462449807646</v>
      </c>
      <c r="AP246" s="6">
        <f>Z246*(V246-Pool!$B$13)</f>
        <v>8.3217531068918866</v>
      </c>
      <c r="AQ246" s="3">
        <f>Settings!$B$2*(N246-Pool!$B$2)/Pool!$C$2+Settings!$B$3*(O246-Pool!$B$3)/Pool!$C$3+Settings!$B$4*(P246-Pool!$B$4)/Pool!$C$4+Settings!$B$5*(Q246-Pool!$B$5)/Pool!$C$5+Settings!$B$6*(R246-Pool!$B$6)/Pool!$C$6+Settings!$B$7*(S246-Pool!$B$7)/Pool!$C$7+Settings!$B$8*(AO246-Pool!$B$8)/Pool!$C$8+Settings!$B$9*(AP246-Pool!$B$9)/Pool!$C$9+Settings!$B$10*-(T246-Pool!$B$10)/Pool!$C$10</f>
        <v>-4.3282001798928604</v>
      </c>
      <c r="AR246">
        <f>IF(RANK(AQ246,$AQ$2:$AQ$266)&lt;=Settings!$F$5,1,0)</f>
        <v>0</v>
      </c>
      <c r="AS246" s="6">
        <f>X246*(U246-Pool!$D$12)</f>
        <v>-15.419301911916273</v>
      </c>
      <c r="AT246" s="6">
        <f>Z246*(V246-Pool!$D$13)</f>
        <v>7.1913091636604163</v>
      </c>
    </row>
    <row r="247" spans="1:46" x14ac:dyDescent="0.2">
      <c r="A247">
        <f t="shared" si="18"/>
        <v>246</v>
      </c>
      <c r="B247" t="s">
        <v>288</v>
      </c>
      <c r="C247" t="str">
        <f>INDEX('Player Data'!$C:$C,AL247)</f>
        <v>C,PF,SF</v>
      </c>
      <c r="D247">
        <f t="shared" si="19"/>
        <v>54</v>
      </c>
      <c r="E247" t="str">
        <f>INDEX('Player Data'!$B:$B,AL247)</f>
        <v>LAL</v>
      </c>
      <c r="F247" s="2"/>
      <c r="G247" s="3">
        <f>Settings!$B$2*AB247+Settings!$B$3*AC247+Settings!$B$4*AD247+Settings!$B$5*AE247+Settings!$B$6*AF247+Settings!$B$7*AG247+Settings!$B$8*AH247+Settings!$B$9*AI247+Settings!$B$10*AJ247</f>
        <v>-6.6436850825126204</v>
      </c>
      <c r="H247" s="3">
        <f>G247-LARGE($G$2:$G$266,Settings!$F$4)</f>
        <v>-3.4274203160654553</v>
      </c>
      <c r="I247" t="str">
        <f>IF(INDEX('Player Data'!$R:$R,AL247)="","",INDEX('Player Data'!$R:$R,AL247))</f>
        <v/>
      </c>
      <c r="J247" s="4" t="str">
        <f t="shared" si="20"/>
        <v/>
      </c>
      <c r="L247" s="5">
        <f>IF(Settings!$F$7="Yes",INDEX('Minutes &amp; Health'!$O:$O,AL247),Settings!$F$8)</f>
        <v>71</v>
      </c>
      <c r="M247" s="6">
        <f>INDEX('Minutes &amp; Health'!$P:$P,AL247)</f>
        <v>16.100000000000001</v>
      </c>
      <c r="N247" s="5">
        <f>INDEX('Player Data'!$F:$F,AL247)/INDEX('Player Data'!$E:$E,AL247)*M247*L247*AM247</f>
        <v>277.26681260945713</v>
      </c>
      <c r="O247" s="5">
        <f>INDEX('Player Data'!$G:$G,AL247)/INDEX('Player Data'!$E:$E,AL247)*M247*L247*AM247</f>
        <v>309.29763572679514</v>
      </c>
      <c r="P247" s="5">
        <f>INDEX('Player Data'!$H:$H,AL247)/INDEX('Player Data'!$E:$E,AL247)*M247*L247*AM247</f>
        <v>74.071278458844134</v>
      </c>
      <c r="Q247" s="5">
        <f>INDEX('Player Data'!$I:$I,AL247)/INDEX('Player Data'!$E:$E,AL247)*M247*L247*AM247</f>
        <v>59.05683012259194</v>
      </c>
      <c r="R247" s="5">
        <f>INDEX('Player Data'!$J:$J,AL247)/INDEX('Player Data'!$E:$E,AL247)*M247*L247*AM247</f>
        <v>18.01733800350263</v>
      </c>
      <c r="S247" s="5">
        <f>INDEX('Player Data'!$K:$K,AL247)/INDEX('Player Data'!$E:$E,AL247)*M247*L247*AM247</f>
        <v>23.022154115586691</v>
      </c>
      <c r="T247" s="5">
        <f>INDEX('Player Data'!$L:$L,AL247)/INDEX('Player Data'!$E:$E,AL247)*M247*L247*AM247</f>
        <v>56.053940455341511</v>
      </c>
      <c r="U247" s="7">
        <f>INDEX('Player Data'!$M:$M,AL247)</f>
        <v>0.47199999999999998</v>
      </c>
      <c r="V247" s="7">
        <f>INDEX('Player Data'!$N:$N,AL247)</f>
        <v>0.59</v>
      </c>
      <c r="W247" s="5">
        <f t="shared" si="21"/>
        <v>108.42834010507882</v>
      </c>
      <c r="X247" s="5">
        <f>INDEX('Player Data'!$O:$O,AL247)/INDEX('Player Data'!$E:$E,AL247)*M247*L247*AM247</f>
        <v>229.72105954465852</v>
      </c>
      <c r="Y247" s="5">
        <f t="shared" si="22"/>
        <v>37.382973467600706</v>
      </c>
      <c r="Z247" s="5">
        <f>INDEX('Player Data'!$P:$P,AL247)/INDEX('Player Data'!$E:$E,AL247)*M247*L247*AM247</f>
        <v>63.360971978984246</v>
      </c>
      <c r="AB247" s="3">
        <f>(N247-Pool!$D$2)/Pool!$E$2</f>
        <v>-2.3715714088626316</v>
      </c>
      <c r="AC247" s="3">
        <f>(O247-Pool!$D$3)/Pool!$E$3</f>
        <v>-0.69920124220910407</v>
      </c>
      <c r="AD247" s="3">
        <f>(P247-Pool!$D$4)/Pool!$E$4</f>
        <v>-1.393186796756505</v>
      </c>
      <c r="AE247" s="3">
        <f>(Q247-Pool!$D$5)/Pool!$E$5</f>
        <v>-0.66952861523874185</v>
      </c>
      <c r="AF247" s="3">
        <f>(R247-Pool!$D$6)/Pool!$E$6</f>
        <v>-0.93527069713976141</v>
      </c>
      <c r="AG247" s="3">
        <f>(S247-Pool!$D$7)/Pool!$E$7</f>
        <v>-1.4139293426409218</v>
      </c>
      <c r="AH247" s="3">
        <f>(AS247-Pool!$D$8)/Pool!$E$8</f>
        <v>-6.0656570339838241E-2</v>
      </c>
      <c r="AI247" s="3">
        <f>(AT247-Pool!$D$9)/Pool!$E$9</f>
        <v>-0.59678280274300799</v>
      </c>
      <c r="AJ247" s="3">
        <f>-(T247-Pool!$D$10)/Pool!$E$10</f>
        <v>1.4964423934178919</v>
      </c>
      <c r="AL247">
        <f>MATCH(B247,'Player Data'!$A:$A,0)</f>
        <v>260</v>
      </c>
      <c r="AM247" s="3">
        <f>1+IF(Settings!$F$10="ON",IFERROR(VLOOKUP(TRIM(F247),Settings!$D$12:$F$17,3,FALSE),0),0)</f>
        <v>1</v>
      </c>
      <c r="AN247" t="str">
        <f t="shared" si="23"/>
        <v>C</v>
      </c>
      <c r="AO247" s="6">
        <f>X247*(U247-Pool!$B$12)</f>
        <v>-1.9771562510724245</v>
      </c>
      <c r="AP247" s="6">
        <f>Z247*(V247-Pool!$B$13)</f>
        <v>-12.678508775135025</v>
      </c>
      <c r="AQ247" s="3">
        <f>Settings!$B$2*(N247-Pool!$B$2)/Pool!$C$2+Settings!$B$3*(O247-Pool!$B$3)/Pool!$C$3+Settings!$B$4*(P247-Pool!$B$4)/Pool!$C$4+Settings!$B$5*(Q247-Pool!$B$5)/Pool!$C$5+Settings!$B$6*(R247-Pool!$B$6)/Pool!$C$6+Settings!$B$7*(S247-Pool!$B$7)/Pool!$C$7+Settings!$B$8*(AO247-Pool!$B$8)/Pool!$C$8+Settings!$B$9*(AP247-Pool!$B$9)/Pool!$C$9+Settings!$B$10*-(T247-Pool!$B$10)/Pool!$C$10</f>
        <v>-4.6499550136426375</v>
      </c>
      <c r="AR247">
        <f>IF(RANK(AQ247,$AQ$2:$AQ$266)&lt;=Settings!$F$5,1,0)</f>
        <v>0</v>
      </c>
      <c r="AS247" s="6">
        <f>X247*(U247-Pool!$D$12)</f>
        <v>-2.7735586084820723</v>
      </c>
      <c r="AT247" s="6">
        <f>Z247*(V247-Pool!$D$13)</f>
        <v>-13.314575223987601</v>
      </c>
    </row>
    <row r="248" spans="1:46" x14ac:dyDescent="0.2">
      <c r="A248">
        <f t="shared" si="18"/>
        <v>247</v>
      </c>
      <c r="B248" t="s">
        <v>289</v>
      </c>
      <c r="C248" t="str">
        <f>INDEX('Player Data'!$C:$C,AL248)</f>
        <v>C,PF</v>
      </c>
      <c r="D248">
        <f t="shared" si="19"/>
        <v>55</v>
      </c>
      <c r="E248" t="str">
        <f>INDEX('Player Data'!$B:$B,AL248)</f>
        <v>LAL</v>
      </c>
      <c r="F248" s="2"/>
      <c r="G248" s="3">
        <f>Settings!$B$2*AB248+Settings!$B$3*AC248+Settings!$B$4*AD248+Settings!$B$5*AE248+Settings!$B$6*AF248+Settings!$B$7*AG248+Settings!$B$8*AH248+Settings!$B$9*AI248+Settings!$B$10*AJ248</f>
        <v>-6.6476284050034762</v>
      </c>
      <c r="H248" s="3">
        <f>G248-LARGE($G$2:$G$266,Settings!$F$4)</f>
        <v>-3.4313636385563111</v>
      </c>
      <c r="I248" t="str">
        <f>IF(INDEX('Player Data'!$R:$R,AL248)="","",INDEX('Player Data'!$R:$R,AL248))</f>
        <v/>
      </c>
      <c r="J248" s="4" t="str">
        <f t="shared" si="20"/>
        <v/>
      </c>
      <c r="L248" s="5">
        <f>IF(Settings!$F$7="Yes",INDEX('Minutes &amp; Health'!$O:$O,AL248),Settings!$F$8)</f>
        <v>72</v>
      </c>
      <c r="M248" s="6">
        <f>INDEX('Minutes &amp; Health'!$P:$P,AL248)</f>
        <v>14.1</v>
      </c>
      <c r="N248" s="5">
        <f>INDEX('Player Data'!$F:$F,AL248)/INDEX('Player Data'!$E:$E,AL248)*M248*L248*AM248</f>
        <v>271.78582677165355</v>
      </c>
      <c r="O248" s="5">
        <f>INDEX('Player Data'!$G:$G,AL248)/INDEX('Player Data'!$E:$E,AL248)*M248*L248*AM248</f>
        <v>374.70472440944877</v>
      </c>
      <c r="P248" s="5">
        <f>INDEX('Player Data'!$H:$H,AL248)/INDEX('Player Data'!$E:$E,AL248)*M248*L248*AM248</f>
        <v>98.922047244094472</v>
      </c>
      <c r="Q248" s="5">
        <f>INDEX('Player Data'!$I:$I,AL248)/INDEX('Player Data'!$E:$E,AL248)*M248*L248*AM248</f>
        <v>32.974015748031491</v>
      </c>
      <c r="R248" s="5">
        <f>INDEX('Player Data'!$J:$J,AL248)/INDEX('Player Data'!$E:$E,AL248)*M248*L248*AM248</f>
        <v>26.978740157480317</v>
      </c>
      <c r="S248" s="5">
        <f>INDEX('Player Data'!$K:$K,AL248)/INDEX('Player Data'!$E:$E,AL248)*M248*L248*AM248</f>
        <v>0.99921259842519672</v>
      </c>
      <c r="T248" s="5">
        <f>INDEX('Player Data'!$L:$L,AL248)/INDEX('Player Data'!$E:$E,AL248)*M248*L248*AM248</f>
        <v>36.97086614173228</v>
      </c>
      <c r="U248" s="7">
        <f>INDEX('Player Data'!$M:$M,AL248)</f>
        <v>0.53200000000000003</v>
      </c>
      <c r="V248" s="7">
        <f>INDEX('Player Data'!$N:$N,AL248)</f>
        <v>0.60599999999999998</v>
      </c>
      <c r="W248" s="5">
        <f t="shared" si="21"/>
        <v>116.20362897637796</v>
      </c>
      <c r="X248" s="5">
        <f>INDEX('Player Data'!$O:$O,AL248)/INDEX('Player Data'!$E:$E,AL248)*M248*L248*AM248</f>
        <v>218.42787401574802</v>
      </c>
      <c r="Y248" s="5">
        <f t="shared" si="22"/>
        <v>38.390147716535424</v>
      </c>
      <c r="Z248" s="5">
        <f>INDEX('Player Data'!$P:$P,AL248)/INDEX('Player Data'!$E:$E,AL248)*M248*L248*AM248</f>
        <v>63.350078740157471</v>
      </c>
      <c r="AB248" s="3">
        <f>(N248-Pool!$D$2)/Pool!$E$2</f>
        <v>-2.3850818260265827</v>
      </c>
      <c r="AC248" s="3">
        <f>(O248-Pool!$D$3)/Pool!$E$3</f>
        <v>-0.31849864985118187</v>
      </c>
      <c r="AD248" s="3">
        <f>(P248-Pool!$D$4)/Pool!$E$4</f>
        <v>-1.2251129056005783</v>
      </c>
      <c r="AE248" s="3">
        <f>(Q248-Pool!$D$5)/Pool!$E$5</f>
        <v>-1.8210371147569855</v>
      </c>
      <c r="AF248" s="3">
        <f>(R248-Pool!$D$6)/Pool!$E$6</f>
        <v>-0.67592121480641043</v>
      </c>
      <c r="AG248" s="3">
        <f>(S248-Pool!$D$7)/Pool!$E$7</f>
        <v>-1.7241073187798701</v>
      </c>
      <c r="AH248" s="3">
        <f>(AS248-Pool!$D$8)/Pool!$E$8</f>
        <v>0.2289409245074647</v>
      </c>
      <c r="AI248" s="3">
        <f>(AT248-Pool!$D$9)/Pool!$E$9</f>
        <v>-0.55124880117454123</v>
      </c>
      <c r="AJ248" s="3">
        <f>-(T248-Pool!$D$10)/Pool!$E$10</f>
        <v>1.8244385014852103</v>
      </c>
      <c r="AL248">
        <f>MATCH(B248,'Player Data'!$A:$A,0)</f>
        <v>262</v>
      </c>
      <c r="AM248" s="3">
        <f>1+IF(Settings!$F$10="ON",IFERROR(VLOOKUP(TRIM(F248),Settings!$D$12:$F$17,3,FALSE),0),0)</f>
        <v>1</v>
      </c>
      <c r="AN248" t="str">
        <f t="shared" si="23"/>
        <v>C</v>
      </c>
      <c r="AO248" s="6">
        <f>X248*(U248-Pool!$B$12)</f>
        <v>11.225714036718832</v>
      </c>
      <c r="AP248" s="6">
        <f>Z248*(V248-Pool!$B$13)</f>
        <v>-11.662727781937077</v>
      </c>
      <c r="AQ248" s="3">
        <f>Settings!$B$2*(N248-Pool!$B$2)/Pool!$C$2+Settings!$B$3*(O248-Pool!$B$3)/Pool!$C$3+Settings!$B$4*(P248-Pool!$B$4)/Pool!$C$4+Settings!$B$5*(Q248-Pool!$B$5)/Pool!$C$5+Settings!$B$6*(R248-Pool!$B$6)/Pool!$C$6+Settings!$B$7*(S248-Pool!$B$7)/Pool!$C$7+Settings!$B$8*(AO248-Pool!$B$8)/Pool!$C$8+Settings!$B$9*(AP248-Pool!$B$9)/Pool!$C$9+Settings!$B$10*-(T248-Pool!$B$10)/Pool!$C$10</f>
        <v>-4.444692299161356</v>
      </c>
      <c r="AR248">
        <f>IF(RANK(AQ248,$AQ$2:$AQ$266)&lt;=Settings!$F$5,1,0)</f>
        <v>0</v>
      </c>
      <c r="AS248" s="6">
        <f>X248*(U248-Pool!$D$12)</f>
        <v>10.468463159786054</v>
      </c>
      <c r="AT248" s="6">
        <f>Z248*(V248-Pool!$D$13)</f>
        <v>-12.298684876031976</v>
      </c>
    </row>
    <row r="249" spans="1:46" x14ac:dyDescent="0.2">
      <c r="A249">
        <f t="shared" si="18"/>
        <v>248</v>
      </c>
      <c r="B249" t="s">
        <v>290</v>
      </c>
      <c r="C249" t="str">
        <f>INDEX('Player Data'!$C:$C,AL249)</f>
        <v>PF,SF</v>
      </c>
      <c r="D249">
        <f t="shared" si="19"/>
        <v>72</v>
      </c>
      <c r="E249" t="str">
        <f>INDEX('Player Data'!$B:$B,AL249)</f>
        <v>CHI</v>
      </c>
      <c r="F249" s="2"/>
      <c r="G249" s="3">
        <f>Settings!$B$2*AB249+Settings!$B$3*AC249+Settings!$B$4*AD249+Settings!$B$5*AE249+Settings!$B$6*AF249+Settings!$B$7*AG249+Settings!$B$8*AH249+Settings!$B$9*AI249+Settings!$B$10*AJ249</f>
        <v>-6.7011532284588924</v>
      </c>
      <c r="H249" s="3">
        <f>G249-LARGE($G$2:$G$266,Settings!$F$4)</f>
        <v>-3.4848884620117273</v>
      </c>
      <c r="I249" t="str">
        <f>IF(INDEX('Player Data'!$R:$R,AL249)="","",INDEX('Player Data'!$R:$R,AL249))</f>
        <v/>
      </c>
      <c r="J249" s="4" t="str">
        <f t="shared" si="20"/>
        <v/>
      </c>
      <c r="L249" s="5">
        <f>IF(Settings!$F$7="Yes",INDEX('Minutes &amp; Health'!$O:$O,AL249),Settings!$F$8)</f>
        <v>75</v>
      </c>
      <c r="M249" s="6">
        <f>INDEX('Minutes &amp; Health'!$P:$P,AL249)</f>
        <v>20.6</v>
      </c>
      <c r="N249" s="5">
        <f>INDEX('Player Data'!$F:$F,AL249)/INDEX('Player Data'!$E:$E,AL249)*M249*L249*AM249</f>
        <v>496.96498054474716</v>
      </c>
      <c r="O249" s="5">
        <f>INDEX('Player Data'!$G:$G,AL249)/INDEX('Player Data'!$E:$E,AL249)*M249*L249*AM249</f>
        <v>207.40272373540856</v>
      </c>
      <c r="P249" s="5">
        <f>INDEX('Player Data'!$H:$H,AL249)/INDEX('Player Data'!$E:$E,AL249)*M249*L249*AM249</f>
        <v>104.20233463035019</v>
      </c>
      <c r="Q249" s="5">
        <f>INDEX('Player Data'!$I:$I,AL249)/INDEX('Player Data'!$E:$E,AL249)*M249*L249*AM249</f>
        <v>49.095330739299612</v>
      </c>
      <c r="R249" s="5">
        <f>INDEX('Player Data'!$J:$J,AL249)/INDEX('Player Data'!$E:$E,AL249)*M249*L249*AM249</f>
        <v>29.056420233463037</v>
      </c>
      <c r="S249" s="5">
        <f>INDEX('Player Data'!$K:$K,AL249)/INDEX('Player Data'!$E:$E,AL249)*M249*L249*AM249</f>
        <v>87.169260700389117</v>
      </c>
      <c r="T249" s="5">
        <f>INDEX('Player Data'!$L:$L,AL249)/INDEX('Player Data'!$E:$E,AL249)*M249*L249*AM249</f>
        <v>74.143968871595348</v>
      </c>
      <c r="U249" s="7">
        <f>INDEX('Player Data'!$M:$M,AL249)</f>
        <v>0.38</v>
      </c>
      <c r="V249" s="7">
        <f>INDEX('Player Data'!$N:$N,AL249)</f>
        <v>0.72199999999999998</v>
      </c>
      <c r="W249" s="5">
        <f t="shared" si="21"/>
        <v>174.75933852140079</v>
      </c>
      <c r="X249" s="5">
        <f>INDEX('Player Data'!$O:$O,AL249)/INDEX('Player Data'!$E:$E,AL249)*M249*L249*AM249</f>
        <v>459.89299610894943</v>
      </c>
      <c r="Y249" s="5">
        <f t="shared" si="22"/>
        <v>60.331949416342418</v>
      </c>
      <c r="Z249" s="5">
        <f>INDEX('Player Data'!$P:$P,AL249)/INDEX('Player Data'!$E:$E,AL249)*M249*L249*AM249</f>
        <v>83.562256809338535</v>
      </c>
      <c r="AB249" s="3">
        <f>(N249-Pool!$D$2)/Pool!$E$2</f>
        <v>-1.8300239597725214</v>
      </c>
      <c r="AC249" s="3">
        <f>(O249-Pool!$D$3)/Pool!$E$3</f>
        <v>-1.2922815630809761</v>
      </c>
      <c r="AD249" s="3">
        <f>(P249-Pool!$D$4)/Pool!$E$4</f>
        <v>-1.1894005920259454</v>
      </c>
      <c r="AE249" s="3">
        <f>(Q249-Pool!$D$5)/Pool!$E$5</f>
        <v>-1.1093105744660678</v>
      </c>
      <c r="AF249" s="3">
        <f>(R249-Pool!$D$6)/Pool!$E$6</f>
        <v>-0.61579164547096232</v>
      </c>
      <c r="AG249" s="3">
        <f>(S249-Pool!$D$7)/Pool!$E$7</f>
        <v>-0.5104614893508167</v>
      </c>
      <c r="AH249" s="3">
        <f>(AS249-Pool!$D$8)/Pool!$E$8</f>
        <v>-1.0467376550408916</v>
      </c>
      <c r="AI249" s="3">
        <f>(AT249-Pool!$D$9)/Pool!$E$9</f>
        <v>-0.29266031113325269</v>
      </c>
      <c r="AJ249" s="3">
        <f>-(T249-Pool!$D$10)/Pool!$E$10</f>
        <v>1.1855145618825422</v>
      </c>
      <c r="AL249">
        <f>MATCH(B249,'Player Data'!$A:$A,0)</f>
        <v>234</v>
      </c>
      <c r="AM249" s="3">
        <f>1+IF(Settings!$F$10="ON",IFERROR(VLOOKUP(TRIM(F249),Settings!$D$12:$F$17,3,FALSE),0),0)</f>
        <v>1</v>
      </c>
      <c r="AN249" t="str">
        <f t="shared" si="23"/>
        <v>PF</v>
      </c>
      <c r="AO249" s="6">
        <f>X249*(U249-Pool!$B$12)</f>
        <v>-46.268348738831982</v>
      </c>
      <c r="AP249" s="6">
        <f>Z249*(V249-Pool!$B$13)</f>
        <v>-5.6905610465831904</v>
      </c>
      <c r="AQ249" s="3">
        <f>Settings!$B$2*(N249-Pool!$B$2)/Pool!$C$2+Settings!$B$3*(O249-Pool!$B$3)/Pool!$C$3+Settings!$B$4*(P249-Pool!$B$4)/Pool!$C$4+Settings!$B$5*(Q249-Pool!$B$5)/Pool!$C$5+Settings!$B$6*(R249-Pool!$B$6)/Pool!$C$6+Settings!$B$7*(S249-Pool!$B$7)/Pool!$C$7+Settings!$B$8*(AO249-Pool!$B$8)/Pool!$C$8+Settings!$B$9*(AP249-Pool!$B$9)/Pool!$C$9+Settings!$B$10*-(T249-Pool!$B$10)/Pool!$C$10</f>
        <v>-4.7376716929633336</v>
      </c>
      <c r="AR249">
        <f>IF(RANK(AQ249,$AQ$2:$AQ$266)&lt;=Settings!$F$5,1,0)</f>
        <v>0</v>
      </c>
      <c r="AS249" s="6">
        <f>X249*(U249-Pool!$D$12)</f>
        <v>-47.862716564678401</v>
      </c>
      <c r="AT249" s="6">
        <f>Z249*(V249-Pool!$D$13)</f>
        <v>-6.5294236190268755</v>
      </c>
    </row>
    <row r="250" spans="1:46" x14ac:dyDescent="0.2">
      <c r="A250">
        <f t="shared" si="18"/>
        <v>249</v>
      </c>
      <c r="B250" t="s">
        <v>291</v>
      </c>
      <c r="C250" t="str">
        <f>INDEX('Player Data'!$C:$C,AL250)</f>
        <v>PF,SF</v>
      </c>
      <c r="D250">
        <f t="shared" si="19"/>
        <v>73</v>
      </c>
      <c r="E250" t="str">
        <f>INDEX('Player Data'!$B:$B,AL250)</f>
        <v>IND</v>
      </c>
      <c r="F250" s="2"/>
      <c r="G250" s="3">
        <f>Settings!$B$2*AB250+Settings!$B$3*AC250+Settings!$B$4*AD250+Settings!$B$5*AE250+Settings!$B$6*AF250+Settings!$B$7*AG250+Settings!$B$8*AH250+Settings!$B$9*AI250+Settings!$B$10*AJ250</f>
        <v>-6.7623355151075808</v>
      </c>
      <c r="H250" s="3">
        <f>G250-LARGE($G$2:$G$266,Settings!$F$4)</f>
        <v>-3.5460707486604157</v>
      </c>
      <c r="I250" t="str">
        <f>IF(INDEX('Player Data'!$R:$R,AL250)="","",INDEX('Player Data'!$R:$R,AL250))</f>
        <v/>
      </c>
      <c r="J250" s="4" t="str">
        <f t="shared" si="20"/>
        <v/>
      </c>
      <c r="L250" s="5">
        <f>IF(Settings!$F$7="Yes",INDEX('Minutes &amp; Health'!$O:$O,AL250),Settings!$F$8)</f>
        <v>71</v>
      </c>
      <c r="M250" s="6">
        <f>INDEX('Minutes &amp; Health'!$P:$P,AL250)</f>
        <v>16.600000000000001</v>
      </c>
      <c r="N250" s="5">
        <f>INDEX('Player Data'!$F:$F,AL250)/INDEX('Player Data'!$E:$E,AL250)*M250*L250*AM250</f>
        <v>484.01439458086372</v>
      </c>
      <c r="O250" s="5">
        <f>INDEX('Player Data'!$G:$G,AL250)/INDEX('Player Data'!$E:$E,AL250)*M250*L250*AM250</f>
        <v>224.54276037256565</v>
      </c>
      <c r="P250" s="5">
        <f>INDEX('Player Data'!$H:$H,AL250)/INDEX('Player Data'!$E:$E,AL250)*M250*L250*AM250</f>
        <v>112.77036409822185</v>
      </c>
      <c r="Q250" s="5">
        <f>INDEX('Player Data'!$I:$I,AL250)/INDEX('Player Data'!$E:$E,AL250)*M250*L250*AM250</f>
        <v>40.916680779000849</v>
      </c>
      <c r="R250" s="5">
        <f>INDEX('Player Data'!$J:$J,AL250)/INDEX('Player Data'!$E:$E,AL250)*M250*L250*AM250</f>
        <v>17.963420829805251</v>
      </c>
      <c r="S250" s="5">
        <f>INDEX('Player Data'!$K:$K,AL250)/INDEX('Player Data'!$E:$E,AL250)*M250*L250*AM250</f>
        <v>73.849618966977133</v>
      </c>
      <c r="T250" s="5">
        <f>INDEX('Player Data'!$L:$L,AL250)/INDEX('Player Data'!$E:$E,AL250)*M250*L250*AM250</f>
        <v>73.849618966977133</v>
      </c>
      <c r="U250" s="7">
        <f>INDEX('Player Data'!$M:$M,AL250)</f>
        <v>0.44400000000000001</v>
      </c>
      <c r="V250" s="7">
        <f>INDEX('Player Data'!$N:$N,AL250)</f>
        <v>0.72399999999999998</v>
      </c>
      <c r="W250" s="5">
        <f t="shared" si="21"/>
        <v>170.63692958509739</v>
      </c>
      <c r="X250" s="5">
        <f>INDEX('Player Data'!$O:$O,AL250)/INDEX('Player Data'!$E:$E,AL250)*M250*L250*AM250</f>
        <v>384.31740897544455</v>
      </c>
      <c r="Y250" s="5">
        <f t="shared" si="22"/>
        <v>68.929238408128711</v>
      </c>
      <c r="Z250" s="5">
        <f>INDEX('Player Data'!$P:$P,AL250)/INDEX('Player Data'!$E:$E,AL250)*M250*L250*AM250</f>
        <v>95.20613039796784</v>
      </c>
      <c r="AB250" s="3">
        <f>(N250-Pool!$D$2)/Pool!$E$2</f>
        <v>-1.8619466510670113</v>
      </c>
      <c r="AC250" s="3">
        <f>(O250-Pool!$D$3)/Pool!$E$3</f>
        <v>-1.1925178140394137</v>
      </c>
      <c r="AD250" s="3">
        <f>(P250-Pool!$D$4)/Pool!$E$4</f>
        <v>-1.1314522015898898</v>
      </c>
      <c r="AE250" s="3">
        <f>(Q250-Pool!$D$5)/Pool!$E$5</f>
        <v>-1.4703829958936456</v>
      </c>
      <c r="AF250" s="3">
        <f>(R250-Pool!$D$6)/Pool!$E$6</f>
        <v>-0.93683109927851438</v>
      </c>
      <c r="AG250" s="3">
        <f>(S250-Pool!$D$7)/Pool!$E$7</f>
        <v>-0.69805947722841888</v>
      </c>
      <c r="AH250" s="3">
        <f>(AS250-Pool!$D$8)/Pool!$E$8</f>
        <v>-0.33681299991120484</v>
      </c>
      <c r="AI250" s="3">
        <f>(AT250-Pool!$D$9)/Pool!$E$9</f>
        <v>-0.32490606594174104</v>
      </c>
      <c r="AJ250" s="3">
        <f>-(T250-Pool!$D$10)/Pool!$E$10</f>
        <v>1.1905737898422588</v>
      </c>
      <c r="AL250">
        <f>MATCH(B250,'Player Data'!$A:$A,0)</f>
        <v>230</v>
      </c>
      <c r="AM250" s="3">
        <f>1+IF(Settings!$F$10="ON",IFERROR(VLOOKUP(TRIM(F250),Settings!$D$12:$F$17,3,FALSE),0),0)</f>
        <v>1</v>
      </c>
      <c r="AN250" t="str">
        <f t="shared" si="23"/>
        <v>PF</v>
      </c>
      <c r="AO250" s="6">
        <f>X250*(U250-Pool!$B$12)</f>
        <v>-14.068618875927598</v>
      </c>
      <c r="AP250" s="6">
        <f>Z250*(V250-Pool!$B$13)</f>
        <v>-6.2930925860723113</v>
      </c>
      <c r="AQ250" s="3">
        <f>Settings!$B$2*(N250-Pool!$B$2)/Pool!$C$2+Settings!$B$3*(O250-Pool!$B$3)/Pool!$C$3+Settings!$B$4*(P250-Pool!$B$4)/Pool!$C$4+Settings!$B$5*(Q250-Pool!$B$5)/Pool!$C$5+Settings!$B$6*(R250-Pool!$B$6)/Pool!$C$6+Settings!$B$7*(S250-Pool!$B$7)/Pool!$C$7+Settings!$B$8*(AO250-Pool!$B$8)/Pool!$C$8+Settings!$B$9*(AP250-Pool!$B$9)/Pool!$C$9+Settings!$B$10*-(T250-Pool!$B$10)/Pool!$C$10</f>
        <v>-4.6743444475603058</v>
      </c>
      <c r="AR250">
        <f>IF(RANK(AQ250,$AQ$2:$AQ$266)&lt;=Settings!$F$5,1,0)</f>
        <v>0</v>
      </c>
      <c r="AS250" s="6">
        <f>X250*(U250-Pool!$D$12)</f>
        <v>-15.400979483650245</v>
      </c>
      <c r="AT250" s="6">
        <f>Z250*(V250-Pool!$D$13)</f>
        <v>-7.248845368578813</v>
      </c>
    </row>
    <row r="251" spans="1:46" x14ac:dyDescent="0.2">
      <c r="A251">
        <f t="shared" si="18"/>
        <v>250</v>
      </c>
      <c r="B251" t="s">
        <v>292</v>
      </c>
      <c r="C251" t="str">
        <f>INDEX('Player Data'!$C:$C,AL251)</f>
        <v>PF,C</v>
      </c>
      <c r="D251">
        <f t="shared" si="19"/>
        <v>74</v>
      </c>
      <c r="E251" t="str">
        <f>INDEX('Player Data'!$B:$B,AL251)</f>
        <v>WAS</v>
      </c>
      <c r="F251" s="2"/>
      <c r="G251" s="3">
        <f>Settings!$B$2*AB251+Settings!$B$3*AC251+Settings!$B$4*AD251+Settings!$B$5*AE251+Settings!$B$6*AF251+Settings!$B$7*AG251+Settings!$B$8*AH251+Settings!$B$9*AI251+Settings!$B$10*AJ251</f>
        <v>-6.9018749405506457</v>
      </c>
      <c r="H251" s="3">
        <f>G251-LARGE($G$2:$G$266,Settings!$F$4)</f>
        <v>-3.6856101741034806</v>
      </c>
      <c r="I251" t="str">
        <f>IF(INDEX('Player Data'!$R:$R,AL251)="","",INDEX('Player Data'!$R:$R,AL251))</f>
        <v/>
      </c>
      <c r="J251" s="4" t="str">
        <f t="shared" si="20"/>
        <v/>
      </c>
      <c r="L251" s="5">
        <f>IF(Settings!$F$7="Yes",INDEX('Minutes &amp; Health'!$O:$O,AL251),Settings!$F$8)</f>
        <v>67</v>
      </c>
      <c r="M251" s="6">
        <f>INDEX('Minutes &amp; Health'!$P:$P,AL251)</f>
        <v>12.1</v>
      </c>
      <c r="N251" s="5">
        <f>INDEX('Player Data'!$F:$F,AL251)/INDEX('Player Data'!$E:$E,AL251)*M251*L251*AM251</f>
        <v>507.18669950738911</v>
      </c>
      <c r="O251" s="5">
        <f>INDEX('Player Data'!$G:$G,AL251)/INDEX('Player Data'!$E:$E,AL251)*M251*L251*AM251</f>
        <v>180.71022167487683</v>
      </c>
      <c r="P251" s="5">
        <f>INDEX('Player Data'!$H:$H,AL251)/INDEX('Player Data'!$E:$E,AL251)*M251*L251*AM251</f>
        <v>60.902339901477838</v>
      </c>
      <c r="Q251" s="5">
        <f>INDEX('Player Data'!$I:$I,AL251)/INDEX('Player Data'!$E:$E,AL251)*M251*L251*AM251</f>
        <v>26.956773399014779</v>
      </c>
      <c r="R251" s="5">
        <f>INDEX('Player Data'!$J:$J,AL251)/INDEX('Player Data'!$E:$E,AL251)*M251*L251*AM251</f>
        <v>38.937561576354675</v>
      </c>
      <c r="S251" s="5">
        <f>INDEX('Player Data'!$K:$K,AL251)/INDEX('Player Data'!$E:$E,AL251)*M251*L251*AM251</f>
        <v>53.913546798029557</v>
      </c>
      <c r="T251" s="5">
        <f>INDEX('Player Data'!$L:$L,AL251)/INDEX('Player Data'!$E:$E,AL251)*M251*L251*AM251</f>
        <v>71.884729064039405</v>
      </c>
      <c r="U251" s="7">
        <f>INDEX('Player Data'!$M:$M,AL251)</f>
        <v>0.496</v>
      </c>
      <c r="V251" s="7">
        <f>INDEX('Player Data'!$N:$N,AL251)</f>
        <v>0.78200000000000003</v>
      </c>
      <c r="W251" s="5">
        <f t="shared" si="21"/>
        <v>182.38433714285713</v>
      </c>
      <c r="X251" s="5">
        <f>INDEX('Player Data'!$O:$O,AL251)/INDEX('Player Data'!$E:$E,AL251)*M251*L251*AM251</f>
        <v>367.71035714285711</v>
      </c>
      <c r="Y251" s="5">
        <f t="shared" si="22"/>
        <v>88.536826551724147</v>
      </c>
      <c r="Z251" s="5">
        <f>INDEX('Player Data'!$P:$P,AL251)/INDEX('Player Data'!$E:$E,AL251)*M251*L251*AM251</f>
        <v>113.21844827586207</v>
      </c>
      <c r="AB251" s="3">
        <f>(N251-Pool!$D$2)/Pool!$E$2</f>
        <v>-1.8048278196246199</v>
      </c>
      <c r="AC251" s="3">
        <f>(O251-Pool!$D$3)/Pool!$E$3</f>
        <v>-1.4476455295199624</v>
      </c>
      <c r="AD251" s="3">
        <f>(P251-Pool!$D$4)/Pool!$E$4</f>
        <v>-1.4822526427613802</v>
      </c>
      <c r="AE251" s="3">
        <f>(Q251-Pool!$D$5)/Pool!$E$5</f>
        <v>-2.0866873474754257</v>
      </c>
      <c r="AF251" s="3">
        <f>(R251-Pool!$D$6)/Pool!$E$6</f>
        <v>-0.32982424348307926</v>
      </c>
      <c r="AG251" s="3">
        <f>(S251-Pool!$D$7)/Pool!$E$7</f>
        <v>-0.9788453346809971</v>
      </c>
      <c r="AH251" s="3">
        <f>(AS251-Pool!$D$8)/Pool!$E$8</f>
        <v>9.590825443622146E-2</v>
      </c>
      <c r="AI251" s="3">
        <f>(AT251-Pool!$D$9)/Pool!$E$9</f>
        <v>-9.2046206423982729E-2</v>
      </c>
      <c r="AJ251" s="3">
        <f>-(T251-Pool!$D$10)/Pool!$E$10</f>
        <v>1.2243459289825822</v>
      </c>
      <c r="AL251">
        <f>MATCH(B251,'Player Data'!$A:$A,0)</f>
        <v>222</v>
      </c>
      <c r="AM251" s="3">
        <f>1+IF(Settings!$F$10="ON",IFERROR(VLOOKUP(TRIM(F251),Settings!$D$12:$F$17,3,FALSE),0),0)</f>
        <v>1</v>
      </c>
      <c r="AN251" t="str">
        <f t="shared" si="23"/>
        <v>PF</v>
      </c>
      <c r="AO251" s="6">
        <f>X251*(U251-Pool!$B$12)</f>
        <v>5.6602502170672597</v>
      </c>
      <c r="AP251" s="6">
        <f>Z251*(V251-Pool!$B$13)</f>
        <v>-0.91703062382712408</v>
      </c>
      <c r="AQ251" s="3">
        <f>Settings!$B$2*(N251-Pool!$B$2)/Pool!$C$2+Settings!$B$3*(O251-Pool!$B$3)/Pool!$C$3+Settings!$B$4*(P251-Pool!$B$4)/Pool!$C$4+Settings!$B$5*(Q251-Pool!$B$5)/Pool!$C$5+Settings!$B$6*(R251-Pool!$B$6)/Pool!$C$6+Settings!$B$7*(S251-Pool!$B$7)/Pool!$C$7+Settings!$B$8*(AO251-Pool!$B$8)/Pool!$C$8+Settings!$B$9*(AP251-Pool!$B$9)/Pool!$C$9+Settings!$B$10*-(T251-Pool!$B$10)/Pool!$C$10</f>
        <v>-4.5828974769927511</v>
      </c>
      <c r="AR251">
        <f>IF(RANK(AQ251,$AQ$2:$AQ$266)&lt;=Settings!$F$5,1,0)</f>
        <v>0</v>
      </c>
      <c r="AS251" s="6">
        <f>X251*(U251-Pool!$D$12)</f>
        <v>4.3854633261614886</v>
      </c>
      <c r="AT251" s="6">
        <f>Z251*(V251-Pool!$D$13)</f>
        <v>-2.0536049864065471</v>
      </c>
    </row>
    <row r="252" spans="1:46" x14ac:dyDescent="0.2">
      <c r="A252">
        <f t="shared" si="18"/>
        <v>251</v>
      </c>
      <c r="B252" t="s">
        <v>293</v>
      </c>
      <c r="C252" t="str">
        <f>INDEX('Player Data'!$C:$C,AL252)</f>
        <v>SG,SF</v>
      </c>
      <c r="D252">
        <f t="shared" si="19"/>
        <v>16</v>
      </c>
      <c r="E252" t="str">
        <f>INDEX('Player Data'!$B:$B,AL252)</f>
        <v>IND</v>
      </c>
      <c r="F252" s="2"/>
      <c r="G252" s="3">
        <f>Settings!$B$2*AB252+Settings!$B$3*AC252+Settings!$B$4*AD252+Settings!$B$5*AE252+Settings!$B$6*AF252+Settings!$B$7*AG252+Settings!$B$8*AH252+Settings!$B$9*AI252+Settings!$B$10*AJ252</f>
        <v>-6.9021616594080362</v>
      </c>
      <c r="H252" s="3">
        <f>G252-LARGE($G$2:$G$266,Settings!$F$4)</f>
        <v>-3.6858968929608711</v>
      </c>
      <c r="I252" t="str">
        <f>IF(INDEX('Player Data'!$R:$R,AL252)="","",INDEX('Player Data'!$R:$R,AL252))</f>
        <v/>
      </c>
      <c r="J252" s="4" t="str">
        <f t="shared" si="20"/>
        <v/>
      </c>
      <c r="L252" s="5">
        <f>IF(Settings!$F$7="Yes",INDEX('Minutes &amp; Health'!$O:$O,AL252),Settings!$F$8)</f>
        <v>70</v>
      </c>
      <c r="M252" s="6">
        <f>INDEX('Minutes &amp; Health'!$P:$P,AL252)</f>
        <v>18.399999999999999</v>
      </c>
      <c r="N252" s="5">
        <f>INDEX('Player Data'!$F:$F,AL252)/INDEX('Player Data'!$E:$E,AL252)*M252*L252*AM252</f>
        <v>365.85214007782093</v>
      </c>
      <c r="O252" s="5">
        <f>INDEX('Player Data'!$G:$G,AL252)/INDEX('Player Data'!$E:$E,AL252)*M252*L252*AM252</f>
        <v>168.39221789883268</v>
      </c>
      <c r="P252" s="5">
        <f>INDEX('Player Data'!$H:$H,AL252)/INDEX('Player Data'!$E:$E,AL252)*M252*L252*AM252</f>
        <v>92.214785992217898</v>
      </c>
      <c r="Q252" s="5">
        <f>INDEX('Player Data'!$I:$I,AL252)/INDEX('Player Data'!$E:$E,AL252)*M252*L252*AM252</f>
        <v>37.086381322957195</v>
      </c>
      <c r="R252" s="5">
        <f>INDEX('Player Data'!$J:$J,AL252)/INDEX('Player Data'!$E:$E,AL252)*M252*L252*AM252</f>
        <v>7.0163424124513609</v>
      </c>
      <c r="S252" s="5">
        <f>INDEX('Player Data'!$K:$K,AL252)/INDEX('Player Data'!$E:$E,AL252)*M252*L252*AM252</f>
        <v>69.16108949416342</v>
      </c>
      <c r="T252" s="5">
        <f>INDEX('Player Data'!$L:$L,AL252)/INDEX('Player Data'!$E:$E,AL252)*M252*L252*AM252</f>
        <v>27.063035019455253</v>
      </c>
      <c r="U252" s="7">
        <f>INDEX('Player Data'!$M:$M,AL252)</f>
        <v>0.43</v>
      </c>
      <c r="V252" s="7">
        <f>INDEX('Player Data'!$N:$N,AL252)</f>
        <v>0.82599999999999996</v>
      </c>
      <c r="W252" s="5">
        <f t="shared" si="21"/>
        <v>128.30985836575871</v>
      </c>
      <c r="X252" s="5">
        <f>INDEX('Player Data'!$O:$O,AL252)/INDEX('Player Data'!$E:$E,AL252)*M252*L252*AM252</f>
        <v>298.39501945525285</v>
      </c>
      <c r="Y252" s="5">
        <f t="shared" si="22"/>
        <v>40.071734785992213</v>
      </c>
      <c r="Z252" s="5">
        <f>INDEX('Player Data'!$P:$P,AL252)/INDEX('Player Data'!$E:$E,AL252)*M252*L252*AM252</f>
        <v>48.512996108949409</v>
      </c>
      <c r="AB252" s="3">
        <f>(N252-Pool!$D$2)/Pool!$E$2</f>
        <v>-2.1532120180304126</v>
      </c>
      <c r="AC252" s="3">
        <f>(O252-Pool!$D$3)/Pool!$E$3</f>
        <v>-1.5193425896500574</v>
      </c>
      <c r="AD252" s="3">
        <f>(P252-Pool!$D$4)/Pool!$E$4</f>
        <v>-1.2704763109480763</v>
      </c>
      <c r="AE252" s="3">
        <f>(Q252-Pool!$D$5)/Pool!$E$5</f>
        <v>-1.6394837039689298</v>
      </c>
      <c r="AF252" s="3">
        <f>(R252-Pool!$D$6)/Pool!$E$6</f>
        <v>-1.2536474938360485</v>
      </c>
      <c r="AG252" s="3">
        <f>(S252-Pool!$D$7)/Pool!$E$7</f>
        <v>-0.76409418843227472</v>
      </c>
      <c r="AH252" s="3">
        <f>(AS252-Pool!$D$8)/Pool!$E$8</f>
        <v>-0.35287208391094477</v>
      </c>
      <c r="AI252" s="3">
        <f>(AT252-Pool!$D$9)/Pool!$E$9</f>
        <v>5.6234385597429465E-2</v>
      </c>
      <c r="AJ252" s="3">
        <f>-(T252-Pool!$D$10)/Pool!$E$10</f>
        <v>1.9947323437712796</v>
      </c>
      <c r="AL252">
        <f>MATCH(B252,'Player Data'!$A:$A,0)</f>
        <v>251</v>
      </c>
      <c r="AM252" s="3">
        <f>1+IF(Settings!$F$10="ON",IFERROR(VLOOKUP(TRIM(F252),Settings!$D$12:$F$17,3,FALSE),0),0)</f>
        <v>1</v>
      </c>
      <c r="AN252" t="str">
        <f t="shared" si="23"/>
        <v>SG</v>
      </c>
      <c r="AO252" s="6">
        <f>X252*(U252-Pool!$B$12)</f>
        <v>-15.100808024433896</v>
      </c>
      <c r="AP252" s="6">
        <f>Z252*(V252-Pool!$B$13)</f>
        <v>1.741633188819516</v>
      </c>
      <c r="AQ252" s="3">
        <f>Settings!$B$2*(N252-Pool!$B$2)/Pool!$C$2+Settings!$B$3*(O252-Pool!$B$3)/Pool!$C$3+Settings!$B$4*(P252-Pool!$B$4)/Pool!$C$4+Settings!$B$5*(Q252-Pool!$B$5)/Pool!$C$5+Settings!$B$6*(R252-Pool!$B$6)/Pool!$C$6+Settings!$B$7*(S252-Pool!$B$7)/Pool!$C$7+Settings!$B$8*(AO252-Pool!$B$8)/Pool!$C$8+Settings!$B$9*(AP252-Pool!$B$9)/Pool!$C$9+Settings!$B$10*-(T252-Pool!$B$10)/Pool!$C$10</f>
        <v>-4.7883155448619812</v>
      </c>
      <c r="AR252">
        <f>IF(RANK(AQ252,$AQ$2:$AQ$266)&lt;=Settings!$F$5,1,0)</f>
        <v>0</v>
      </c>
      <c r="AS252" s="6">
        <f>X252*(U252-Pool!$D$12)</f>
        <v>-16.135290876831078</v>
      </c>
      <c r="AT252" s="6">
        <f>Z252*(V252-Pool!$D$13)</f>
        <v>1.2546222072257802</v>
      </c>
    </row>
    <row r="253" spans="1:46" x14ac:dyDescent="0.2">
      <c r="A253">
        <f t="shared" si="18"/>
        <v>252</v>
      </c>
      <c r="B253" t="s">
        <v>294</v>
      </c>
      <c r="C253" t="str">
        <f>INDEX('Player Data'!$C:$C,AL253)</f>
        <v>C</v>
      </c>
      <c r="D253">
        <f t="shared" si="19"/>
        <v>56</v>
      </c>
      <c r="E253" t="str">
        <f>INDEX('Player Data'!$B:$B,AL253)</f>
        <v>CHI</v>
      </c>
      <c r="F253" s="2"/>
      <c r="G253" s="3">
        <f>Settings!$B$2*AB253+Settings!$B$3*AC253+Settings!$B$4*AD253+Settings!$B$5*AE253+Settings!$B$6*AF253+Settings!$B$7*AG253+Settings!$B$8*AH253+Settings!$B$9*AI253+Settings!$B$10*AJ253</f>
        <v>-7.2843657817950787</v>
      </c>
      <c r="H253" s="3">
        <f>G253-LARGE($G$2:$G$266,Settings!$F$4)</f>
        <v>-4.0681010153479136</v>
      </c>
      <c r="I253" t="str">
        <f>IF(INDEX('Player Data'!$R:$R,AL253)="","",INDEX('Player Data'!$R:$R,AL253))</f>
        <v/>
      </c>
      <c r="J253" s="4" t="str">
        <f t="shared" si="20"/>
        <v/>
      </c>
      <c r="L253" s="5">
        <f>IF(Settings!$F$7="Yes",INDEX('Minutes &amp; Health'!$O:$O,AL253),Settings!$F$8)</f>
        <v>67</v>
      </c>
      <c r="M253" s="6">
        <f>INDEX('Minutes &amp; Health'!$P:$P,AL253)</f>
        <v>13.2</v>
      </c>
      <c r="N253" s="5">
        <f>INDEX('Player Data'!$F:$F,AL253)/INDEX('Player Data'!$E:$E,AL253)*M253*L253*AM253</f>
        <v>385.73830508474578</v>
      </c>
      <c r="O253" s="5">
        <f>INDEX('Player Data'!$G:$G,AL253)/INDEX('Player Data'!$E:$E,AL253)*M253*L253*AM253</f>
        <v>232.84203389830506</v>
      </c>
      <c r="P253" s="5">
        <f>INDEX('Player Data'!$H:$H,AL253)/INDEX('Player Data'!$E:$E,AL253)*M253*L253*AM253</f>
        <v>86.941016949152541</v>
      </c>
      <c r="Q253" s="5">
        <f>INDEX('Player Data'!$I:$I,AL253)/INDEX('Player Data'!$E:$E,AL253)*M253*L253*AM253</f>
        <v>18.987118644067795</v>
      </c>
      <c r="R253" s="5">
        <f>INDEX('Player Data'!$J:$J,AL253)/INDEX('Player Data'!$E:$E,AL253)*M253*L253*AM253</f>
        <v>21.985084745762713</v>
      </c>
      <c r="S253" s="5">
        <f>INDEX('Player Data'!$K:$K,AL253)/INDEX('Player Data'!$E:$E,AL253)*M253*L253*AM253</f>
        <v>32.977627118644065</v>
      </c>
      <c r="T253" s="5">
        <f>INDEX('Player Data'!$L:$L,AL253)/INDEX('Player Data'!$E:$E,AL253)*M253*L253*AM253</f>
        <v>51.964745762711864</v>
      </c>
      <c r="U253" s="7">
        <f>INDEX('Player Data'!$M:$M,AL253)</f>
        <v>0.52</v>
      </c>
      <c r="V253" s="7">
        <f>INDEX('Player Data'!$N:$N,AL253)</f>
        <v>0.80600000000000005</v>
      </c>
      <c r="W253" s="5">
        <f t="shared" si="21"/>
        <v>141.03231999999997</v>
      </c>
      <c r="X253" s="5">
        <f>INDEX('Player Data'!$O:$O,AL253)/INDEX('Player Data'!$E:$E,AL253)*M253*L253*AM253</f>
        <v>271.21599999999995</v>
      </c>
      <c r="Y253" s="5">
        <f t="shared" si="22"/>
        <v>70.71882250847456</v>
      </c>
      <c r="Z253" s="5">
        <f>INDEX('Player Data'!$P:$P,AL253)/INDEX('Player Data'!$E:$E,AL253)*M253*L253*AM253</f>
        <v>87.740474576271168</v>
      </c>
      <c r="AB253" s="3">
        <f>(N253-Pool!$D$2)/Pool!$E$2</f>
        <v>-2.1041933938293353</v>
      </c>
      <c r="AC253" s="3">
        <f>(O253-Pool!$D$3)/Pool!$E$3</f>
        <v>-1.1442118122042579</v>
      </c>
      <c r="AD253" s="3">
        <f>(P253-Pool!$D$4)/Pool!$E$4</f>
        <v>-1.3061445388321071</v>
      </c>
      <c r="AE253" s="3">
        <f>(Q253-Pool!$D$5)/Pool!$E$5</f>
        <v>-2.4385330132367953</v>
      </c>
      <c r="AF253" s="3">
        <f>(R253-Pool!$D$6)/Pool!$E$6</f>
        <v>-0.82044122671160569</v>
      </c>
      <c r="AG253" s="3">
        <f>(S253-Pool!$D$7)/Pool!$E$7</f>
        <v>-1.2737133562710738</v>
      </c>
      <c r="AH253" s="3">
        <f>(AS253-Pool!$D$8)/Pool!$E$8</f>
        <v>0.2130932012038472</v>
      </c>
      <c r="AI253" s="3">
        <f>(AT253-Pool!$D$9)/Pool!$E$9</f>
        <v>2.3051694834772488E-2</v>
      </c>
      <c r="AJ253" s="3">
        <f>-(T253-Pool!$D$10)/Pool!$E$10</f>
        <v>1.5667266632514767</v>
      </c>
      <c r="AL253">
        <f>MATCH(B253,'Player Data'!$A:$A,0)</f>
        <v>245</v>
      </c>
      <c r="AM253" s="3">
        <f>1+IF(Settings!$F$10="ON",IFERROR(VLOOKUP(TRIM(F253),Settings!$D$12:$F$17,3,FALSE),0),0)</f>
        <v>1</v>
      </c>
      <c r="AN253" t="str">
        <f t="shared" si="23"/>
        <v>C</v>
      </c>
      <c r="AO253" s="6">
        <f>X253*(U253-Pool!$B$12)</f>
        <v>10.684074353375884</v>
      </c>
      <c r="AP253" s="6">
        <f>Z253*(V253-Pool!$B$13)</f>
        <v>1.3951036200380853</v>
      </c>
      <c r="AQ253" s="3">
        <f>Settings!$B$2*(N253-Pool!$B$2)/Pool!$C$2+Settings!$B$3*(O253-Pool!$B$3)/Pool!$C$3+Settings!$B$4*(P253-Pool!$B$4)/Pool!$C$4+Settings!$B$5*(Q253-Pool!$B$5)/Pool!$C$5+Settings!$B$6*(R253-Pool!$B$6)/Pool!$C$6+Settings!$B$7*(S253-Pool!$B$7)/Pool!$C$7+Settings!$B$8*(AO253-Pool!$B$8)/Pool!$C$8+Settings!$B$9*(AP253-Pool!$B$9)/Pool!$C$9+Settings!$B$10*-(T253-Pool!$B$10)/Pool!$C$10</f>
        <v>-4.9275449428105791</v>
      </c>
      <c r="AR253">
        <f>IF(RANK(AQ253,$AQ$2:$AQ$266)&lt;=Settings!$F$5,1,0)</f>
        <v>0</v>
      </c>
      <c r="AS253" s="6">
        <f>X253*(U253-Pool!$D$12)</f>
        <v>9.743816363118686</v>
      </c>
      <c r="AT253" s="6">
        <f>Z253*(V253-Pool!$D$13)</f>
        <v>0.51429686563918853</v>
      </c>
    </row>
    <row r="254" spans="1:46" x14ac:dyDescent="0.2">
      <c r="A254">
        <f t="shared" si="18"/>
        <v>253</v>
      </c>
      <c r="B254" t="s">
        <v>295</v>
      </c>
      <c r="C254" t="str">
        <f>INDEX('Player Data'!$C:$C,AL254)</f>
        <v>PG,SG</v>
      </c>
      <c r="D254">
        <f t="shared" si="19"/>
        <v>77</v>
      </c>
      <c r="E254" t="str">
        <f>INDEX('Player Data'!$B:$B,AL254)</f>
        <v>NOR</v>
      </c>
      <c r="F254" s="2"/>
      <c r="G254" s="3">
        <f>Settings!$B$2*AB254+Settings!$B$3*AC254+Settings!$B$4*AD254+Settings!$B$5*AE254+Settings!$B$6*AF254+Settings!$B$7*AG254+Settings!$B$8*AH254+Settings!$B$9*AI254+Settings!$B$10*AJ254</f>
        <v>-7.3810604591897429</v>
      </c>
      <c r="H254" s="3">
        <f>G254-LARGE($G$2:$G$266,Settings!$F$4)</f>
        <v>-4.1647956927425778</v>
      </c>
      <c r="I254" t="str">
        <f>IF(INDEX('Player Data'!$R:$R,AL254)="","",INDEX('Player Data'!$R:$R,AL254))</f>
        <v/>
      </c>
      <c r="J254" s="4" t="str">
        <f t="shared" si="20"/>
        <v/>
      </c>
      <c r="L254" s="5">
        <f>IF(Settings!$F$7="Yes",INDEX('Minutes &amp; Health'!$O:$O,AL254),Settings!$F$8)</f>
        <v>47</v>
      </c>
      <c r="M254" s="6">
        <f>INDEX('Minutes &amp; Health'!$P:$P,AL254)</f>
        <v>19.600000000000001</v>
      </c>
      <c r="N254" s="5">
        <f>INDEX('Player Data'!$F:$F,AL254)/INDEX('Player Data'!$E:$E,AL254)*M254*L254*AM254</f>
        <v>523.97616468039007</v>
      </c>
      <c r="O254" s="5">
        <f>INDEX('Player Data'!$G:$G,AL254)/INDEX('Player Data'!$E:$E,AL254)*M254*L254*AM254</f>
        <v>79.843986998916577</v>
      </c>
      <c r="P254" s="5">
        <f>INDEX('Player Data'!$H:$H,AL254)/INDEX('Player Data'!$E:$E,AL254)*M254*L254*AM254</f>
        <v>120.76403033586134</v>
      </c>
      <c r="Q254" s="5">
        <f>INDEX('Player Data'!$I:$I,AL254)/INDEX('Player Data'!$E:$E,AL254)*M254*L254*AM254</f>
        <v>30.93954496208017</v>
      </c>
      <c r="R254" s="5">
        <f>INDEX('Player Data'!$J:$J,AL254)/INDEX('Player Data'!$E:$E,AL254)*M254*L254*AM254</f>
        <v>12.974647887323945</v>
      </c>
      <c r="S254" s="5">
        <f>INDEX('Player Data'!$K:$K,AL254)/INDEX('Player Data'!$E:$E,AL254)*M254*L254*AM254</f>
        <v>80.84203683640304</v>
      </c>
      <c r="T254" s="5">
        <f>INDEX('Player Data'!$L:$L,AL254)/INDEX('Player Data'!$E:$E,AL254)*M254*L254*AM254</f>
        <v>72.857638136511383</v>
      </c>
      <c r="U254" s="7">
        <f>INDEX('Player Data'!$M:$M,AL254)</f>
        <v>0.43</v>
      </c>
      <c r="V254" s="7">
        <f>INDEX('Player Data'!$N:$N,AL254)</f>
        <v>0.877</v>
      </c>
      <c r="W254" s="5">
        <f t="shared" si="21"/>
        <v>175.5699410617552</v>
      </c>
      <c r="X254" s="5">
        <f>INDEX('Player Data'!$O:$O,AL254)/INDEX('Player Data'!$E:$E,AL254)*M254*L254*AM254</f>
        <v>408.30218851570976</v>
      </c>
      <c r="Y254" s="5">
        <f t="shared" si="22"/>
        <v>91.992948255687978</v>
      </c>
      <c r="Z254" s="5">
        <f>INDEX('Player Data'!$P:$P,AL254)/INDEX('Player Data'!$E:$E,AL254)*M254*L254*AM254</f>
        <v>104.89503791982666</v>
      </c>
      <c r="AB254" s="3">
        <f>(N254-Pool!$D$2)/Pool!$E$2</f>
        <v>-1.7634424402130631</v>
      </c>
      <c r="AC254" s="3">
        <f>(O254-Pool!$D$3)/Pool!$E$3</f>
        <v>-2.0347384241270348</v>
      </c>
      <c r="AD254" s="3">
        <f>(P254-Pool!$D$4)/Pool!$E$4</f>
        <v>-1.0773884178586095</v>
      </c>
      <c r="AE254" s="3">
        <f>(Q254-Pool!$D$5)/Pool!$E$5</f>
        <v>-1.9108552750368608</v>
      </c>
      <c r="AF254" s="3">
        <f>(R254-Pool!$D$6)/Pool!$E$6</f>
        <v>-1.0812098089804176</v>
      </c>
      <c r="AG254" s="3">
        <f>(S254-Pool!$D$7)/Pool!$E$7</f>
        <v>-0.59957608338358559</v>
      </c>
      <c r="AH254" s="3">
        <f>(AS254-Pool!$D$8)/Pool!$E$8</f>
        <v>-0.48284466808449344</v>
      </c>
      <c r="AI254" s="3">
        <f>(AT254-Pool!$D$9)/Pool!$E$9</f>
        <v>0.36137089827920055</v>
      </c>
      <c r="AJ254" s="3">
        <f>-(T254-Pool!$D$10)/Pool!$E$10</f>
        <v>1.2076237602151203</v>
      </c>
      <c r="AL254">
        <f>MATCH(B254,'Player Data'!$A:$A,0)</f>
        <v>159</v>
      </c>
      <c r="AM254" s="3">
        <f>1+IF(Settings!$F$10="ON",IFERROR(VLOOKUP(TRIM(F254),Settings!$D$12:$F$17,3,FALSE),0),0)</f>
        <v>1</v>
      </c>
      <c r="AN254" t="str">
        <f t="shared" si="23"/>
        <v>PG</v>
      </c>
      <c r="AO254" s="6">
        <f>X254*(U254-Pool!$B$12)</f>
        <v>-20.662854815700282</v>
      </c>
      <c r="AP254" s="6">
        <f>Z254*(V254-Pool!$B$13)</f>
        <v>9.1154147494749278</v>
      </c>
      <c r="AQ254" s="3">
        <f>Settings!$B$2*(N254-Pool!$B$2)/Pool!$C$2+Settings!$B$3*(O254-Pool!$B$3)/Pool!$C$3+Settings!$B$4*(P254-Pool!$B$4)/Pool!$C$4+Settings!$B$5*(Q254-Pool!$B$5)/Pool!$C$5+Settings!$B$6*(R254-Pool!$B$6)/Pool!$C$6+Settings!$B$7*(S254-Pool!$B$7)/Pool!$C$7+Settings!$B$8*(AO254-Pool!$B$8)/Pool!$C$8+Settings!$B$9*(AP254-Pool!$B$9)/Pool!$C$9+Settings!$B$10*-(T254-Pool!$B$10)/Pool!$C$10</f>
        <v>-5.1635887200223305</v>
      </c>
      <c r="AR254">
        <f>IF(RANK(AQ254,$AQ$2:$AQ$266)&lt;=Settings!$F$5,1,0)</f>
        <v>0</v>
      </c>
      <c r="AS254" s="6">
        <f>X254*(U254-Pool!$D$12)</f>
        <v>-22.078366419703723</v>
      </c>
      <c r="AT254" s="6">
        <f>Z254*(V254-Pool!$D$13)</f>
        <v>8.0623972185246373</v>
      </c>
    </row>
    <row r="255" spans="1:46" x14ac:dyDescent="0.2">
      <c r="A255">
        <f t="shared" si="18"/>
        <v>254</v>
      </c>
      <c r="B255" t="s">
        <v>296</v>
      </c>
      <c r="C255" t="str">
        <f>INDEX('Player Data'!$C:$C,AL255)</f>
        <v>C</v>
      </c>
      <c r="D255">
        <f t="shared" si="19"/>
        <v>57</v>
      </c>
      <c r="E255" t="str">
        <f>INDEX('Player Data'!$B:$B,AL255)</f>
        <v>PHO</v>
      </c>
      <c r="F255" s="2"/>
      <c r="G255" s="3">
        <f>Settings!$B$2*AB255+Settings!$B$3*AC255+Settings!$B$4*AD255+Settings!$B$5*AE255+Settings!$B$6*AF255+Settings!$B$7*AG255+Settings!$B$8*AH255+Settings!$B$9*AI255+Settings!$B$10*AJ255</f>
        <v>-7.4688151728689096</v>
      </c>
      <c r="H255" s="3">
        <f>G255-LARGE($G$2:$G$266,Settings!$F$4)</f>
        <v>-4.2525504064217445</v>
      </c>
      <c r="I255">
        <f>IF(INDEX('Player Data'!$R:$R,AL255)="","",INDEX('Player Data'!$R:$R,AL255))</f>
        <v>122</v>
      </c>
      <c r="J255" s="4">
        <f t="shared" si="20"/>
        <v>-132</v>
      </c>
      <c r="L255" s="5">
        <f>IF(Settings!$F$7="Yes",INDEX('Minutes &amp; Health'!$O:$O,AL255),Settings!$F$8)</f>
        <v>29</v>
      </c>
      <c r="M255" s="6">
        <f>INDEX('Minutes &amp; Health'!$P:$P,AL255)</f>
        <v>20.8</v>
      </c>
      <c r="N255" s="5">
        <f>INDEX('Player Data'!$F:$F,AL255)/INDEX('Player Data'!$E:$E,AL255)*M255*L255*AM255</f>
        <v>307.61196013289037</v>
      </c>
      <c r="O255" s="5">
        <f>INDEX('Player Data'!$G:$G,AL255)/INDEX('Player Data'!$E:$E,AL255)*M255*L255*AM255</f>
        <v>209.41661129568107</v>
      </c>
      <c r="P255" s="5">
        <f>INDEX('Player Data'!$H:$H,AL255)/INDEX('Player Data'!$E:$E,AL255)*M255*L255*AM255</f>
        <v>37.073754152823923</v>
      </c>
      <c r="Q255" s="5">
        <f>INDEX('Player Data'!$I:$I,AL255)/INDEX('Player Data'!$E:$E,AL255)*M255*L255*AM255</f>
        <v>21.041860465116279</v>
      </c>
      <c r="R255" s="5">
        <f>INDEX('Player Data'!$J:$J,AL255)/INDEX('Player Data'!$E:$E,AL255)*M255*L255*AM255</f>
        <v>25.049833887043192</v>
      </c>
      <c r="S255" s="5">
        <f>INDEX('Player Data'!$K:$K,AL255)/INDEX('Player Data'!$E:$E,AL255)*M255*L255*AM255</f>
        <v>0</v>
      </c>
      <c r="T255" s="5">
        <f>INDEX('Player Data'!$L:$L,AL255)/INDEX('Player Data'!$E:$E,AL255)*M255*L255*AM255</f>
        <v>28.055813953488371</v>
      </c>
      <c r="U255" s="7">
        <f>INDEX('Player Data'!$M:$M,AL255)</f>
        <v>0.63500000000000001</v>
      </c>
      <c r="V255" s="7">
        <f>INDEX('Player Data'!$N:$N,AL255)</f>
        <v>0.78300000000000003</v>
      </c>
      <c r="W255" s="5">
        <f t="shared" si="21"/>
        <v>124.83534617940198</v>
      </c>
      <c r="X255" s="5">
        <f>INDEX('Player Data'!$O:$O,AL255)/INDEX('Player Data'!$E:$E,AL255)*M255*L255*AM255</f>
        <v>196.59109634551493</v>
      </c>
      <c r="Y255" s="5">
        <f t="shared" si="22"/>
        <v>57.979042923588047</v>
      </c>
      <c r="Z255" s="5">
        <f>INDEX('Player Data'!$P:$P,AL255)/INDEX('Player Data'!$E:$E,AL255)*M255*L255*AM255</f>
        <v>74.047308970099678</v>
      </c>
      <c r="AB255" s="3">
        <f>(N255-Pool!$D$2)/Pool!$E$2</f>
        <v>-2.2967717990706253</v>
      </c>
      <c r="AC255" s="3">
        <f>(O255-Pool!$D$3)/Pool!$E$3</f>
        <v>-1.2805597110561442</v>
      </c>
      <c r="AD255" s="3">
        <f>(P255-Pool!$D$4)/Pool!$E$4</f>
        <v>-1.6434131751428165</v>
      </c>
      <c r="AE255" s="3">
        <f>(Q255-Pool!$D$5)/Pool!$E$5</f>
        <v>-2.347819923871691</v>
      </c>
      <c r="AF255" s="3">
        <f>(R255-Pool!$D$6)/Pool!$E$6</f>
        <v>-0.73174516223246955</v>
      </c>
      <c r="AG255" s="3">
        <f>(S255-Pool!$D$7)/Pool!$E$7</f>
        <v>-1.7381805406185855</v>
      </c>
      <c r="AH255" s="3">
        <f>(AS255-Pool!$D$8)/Pool!$E$8</f>
        <v>0.64888775786222053</v>
      </c>
      <c r="AI255" s="3">
        <f>(AT255-Pool!$D$9)/Pool!$E$9</f>
        <v>-5.688127449090695E-2</v>
      </c>
      <c r="AJ255" s="3">
        <f>-(T255-Pool!$D$10)/Pool!$E$10</f>
        <v>1.9776686557521086</v>
      </c>
      <c r="AL255">
        <f>MATCH(B255,'Player Data'!$A:$A,0)</f>
        <v>164</v>
      </c>
      <c r="AM255" s="3">
        <f>1+IF(Settings!$F$10="ON",IFERROR(VLOOKUP(TRIM(F255),Settings!$D$12:$F$17,3,FALSE),0),0)</f>
        <v>1</v>
      </c>
      <c r="AN255" t="str">
        <f t="shared" si="23"/>
        <v>C</v>
      </c>
      <c r="AO255" s="6">
        <f>X255*(U255-Pool!$B$12)</f>
        <v>30.352334416141964</v>
      </c>
      <c r="AP255" s="6">
        <f>Z255*(V255-Pool!$B$13)</f>
        <v>-0.52571051293644921</v>
      </c>
      <c r="AQ255" s="3">
        <f>Settings!$B$2*(N255-Pool!$B$2)/Pool!$C$2+Settings!$B$3*(O255-Pool!$B$3)/Pool!$C$3+Settings!$B$4*(P255-Pool!$B$4)/Pool!$C$4+Settings!$B$5*(Q255-Pool!$B$5)/Pool!$C$5+Settings!$B$6*(R255-Pool!$B$6)/Pool!$C$6+Settings!$B$7*(S255-Pool!$B$7)/Pool!$C$7+Settings!$B$8*(AO255-Pool!$B$8)/Pool!$C$8+Settings!$B$9*(AP255-Pool!$B$9)/Pool!$C$9+Settings!$B$10*-(T255-Pool!$B$10)/Pool!$C$10</f>
        <v>-5.0820190981863576</v>
      </c>
      <c r="AR255">
        <f>IF(RANK(AQ255,$AQ$2:$AQ$266)&lt;=Settings!$F$5,1,0)</f>
        <v>0</v>
      </c>
      <c r="AS255" s="6">
        <f>X255*(U255-Pool!$D$12)</f>
        <v>29.670787792224889</v>
      </c>
      <c r="AT255" s="6">
        <f>Z255*(V255-Pool!$D$13)</f>
        <v>-1.2690546787949333</v>
      </c>
    </row>
    <row r="256" spans="1:46" x14ac:dyDescent="0.2">
      <c r="A256">
        <f t="shared" si="18"/>
        <v>255</v>
      </c>
      <c r="B256" t="s">
        <v>297</v>
      </c>
      <c r="C256" t="str">
        <f>INDEX('Player Data'!$C:$C,AL256)</f>
        <v>PF,SF,SG</v>
      </c>
      <c r="D256">
        <f t="shared" si="19"/>
        <v>75</v>
      </c>
      <c r="E256" t="str">
        <f>INDEX('Player Data'!$B:$B,AL256)</f>
        <v>GSW</v>
      </c>
      <c r="F256" s="2"/>
      <c r="G256" s="3">
        <f>Settings!$B$2*AB256+Settings!$B$3*AC256+Settings!$B$4*AD256+Settings!$B$5*AE256+Settings!$B$6*AF256+Settings!$B$7*AG256+Settings!$B$8*AH256+Settings!$B$9*AI256+Settings!$B$10*AJ256</f>
        <v>-7.6344990695583759</v>
      </c>
      <c r="H256" s="3">
        <f>G256-LARGE($G$2:$G$266,Settings!$F$4)</f>
        <v>-4.4182343031112108</v>
      </c>
      <c r="I256" t="str">
        <f>IF(INDEX('Player Data'!$R:$R,AL256)="","",INDEX('Player Data'!$R:$R,AL256))</f>
        <v/>
      </c>
      <c r="J256" s="4" t="str">
        <f t="shared" si="20"/>
        <v/>
      </c>
      <c r="L256" s="5">
        <f>IF(Settings!$F$7="Yes",INDEX('Minutes &amp; Health'!$O:$O,AL256),Settings!$F$8)</f>
        <v>36</v>
      </c>
      <c r="M256" s="6">
        <f>INDEX('Minutes &amp; Health'!$P:$P,AL256)</f>
        <v>22.7</v>
      </c>
      <c r="N256" s="5">
        <f>INDEX('Player Data'!$F:$F,AL256)/INDEX('Player Data'!$E:$E,AL256)*M256*L256*AM256</f>
        <v>371.09082007343943</v>
      </c>
      <c r="O256" s="5">
        <f>INDEX('Player Data'!$G:$G,AL256)/INDEX('Player Data'!$E:$E,AL256)*M256*L256*AM256</f>
        <v>102.0249694002448</v>
      </c>
      <c r="P256" s="5">
        <f>INDEX('Player Data'!$H:$H,AL256)/INDEX('Player Data'!$E:$E,AL256)*M256*L256*AM256</f>
        <v>48.011750305997552</v>
      </c>
      <c r="Q256" s="5">
        <f>INDEX('Player Data'!$I:$I,AL256)/INDEX('Player Data'!$E:$E,AL256)*M256*L256*AM256</f>
        <v>31.007588739290082</v>
      </c>
      <c r="R256" s="5">
        <f>INDEX('Player Data'!$J:$J,AL256)/INDEX('Player Data'!$E:$E,AL256)*M256*L256*AM256</f>
        <v>15.003671970624234</v>
      </c>
      <c r="S256" s="5">
        <f>INDEX('Player Data'!$K:$K,AL256)/INDEX('Player Data'!$E:$E,AL256)*M256*L256*AM256</f>
        <v>74.018115055079562</v>
      </c>
      <c r="T256" s="5">
        <f>INDEX('Player Data'!$L:$L,AL256)/INDEX('Player Data'!$E:$E,AL256)*M256*L256*AM256</f>
        <v>29.007099143206855</v>
      </c>
      <c r="U256" s="7">
        <f>INDEX('Player Data'!$M:$M,AL256)</f>
        <v>0.435</v>
      </c>
      <c r="V256" s="7">
        <f>INDEX('Player Data'!$N:$N,AL256)</f>
        <v>0.78300000000000003</v>
      </c>
      <c r="W256" s="5">
        <f t="shared" si="21"/>
        <v>124.65800856793145</v>
      </c>
      <c r="X256" s="5">
        <f>INDEX('Player Data'!$O:$O,AL256)/INDEX('Player Data'!$E:$E,AL256)*M256*L256*AM256</f>
        <v>286.57013463892287</v>
      </c>
      <c r="Y256" s="5">
        <f t="shared" si="22"/>
        <v>47.774692288861694</v>
      </c>
      <c r="Z256" s="5">
        <f>INDEX('Player Data'!$P:$P,AL256)/INDEX('Player Data'!$E:$E,AL256)*M256*L256*AM256</f>
        <v>61.014932680538557</v>
      </c>
      <c r="AB256" s="3">
        <f>(N256-Pool!$D$2)/Pool!$E$2</f>
        <v>-2.1402988753543108</v>
      </c>
      <c r="AC256" s="3">
        <f>(O256-Pool!$D$3)/Pool!$E$3</f>
        <v>-1.9056338015042182</v>
      </c>
      <c r="AD256" s="3">
        <f>(P256-Pool!$D$4)/Pool!$E$4</f>
        <v>-1.5694359235415063</v>
      </c>
      <c r="AE256" s="3">
        <f>(Q256-Pool!$D$5)/Pool!$E$5</f>
        <v>-1.9078512668546395</v>
      </c>
      <c r="AF256" s="3">
        <f>(R256-Pool!$D$6)/Pool!$E$6</f>
        <v>-1.0224883793866955</v>
      </c>
      <c r="AG256" s="3">
        <f>(S256-Pool!$D$7)/Pool!$E$7</f>
        <v>-0.69568632577840861</v>
      </c>
      <c r="AH256" s="3">
        <f>(AS256-Pool!$D$8)/Pool!$E$8</f>
        <v>-0.30755251930411348</v>
      </c>
      <c r="AI256" s="3">
        <f>(AT256-Pool!$D$9)/Pool!$E$9</f>
        <v>-4.6870131840273388E-2</v>
      </c>
      <c r="AJ256" s="3">
        <f>-(T256-Pool!$D$10)/Pool!$E$10</f>
        <v>1.9613181540057927</v>
      </c>
      <c r="AL256">
        <f>MATCH(B256,'Player Data'!$A:$A,0)</f>
        <v>169</v>
      </c>
      <c r="AM256" s="3">
        <f>1+IF(Settings!$F$10="ON",IFERROR(VLOOKUP(TRIM(F256),Settings!$D$12:$F$17,3,FALSE),0),0)</f>
        <v>1</v>
      </c>
      <c r="AN256" t="str">
        <f t="shared" si="23"/>
        <v>PF</v>
      </c>
      <c r="AO256" s="6">
        <f>X256*(U256-Pool!$B$12)</f>
        <v>-13.069538128799074</v>
      </c>
      <c r="AP256" s="6">
        <f>Z256*(V256-Pool!$B$13)</f>
        <v>-0.43318510830989437</v>
      </c>
      <c r="AQ256" s="3">
        <f>Settings!$B$2*(N256-Pool!$B$2)/Pool!$C$2+Settings!$B$3*(O256-Pool!$B$3)/Pool!$C$3+Settings!$B$4*(P256-Pool!$B$4)/Pool!$C$4+Settings!$B$5*(Q256-Pool!$B$5)/Pool!$C$5+Settings!$B$6*(R256-Pool!$B$6)/Pool!$C$6+Settings!$B$7*(S256-Pool!$B$7)/Pool!$C$7+Settings!$B$8*(AO256-Pool!$B$8)/Pool!$C$8+Settings!$B$9*(AP256-Pool!$B$9)/Pool!$C$9+Settings!$B$10*-(T256-Pool!$B$10)/Pool!$C$10</f>
        <v>-5.4837022162588038</v>
      </c>
      <c r="AR256">
        <f>IF(RANK(AQ256,$AQ$2:$AQ$266)&lt;=Settings!$F$5,1,0)</f>
        <v>0</v>
      </c>
      <c r="AS256" s="6">
        <f>X256*(U256-Pool!$D$12)</f>
        <v>-14.063026193158583</v>
      </c>
      <c r="AT256" s="6">
        <f>Z256*(V256-Pool!$D$13)</f>
        <v>-1.0457001999338302</v>
      </c>
    </row>
    <row r="257" spans="1:46" x14ac:dyDescent="0.2">
      <c r="A257">
        <f t="shared" si="18"/>
        <v>256</v>
      </c>
      <c r="B257" t="s">
        <v>298</v>
      </c>
      <c r="C257" t="str">
        <f>INDEX('Player Data'!$C:$C,AL257)</f>
        <v>C</v>
      </c>
      <c r="D257">
        <f t="shared" si="19"/>
        <v>58</v>
      </c>
      <c r="E257" t="str">
        <f>INDEX('Player Data'!$B:$B,AL257)</f>
        <v>HOU</v>
      </c>
      <c r="F257" s="2"/>
      <c r="G257" s="3">
        <f>Settings!$B$2*AB257+Settings!$B$3*AC257+Settings!$B$4*AD257+Settings!$B$5*AE257+Settings!$B$6*AF257+Settings!$B$7*AG257+Settings!$B$8*AH257+Settings!$B$9*AI257+Settings!$B$10*AJ257</f>
        <v>-8.1935915690174745</v>
      </c>
      <c r="H257" s="3">
        <f>G257-LARGE($G$2:$G$266,Settings!$F$4)</f>
        <v>-4.9773268025703095</v>
      </c>
      <c r="I257" t="str">
        <f>IF(INDEX('Player Data'!$R:$R,AL257)="","",INDEX('Player Data'!$R:$R,AL257))</f>
        <v/>
      </c>
      <c r="J257" s="4" t="str">
        <f t="shared" si="20"/>
        <v/>
      </c>
      <c r="L257" s="5">
        <f>IF(Settings!$F$7="Yes",INDEX('Minutes &amp; Health'!$O:$O,AL257),Settings!$F$8)</f>
        <v>71</v>
      </c>
      <c r="M257" s="6">
        <f>INDEX('Minutes &amp; Health'!$P:$P,AL257)</f>
        <v>12.8</v>
      </c>
      <c r="N257" s="5">
        <f>INDEX('Player Data'!$F:$F,AL257)/INDEX('Player Data'!$E:$E,AL257)*M257*L257*AM257</f>
        <v>229.70772626931569</v>
      </c>
      <c r="O257" s="5">
        <f>INDEX('Player Data'!$G:$G,AL257)/INDEX('Player Data'!$E:$E,AL257)*M257*L257*AM257</f>
        <v>333.02604856512141</v>
      </c>
      <c r="P257" s="5">
        <f>INDEX('Player Data'!$H:$H,AL257)/INDEX('Player Data'!$E:$E,AL257)*M257*L257*AM257</f>
        <v>64.197792494481234</v>
      </c>
      <c r="Q257" s="5">
        <f>INDEX('Player Data'!$I:$I,AL257)/INDEX('Player Data'!$E:$E,AL257)*M257*L257*AM257</f>
        <v>24.074172185430463</v>
      </c>
      <c r="R257" s="5">
        <f>INDEX('Player Data'!$J:$J,AL257)/INDEX('Player Data'!$E:$E,AL257)*M257*L257*AM257</f>
        <v>30.092715231788084</v>
      </c>
      <c r="S257" s="5">
        <f>INDEX('Player Data'!$K:$K,AL257)/INDEX('Player Data'!$E:$E,AL257)*M257*L257*AM257</f>
        <v>0</v>
      </c>
      <c r="T257" s="5">
        <f>INDEX('Player Data'!$L:$L,AL257)/INDEX('Player Data'!$E:$E,AL257)*M257*L257*AM257</f>
        <v>50.154525386313466</v>
      </c>
      <c r="U257" s="7">
        <f>INDEX('Player Data'!$M:$M,AL257)</f>
        <v>0.53700000000000003</v>
      </c>
      <c r="V257" s="7">
        <f>INDEX('Player Data'!$N:$N,AL257)</f>
        <v>0.52300000000000002</v>
      </c>
      <c r="W257" s="5">
        <f t="shared" si="21"/>
        <v>94.911821986754973</v>
      </c>
      <c r="X257" s="5">
        <f>INDEX('Player Data'!$O:$O,AL257)/INDEX('Player Data'!$E:$E,AL257)*M257*L257*AM257</f>
        <v>176.74454746136865</v>
      </c>
      <c r="Y257" s="5">
        <f t="shared" si="22"/>
        <v>39.923303134657836</v>
      </c>
      <c r="Z257" s="5">
        <f>INDEX('Player Data'!$P:$P,AL257)/INDEX('Player Data'!$E:$E,AL257)*M257*L257*AM257</f>
        <v>76.335187637969085</v>
      </c>
      <c r="AB257" s="3">
        <f>(N257-Pool!$D$2)/Pool!$E$2</f>
        <v>-2.4888027091079117</v>
      </c>
      <c r="AC257" s="3">
        <f>(O257-Pool!$D$3)/Pool!$E$3</f>
        <v>-0.56108978575949842</v>
      </c>
      <c r="AD257" s="3">
        <f>(P257-Pool!$D$4)/Pool!$E$4</f>
        <v>-1.4599644171852479</v>
      </c>
      <c r="AE257" s="3">
        <f>(Q257-Pool!$D$5)/Pool!$E$5</f>
        <v>-2.213948913290249</v>
      </c>
      <c r="AF257" s="3">
        <f>(R257-Pool!$D$6)/Pool!$E$6</f>
        <v>-0.58580051609831763</v>
      </c>
      <c r="AG257" s="3">
        <f>(S257-Pool!$D$7)/Pool!$E$7</f>
        <v>-1.7381805406185855</v>
      </c>
      <c r="AH257" s="3">
        <f>(AS257-Pool!$D$8)/Pool!$E$8</f>
        <v>0.20457800493379963</v>
      </c>
      <c r="AI257" s="3">
        <f>(AT257-Pool!$D$9)/Pool!$E$9</f>
        <v>-0.94822306504341447</v>
      </c>
      <c r="AJ257" s="3">
        <f>-(T257-Pool!$D$10)/Pool!$E$10</f>
        <v>1.5978403731519508</v>
      </c>
      <c r="AL257">
        <f>MATCH(B257,'Player Data'!$A:$A,0)</f>
        <v>264</v>
      </c>
      <c r="AM257" s="3">
        <f>1+IF(Settings!$F$10="ON",IFERROR(VLOOKUP(TRIM(F257),Settings!$D$12:$F$17,3,FALSE),0),0)</f>
        <v>1</v>
      </c>
      <c r="AN257" t="str">
        <f t="shared" si="23"/>
        <v>C</v>
      </c>
      <c r="AO257" s="6">
        <f>X257*(U257-Pool!$B$12)</f>
        <v>9.9671959720807042</v>
      </c>
      <c r="AP257" s="6">
        <f>Z257*(V257-Pool!$B$13)</f>
        <v>-20.389102453147856</v>
      </c>
      <c r="AQ257" s="3">
        <f>Settings!$B$2*(N257-Pool!$B$2)/Pool!$C$2+Settings!$B$3*(O257-Pool!$B$3)/Pool!$C$3+Settings!$B$4*(P257-Pool!$B$4)/Pool!$C$4+Settings!$B$5*(Q257-Pool!$B$5)/Pool!$C$5+Settings!$B$6*(R257-Pool!$B$6)/Pool!$C$6+Settings!$B$7*(S257-Pool!$B$7)/Pool!$C$7+Settings!$B$8*(AO257-Pool!$B$8)/Pool!$C$8+Settings!$B$9*(AP257-Pool!$B$9)/Pool!$C$9+Settings!$B$10*-(T257-Pool!$B$10)/Pool!$C$10</f>
        <v>-6.0014644409004916</v>
      </c>
      <c r="AR257">
        <f>IF(RANK(AQ257,$AQ$2:$AQ$266)&lt;=Settings!$F$5,1,0)</f>
        <v>0</v>
      </c>
      <c r="AS257" s="6">
        <f>X257*(U257-Pool!$D$12)</f>
        <v>9.3544538293422796</v>
      </c>
      <c r="AT257" s="6">
        <f>Z257*(V257-Pool!$D$13)</f>
        <v>-21.155414114835793</v>
      </c>
    </row>
    <row r="258" spans="1:46" x14ac:dyDescent="0.2">
      <c r="A258">
        <f t="shared" ref="A258:A266" si="24">RANK(H258,$H$2:$H$266)</f>
        <v>257</v>
      </c>
      <c r="B258" t="s">
        <v>299</v>
      </c>
      <c r="C258" t="str">
        <f>INDEX('Player Data'!$C:$C,AL258)</f>
        <v>C,PF</v>
      </c>
      <c r="D258">
        <f t="shared" ref="D258:D266" si="25">SUMPRODUCT(($AN$2:$AN$266=AN258)*($H$2:$H$266&gt;H258))+1</f>
        <v>59</v>
      </c>
      <c r="E258" t="str">
        <f>INDEX('Player Data'!$B:$B,AL258)</f>
        <v>POR</v>
      </c>
      <c r="F258" s="2"/>
      <c r="G258" s="3">
        <f>Settings!$B$2*AB258+Settings!$B$3*AC258+Settings!$B$4*AD258+Settings!$B$5*AE258+Settings!$B$6*AF258+Settings!$B$7*AG258+Settings!$B$8*AH258+Settings!$B$9*AI258+Settings!$B$10*AJ258</f>
        <v>-8.3806691175548558</v>
      </c>
      <c r="H258" s="3">
        <f>G258-LARGE($G$2:$G$266,Settings!$F$4)</f>
        <v>-5.1644043511076907</v>
      </c>
      <c r="I258" t="str">
        <f>IF(INDEX('Player Data'!$R:$R,AL258)="","",INDEX('Player Data'!$R:$R,AL258))</f>
        <v/>
      </c>
      <c r="J258" s="4" t="str">
        <f t="shared" ref="J258:J321" si="26">IF(I258="","",I258-A258)</f>
        <v/>
      </c>
      <c r="L258" s="5">
        <f>IF(Settings!$F$7="Yes",INDEX('Minutes &amp; Health'!$O:$O,AL258),Settings!$F$8)</f>
        <v>47</v>
      </c>
      <c r="M258" s="6">
        <f>INDEX('Minutes &amp; Health'!$P:$P,AL258)</f>
        <v>15.2</v>
      </c>
      <c r="N258" s="5">
        <f>INDEX('Player Data'!$F:$F,AL258)/INDEX('Player Data'!$E:$E,AL258)*M258*L258*AM258</f>
        <v>293.75328671328668</v>
      </c>
      <c r="O258" s="5">
        <f>INDEX('Player Data'!$G:$G,AL258)/INDEX('Player Data'!$E:$E,AL258)*M258*L258*AM258</f>
        <v>171.85566433566433</v>
      </c>
      <c r="P258" s="5">
        <f>INDEX('Player Data'!$H:$H,AL258)/INDEX('Player Data'!$E:$E,AL258)*M258*L258*AM258</f>
        <v>68.942097902097899</v>
      </c>
      <c r="Q258" s="5">
        <f>INDEX('Player Data'!$I:$I,AL258)/INDEX('Player Data'!$E:$E,AL258)*M258*L258*AM258</f>
        <v>22.9806993006993</v>
      </c>
      <c r="R258" s="5">
        <f>INDEX('Player Data'!$J:$J,AL258)/INDEX('Player Data'!$E:$E,AL258)*M258*L258*AM258</f>
        <v>15.986573426573427</v>
      </c>
      <c r="S258" s="5">
        <f>INDEX('Player Data'!$K:$K,AL258)/INDEX('Player Data'!$E:$E,AL258)*M258*L258*AM258</f>
        <v>18.984055944055942</v>
      </c>
      <c r="T258" s="5">
        <f>INDEX('Player Data'!$L:$L,AL258)/INDEX('Player Data'!$E:$E,AL258)*M258*L258*AM258</f>
        <v>44.962237762237763</v>
      </c>
      <c r="U258" s="7">
        <f>INDEX('Player Data'!$M:$M,AL258)</f>
        <v>0.51400000000000001</v>
      </c>
      <c r="V258" s="7">
        <f>INDEX('Player Data'!$N:$N,AL258)</f>
        <v>0.71799999999999997</v>
      </c>
      <c r="W258" s="5">
        <f t="shared" ref="W258:W321" si="27">X258*U258</f>
        <v>115.03938237762239</v>
      </c>
      <c r="X258" s="5">
        <f>INDEX('Player Data'!$O:$O,AL258)/INDEX('Player Data'!$E:$E,AL258)*M258*L258*AM258</f>
        <v>223.81202797202798</v>
      </c>
      <c r="Y258" s="5">
        <f t="shared" ref="Y258:Y321" si="28">Z258*V258</f>
        <v>44.69386316083915</v>
      </c>
      <c r="Z258" s="5">
        <f>INDEX('Player Data'!$P:$P,AL258)/INDEX('Player Data'!$E:$E,AL258)*M258*L258*AM258</f>
        <v>62.247720279720269</v>
      </c>
      <c r="AB258" s="3">
        <f>(N258-Pool!$D$2)/Pool!$E$2</f>
        <v>-2.3309328906659355</v>
      </c>
      <c r="AC258" s="3">
        <f>(O258-Pool!$D$3)/Pool!$E$3</f>
        <v>-1.4991835661626796</v>
      </c>
      <c r="AD258" s="3">
        <f>(P258-Pool!$D$4)/Pool!$E$4</f>
        <v>-1.427877125336011</v>
      </c>
      <c r="AE258" s="3">
        <f>(Q258-Pool!$D$5)/Pool!$E$5</f>
        <v>-2.2622237391076947</v>
      </c>
      <c r="AF258" s="3">
        <f>(R258-Pool!$D$6)/Pool!$E$6</f>
        <v>-0.99404249788231802</v>
      </c>
      <c r="AG258" s="3">
        <f>(S258-Pool!$D$7)/Pool!$E$7</f>
        <v>-1.4708031765617791</v>
      </c>
      <c r="AH258" s="3">
        <f>(AS258-Pool!$D$8)/Pool!$E$8</f>
        <v>0.14648005746472634</v>
      </c>
      <c r="AI258" s="3">
        <f>(AT258-Pool!$D$9)/Pool!$E$9</f>
        <v>-0.22917056548337064</v>
      </c>
      <c r="AJ258" s="3">
        <f>-(T258-Pool!$D$10)/Pool!$E$10</f>
        <v>1.6870843861802074</v>
      </c>
      <c r="AL258">
        <f>MATCH(B258,'Player Data'!$A:$A,0)</f>
        <v>238</v>
      </c>
      <c r="AM258" s="3">
        <f>1+IF(Settings!$F$10="ON",IFERROR(VLOOKUP(TRIM(F258),Settings!$D$12:$F$17,3,FALSE),0),0)</f>
        <v>1</v>
      </c>
      <c r="AN258" t="str">
        <f t="shared" ref="AN258:AN266" si="29">IFERROR(LEFT(C258,FIND(",",C258)-1),C258)</f>
        <v>C</v>
      </c>
      <c r="AO258" s="6">
        <f>X258*(U258-Pool!$B$12)</f>
        <v>7.4738065975540566</v>
      </c>
      <c r="AP258" s="6">
        <f>Z258*(V258-Pool!$B$13)</f>
        <v>-4.4880392958907063</v>
      </c>
      <c r="AQ258" s="3">
        <f>Settings!$B$2*(N258-Pool!$B$2)/Pool!$C$2+Settings!$B$3*(O258-Pool!$B$3)/Pool!$C$3+Settings!$B$4*(P258-Pool!$B$4)/Pool!$C$4+Settings!$B$5*(Q258-Pool!$B$5)/Pool!$C$5+Settings!$B$6*(R258-Pool!$B$6)/Pool!$C$6+Settings!$B$7*(S258-Pool!$B$7)/Pool!$C$7+Settings!$B$8*(AO258-Pool!$B$8)/Pool!$C$8+Settings!$B$9*(AP258-Pool!$B$9)/Pool!$C$9+Settings!$B$10*-(T258-Pool!$B$10)/Pool!$C$10</f>
        <v>-6.1284216514950121</v>
      </c>
      <c r="AR258">
        <f>IF(RANK(AQ258,$AQ$2:$AQ$266)&lt;=Settings!$F$5,1,0)</f>
        <v>0</v>
      </c>
      <c r="AS258" s="6">
        <f>X258*(U258-Pool!$D$12)</f>
        <v>6.6978898093986121</v>
      </c>
      <c r="AT258" s="6">
        <f>Z258*(V258-Pool!$D$13)</f>
        <v>-5.1129300630434376</v>
      </c>
    </row>
    <row r="259" spans="1:46" x14ac:dyDescent="0.2">
      <c r="A259">
        <f t="shared" si="24"/>
        <v>258</v>
      </c>
      <c r="B259" t="s">
        <v>300</v>
      </c>
      <c r="C259" t="str">
        <f>INDEX('Player Data'!$C:$C,AL259)</f>
        <v>C</v>
      </c>
      <c r="D259">
        <f t="shared" si="25"/>
        <v>60</v>
      </c>
      <c r="E259" t="str">
        <f>INDEX('Player Data'!$B:$B,AL259)</f>
        <v>HOU</v>
      </c>
      <c r="F259" s="2"/>
      <c r="G259" s="3">
        <f>Settings!$B$2*AB259+Settings!$B$3*AC259+Settings!$B$4*AD259+Settings!$B$5*AE259+Settings!$B$6*AF259+Settings!$B$7*AG259+Settings!$B$8*AH259+Settings!$B$9*AI259+Settings!$B$10*AJ259</f>
        <v>-8.5440401709062286</v>
      </c>
      <c r="H259" s="3">
        <f>G259-LARGE($G$2:$G$266,Settings!$F$4)</f>
        <v>-5.3277754044590635</v>
      </c>
      <c r="I259" t="str">
        <f>IF(INDEX('Player Data'!$R:$R,AL259)="","",INDEX('Player Data'!$R:$R,AL259))</f>
        <v/>
      </c>
      <c r="J259" s="4" t="str">
        <f t="shared" si="26"/>
        <v/>
      </c>
      <c r="L259" s="5">
        <f>IF(Settings!$F$7="Yes",INDEX('Minutes &amp; Health'!$O:$O,AL259),Settings!$F$8)</f>
        <v>45</v>
      </c>
      <c r="M259" s="6">
        <f>INDEX('Minutes &amp; Health'!$P:$P,AL259)</f>
        <v>11.5</v>
      </c>
      <c r="N259" s="5">
        <f>INDEX('Player Data'!$F:$F,AL259)/INDEX('Player Data'!$E:$E,AL259)*M259*L259*AM259</f>
        <v>200.80598455598454</v>
      </c>
      <c r="O259" s="5">
        <f>INDEX('Player Data'!$G:$G,AL259)/INDEX('Player Data'!$E:$E,AL259)*M259*L259*AM259</f>
        <v>210.79633204633205</v>
      </c>
      <c r="P259" s="5">
        <f>INDEX('Player Data'!$H:$H,AL259)/INDEX('Player Data'!$E:$E,AL259)*M259*L259*AM259</f>
        <v>25.974903474903474</v>
      </c>
      <c r="Q259" s="5">
        <f>INDEX('Player Data'!$I:$I,AL259)/INDEX('Player Data'!$E:$E,AL259)*M259*L259*AM259</f>
        <v>16.983590733590731</v>
      </c>
      <c r="R259" s="5">
        <f>INDEX('Player Data'!$J:$J,AL259)/INDEX('Player Data'!$E:$E,AL259)*M259*L259*AM259</f>
        <v>26.973938223938223</v>
      </c>
      <c r="S259" s="5">
        <f>INDEX('Player Data'!$K:$K,AL259)/INDEX('Player Data'!$E:$E,AL259)*M259*L259*AM259</f>
        <v>0</v>
      </c>
      <c r="T259" s="5">
        <f>INDEX('Player Data'!$L:$L,AL259)/INDEX('Player Data'!$E:$E,AL259)*M259*L259*AM259</f>
        <v>21.978764478764479</v>
      </c>
      <c r="U259" s="7">
        <f>INDEX('Player Data'!$M:$M,AL259)</f>
        <v>0.59799999999999998</v>
      </c>
      <c r="V259" s="7">
        <f>INDEX('Player Data'!$N:$N,AL259)</f>
        <v>0.57299999999999995</v>
      </c>
      <c r="W259" s="5">
        <f t="shared" si="27"/>
        <v>86.506818532818528</v>
      </c>
      <c r="X259" s="5">
        <f>INDEX('Player Data'!$O:$O,AL259)/INDEX('Player Data'!$E:$E,AL259)*M259*L259*AM259</f>
        <v>144.66023166023166</v>
      </c>
      <c r="Y259" s="5">
        <f t="shared" si="28"/>
        <v>27.820919884169882</v>
      </c>
      <c r="Z259" s="5">
        <f>INDEX('Player Data'!$P:$P,AL259)/INDEX('Player Data'!$E:$E,AL259)*M259*L259*AM259</f>
        <v>48.553088803088805</v>
      </c>
      <c r="AB259" s="3">
        <f>(N259-Pool!$D$2)/Pool!$E$2</f>
        <v>-2.5600443796516807</v>
      </c>
      <c r="AC259" s="3">
        <f>(O259-Pool!$D$3)/Pool!$E$3</f>
        <v>-1.2725290330809884</v>
      </c>
      <c r="AD259" s="3">
        <f>(P259-Pool!$D$4)/Pool!$E$4</f>
        <v>-1.7184783385957827</v>
      </c>
      <c r="AE259" s="3">
        <f>(Q259-Pool!$D$5)/Pool!$E$5</f>
        <v>-2.5269851022179042</v>
      </c>
      <c r="AF259" s="3">
        <f>(R259-Pool!$D$6)/Pool!$E$6</f>
        <v>-0.67606018624826103</v>
      </c>
      <c r="AG259" s="3">
        <f>(S259-Pool!$D$7)/Pool!$E$7</f>
        <v>-1.7381805406185855</v>
      </c>
      <c r="AH259" s="3">
        <f>(AS259-Pool!$D$8)/Pool!$E$8</f>
        <v>0.36042429678826599</v>
      </c>
      <c r="AI259" s="3">
        <f>(AT259-Pool!$D$9)/Pool!$E$9</f>
        <v>-0.49430666780947619</v>
      </c>
      <c r="AJ259" s="3">
        <f>-(T259-Pool!$D$10)/Pool!$E$10</f>
        <v>2.082119780528187</v>
      </c>
      <c r="AL259">
        <f>MATCH(B259,'Player Data'!$A:$A,0)</f>
        <v>258</v>
      </c>
      <c r="AM259" s="3">
        <f>1+IF(Settings!$F$10="ON",IFERROR(VLOOKUP(TRIM(F259),Settings!$D$12:$F$17,3,FALSE),0),0)</f>
        <v>1</v>
      </c>
      <c r="AN259" t="str">
        <f t="shared" si="29"/>
        <v>C</v>
      </c>
      <c r="AO259" s="6">
        <f>X259*(U259-Pool!$B$12)</f>
        <v>16.982131892851019</v>
      </c>
      <c r="AP259" s="6">
        <f>Z259*(V259-Pool!$B$13)</f>
        <v>-10.540858936900015</v>
      </c>
      <c r="AQ259" s="3">
        <f>Settings!$B$2*(N259-Pool!$B$2)/Pool!$C$2+Settings!$B$3*(O259-Pool!$B$3)/Pool!$C$3+Settings!$B$4*(P259-Pool!$B$4)/Pool!$C$4+Settings!$B$5*(Q259-Pool!$B$5)/Pool!$C$5+Settings!$B$6*(R259-Pool!$B$6)/Pool!$C$6+Settings!$B$7*(S259-Pool!$B$7)/Pool!$C$7+Settings!$B$8*(AO259-Pool!$B$8)/Pool!$C$8+Settings!$B$9*(AP259-Pool!$B$9)/Pool!$C$9+Settings!$B$10*-(T259-Pool!$B$10)/Pool!$C$10</f>
        <v>-6.2525272732804256</v>
      </c>
      <c r="AR259">
        <f>IF(RANK(AQ259,$AQ$2:$AQ$266)&lt;=Settings!$F$5,1,0)</f>
        <v>0</v>
      </c>
      <c r="AS259" s="6">
        <f>X259*(U259-Pool!$D$12)</f>
        <v>16.480620408679769</v>
      </c>
      <c r="AT259" s="6">
        <f>Z259*(V259-Pool!$D$13)</f>
        <v>-11.028272399970749</v>
      </c>
    </row>
    <row r="260" spans="1:46" x14ac:dyDescent="0.2">
      <c r="A260">
        <f t="shared" si="24"/>
        <v>259</v>
      </c>
      <c r="B260" t="s">
        <v>301</v>
      </c>
      <c r="C260" t="str">
        <f>INDEX('Player Data'!$C:$C,AL260)</f>
        <v>C,PF</v>
      </c>
      <c r="D260">
        <f t="shared" si="25"/>
        <v>61</v>
      </c>
      <c r="E260" t="str">
        <f>INDEX('Player Data'!$B:$B,AL260)</f>
        <v>MIA</v>
      </c>
      <c r="F260" s="2"/>
      <c r="G260" s="3">
        <f>Settings!$B$2*AB260+Settings!$B$3*AC260+Settings!$B$4*AD260+Settings!$B$5*AE260+Settings!$B$6*AF260+Settings!$B$7*AG260+Settings!$B$8*AH260+Settings!$B$9*AI260+Settings!$B$10*AJ260</f>
        <v>-8.5996975171328138</v>
      </c>
      <c r="H260" s="3">
        <f>G260-LARGE($G$2:$G$266,Settings!$F$4)</f>
        <v>-5.3834327506856487</v>
      </c>
      <c r="I260" t="str">
        <f>IF(INDEX('Player Data'!$R:$R,AL260)="","",INDEX('Player Data'!$R:$R,AL260))</f>
        <v/>
      </c>
      <c r="J260" s="4" t="str">
        <f t="shared" si="26"/>
        <v/>
      </c>
      <c r="L260" s="5">
        <f>IF(Settings!$F$7="Yes",INDEX('Minutes &amp; Health'!$O:$O,AL260),Settings!$F$8)</f>
        <v>50</v>
      </c>
      <c r="M260" s="6">
        <f>INDEX('Minutes &amp; Health'!$P:$P,AL260)</f>
        <v>17.100000000000001</v>
      </c>
      <c r="N260" s="5">
        <f>INDEX('Player Data'!$F:$F,AL260)/INDEX('Player Data'!$E:$E,AL260)*M260*L260*AM260</f>
        <v>353.58644859813086</v>
      </c>
      <c r="O260" s="5">
        <f>INDEX('Player Data'!$G:$G,AL260)/INDEX('Player Data'!$E:$E,AL260)*M260*L260*AM260</f>
        <v>151.82242990654206</v>
      </c>
      <c r="P260" s="5">
        <f>INDEX('Player Data'!$H:$H,AL260)/INDEX('Player Data'!$E:$E,AL260)*M260*L260*AM260</f>
        <v>102.87967289719626</v>
      </c>
      <c r="Q260" s="5">
        <f>INDEX('Player Data'!$I:$I,AL260)/INDEX('Player Data'!$E:$E,AL260)*M260*L260*AM260</f>
        <v>25.969626168224302</v>
      </c>
      <c r="R260" s="5">
        <f>INDEX('Player Data'!$J:$J,AL260)/INDEX('Player Data'!$E:$E,AL260)*M260*L260*AM260</f>
        <v>16.980140186915886</v>
      </c>
      <c r="S260" s="5">
        <f>INDEX('Player Data'!$K:$K,AL260)/INDEX('Player Data'!$E:$E,AL260)*M260*L260*AM260</f>
        <v>47.943925233644862</v>
      </c>
      <c r="T260" s="5">
        <f>INDEX('Player Data'!$L:$L,AL260)/INDEX('Player Data'!$E:$E,AL260)*M260*L260*AM260</f>
        <v>58.931074766355138</v>
      </c>
      <c r="U260" s="7">
        <f>INDEX('Player Data'!$M:$M,AL260)</f>
        <v>0.39300000000000002</v>
      </c>
      <c r="V260" s="7">
        <f>INDEX('Player Data'!$N:$N,AL260)</f>
        <v>0.73199999999999998</v>
      </c>
      <c r="W260" s="5">
        <f t="shared" si="27"/>
        <v>117.40897955607481</v>
      </c>
      <c r="X260" s="5">
        <f>INDEX('Player Data'!$O:$O,AL260)/INDEX('Player Data'!$E:$E,AL260)*M260*L260*AM260</f>
        <v>298.75058411214962</v>
      </c>
      <c r="Y260" s="5">
        <f t="shared" si="28"/>
        <v>70.847936915887857</v>
      </c>
      <c r="Z260" s="5">
        <f>INDEX('Player Data'!$P:$P,AL260)/INDEX('Player Data'!$E:$E,AL260)*M260*L260*AM260</f>
        <v>96.786799065420581</v>
      </c>
      <c r="AB260" s="3">
        <f>(N260-Pool!$D$2)/Pool!$E$2</f>
        <v>-2.1834464710282591</v>
      </c>
      <c r="AC260" s="3">
        <f>(O260-Pool!$D$3)/Pool!$E$3</f>
        <v>-1.6157872009381791</v>
      </c>
      <c r="AD260" s="3">
        <f>(P260-Pool!$D$4)/Pool!$E$4</f>
        <v>-1.1983461866711369</v>
      </c>
      <c r="AE260" s="3">
        <f>(Q260-Pool!$D$5)/Pool!$E$5</f>
        <v>-2.1302680903434119</v>
      </c>
      <c r="AF260" s="3">
        <f>(R260-Pool!$D$6)/Pool!$E$6</f>
        <v>-0.96528795472814621</v>
      </c>
      <c r="AG260" s="3">
        <f>(S260-Pool!$D$7)/Pool!$E$7</f>
        <v>-1.0629233464086023</v>
      </c>
      <c r="AH260" s="3">
        <f>(AS260-Pool!$D$8)/Pool!$E$8</f>
        <v>-0.59503393923574466</v>
      </c>
      <c r="AI260" s="3">
        <f>(AT260-Pool!$D$9)/Pool!$E$9</f>
        <v>-0.29559510554605067</v>
      </c>
      <c r="AJ260" s="3">
        <f>-(T260-Pool!$D$10)/Pool!$E$10</f>
        <v>1.4469907777667168</v>
      </c>
      <c r="AL260">
        <f>MATCH(B260,'Player Data'!$A:$A,0)</f>
        <v>225</v>
      </c>
      <c r="AM260" s="3">
        <f>1+IF(Settings!$F$10="ON",IFERROR(VLOOKUP(TRIM(F260),Settings!$D$12:$F$17,3,FALSE),0),0)</f>
        <v>1</v>
      </c>
      <c r="AN260" t="str">
        <f t="shared" si="29"/>
        <v>C</v>
      </c>
      <c r="AO260" s="6">
        <f>X260*(U260-Pool!$B$12)</f>
        <v>-26.172573615282783</v>
      </c>
      <c r="AP260" s="6">
        <f>Z260*(V260-Pool!$B$13)</f>
        <v>-5.6232798506712687</v>
      </c>
      <c r="AQ260" s="3">
        <f>Settings!$B$2*(N260-Pool!$B$2)/Pool!$C$2+Settings!$B$3*(O260-Pool!$B$3)/Pool!$C$3+Settings!$B$4*(P260-Pool!$B$4)/Pool!$C$4+Settings!$B$5*(Q260-Pool!$B$5)/Pool!$C$5+Settings!$B$6*(R260-Pool!$B$6)/Pool!$C$6+Settings!$B$7*(S260-Pool!$B$7)/Pool!$C$7+Settings!$B$8*(AO260-Pool!$B$8)/Pool!$C$8+Settings!$B$9*(AP260-Pool!$B$9)/Pool!$C$9+Settings!$B$10*-(T260-Pool!$B$10)/Pool!$C$10</f>
        <v>-6.4682041750191726</v>
      </c>
      <c r="AR260">
        <f>IF(RANK(AQ260,$AQ$2:$AQ$266)&lt;=Settings!$F$5,1,0)</f>
        <v>0</v>
      </c>
      <c r="AS260" s="6">
        <f>X260*(U260-Pool!$D$12)</f>
        <v>-27.208289147572373</v>
      </c>
      <c r="AT260" s="6">
        <f>Z260*(V260-Pool!$D$13)</f>
        <v>-6.5949006079691408</v>
      </c>
    </row>
    <row r="261" spans="1:46" x14ac:dyDescent="0.2">
      <c r="A261">
        <f t="shared" si="24"/>
        <v>260</v>
      </c>
      <c r="B261" t="s">
        <v>302</v>
      </c>
      <c r="C261" t="str">
        <f>INDEX('Player Data'!$C:$C,AL261)</f>
        <v>C</v>
      </c>
      <c r="D261">
        <f t="shared" si="25"/>
        <v>62</v>
      </c>
      <c r="E261" t="str">
        <f>INDEX('Player Data'!$B:$B,AL261)</f>
        <v>CLE</v>
      </c>
      <c r="F261" s="2"/>
      <c r="G261" s="3">
        <f>Settings!$B$2*AB261+Settings!$B$3*AC261+Settings!$B$4*AD261+Settings!$B$5*AE261+Settings!$B$6*AF261+Settings!$B$7*AG261+Settings!$B$8*AH261+Settings!$B$9*AI261+Settings!$B$10*AJ261</f>
        <v>-8.6627924675402461</v>
      </c>
      <c r="H261" s="3">
        <f>G261-LARGE($G$2:$G$266,Settings!$F$4)</f>
        <v>-5.446527701093081</v>
      </c>
      <c r="I261" t="str">
        <f>IF(INDEX('Player Data'!$R:$R,AL261)="","",INDEX('Player Data'!$R:$R,AL261))</f>
        <v/>
      </c>
      <c r="J261" s="4" t="str">
        <f t="shared" si="26"/>
        <v/>
      </c>
      <c r="L261" s="5">
        <f>IF(Settings!$F$7="Yes",INDEX('Minutes &amp; Health'!$O:$O,AL261),Settings!$F$8)</f>
        <v>48</v>
      </c>
      <c r="M261" s="6">
        <f>INDEX('Minutes &amp; Health'!$P:$P,AL261)</f>
        <v>9.1999999999999993</v>
      </c>
      <c r="N261" s="5">
        <f>INDEX('Player Data'!$F:$F,AL261)/INDEX('Player Data'!$E:$E,AL261)*M261*L261*AM261</f>
        <v>223.29209932279906</v>
      </c>
      <c r="O261" s="5">
        <f>INDEX('Player Data'!$G:$G,AL261)/INDEX('Player Data'!$E:$E,AL261)*M261*L261*AM261</f>
        <v>130.58600451467265</v>
      </c>
      <c r="P261" s="5">
        <f>INDEX('Player Data'!$H:$H,AL261)/INDEX('Player Data'!$E:$E,AL261)*M261*L261*AM261</f>
        <v>21.930474040632049</v>
      </c>
      <c r="Q261" s="5">
        <f>INDEX('Player Data'!$I:$I,AL261)/INDEX('Player Data'!$E:$E,AL261)*M261*L261*AM261</f>
        <v>14.952595936794584</v>
      </c>
      <c r="R261" s="5">
        <f>INDEX('Player Data'!$J:$J,AL261)/INDEX('Player Data'!$E:$E,AL261)*M261*L261*AM261</f>
        <v>17.943115124153497</v>
      </c>
      <c r="S261" s="5">
        <f>INDEX('Player Data'!$K:$K,AL261)/INDEX('Player Data'!$E:$E,AL261)*M261*L261*AM261</f>
        <v>25.917832957110605</v>
      </c>
      <c r="T261" s="5">
        <f>INDEX('Player Data'!$L:$L,AL261)/INDEX('Player Data'!$E:$E,AL261)*M261*L261*AM261</f>
        <v>18.939954853273136</v>
      </c>
      <c r="U261" s="7">
        <f>INDEX('Player Data'!$M:$M,AL261)</f>
        <v>0.50900000000000001</v>
      </c>
      <c r="V261" s="7">
        <f>INDEX('Player Data'!$N:$N,AL261)</f>
        <v>0.81699999999999995</v>
      </c>
      <c r="W261" s="5">
        <f t="shared" si="27"/>
        <v>80.523018690744905</v>
      </c>
      <c r="X261" s="5">
        <f>INDEX('Player Data'!$O:$O,AL261)/INDEX('Player Data'!$E:$E,AL261)*M261*L261*AM261</f>
        <v>158.19846501128666</v>
      </c>
      <c r="Y261" s="5">
        <f t="shared" si="28"/>
        <v>36.404487223476288</v>
      </c>
      <c r="Z261" s="5">
        <f>INDEX('Player Data'!$P:$P,AL261)/INDEX('Player Data'!$E:$E,AL261)*M261*L261*AM261</f>
        <v>44.558735891647849</v>
      </c>
      <c r="AB261" s="3">
        <f>(N261-Pool!$D$2)/Pool!$E$2</f>
        <v>-2.5046169802957494</v>
      </c>
      <c r="AC261" s="3">
        <f>(O261-Pool!$D$3)/Pool!$E$3</f>
        <v>-1.739394020350773</v>
      </c>
      <c r="AD261" s="3">
        <f>(P261-Pool!$D$4)/Pool!$E$4</f>
        <v>-1.7458321399368106</v>
      </c>
      <c r="AE261" s="3">
        <f>(Q261-Pool!$D$5)/Pool!$E$5</f>
        <v>-2.61664980394078</v>
      </c>
      <c r="AF261" s="3">
        <f>(R261-Pool!$D$6)/Pool!$E$6</f>
        <v>-0.9374187611375302</v>
      </c>
      <c r="AG261" s="3">
        <f>(S261-Pool!$D$7)/Pool!$E$7</f>
        <v>-1.3731456988251149</v>
      </c>
      <c r="AH261" s="3">
        <f>(AS261-Pool!$D$8)/Pool!$E$8</f>
        <v>8.6238749013585192E-2</v>
      </c>
      <c r="AI261" s="3">
        <f>(AT261-Pool!$D$9)/Pool!$E$9</f>
        <v>3.3675948415861578E-2</v>
      </c>
      <c r="AJ261" s="3">
        <f>-(T261-Pool!$D$10)/Pool!$E$10</f>
        <v>2.1343502395170644</v>
      </c>
      <c r="AL261">
        <f>MATCH(B261,'Player Data'!$A:$A,0)</f>
        <v>257</v>
      </c>
      <c r="AM261" s="3">
        <f>1+IF(Settings!$F$10="ON",IFERROR(VLOOKUP(TRIM(F261),Settings!$D$12:$F$17,3,FALSE),0),0)</f>
        <v>1</v>
      </c>
      <c r="AN261" t="str">
        <f t="shared" si="29"/>
        <v>C</v>
      </c>
      <c r="AO261" s="6">
        <f>X261*(U261-Pool!$B$12)</f>
        <v>4.491765452698246</v>
      </c>
      <c r="AP261" s="6">
        <f>Z261*(V261-Pool!$B$13)</f>
        <v>1.1986452686155398</v>
      </c>
      <c r="AQ261" s="3">
        <f>Settings!$B$2*(N261-Pool!$B$2)/Pool!$C$2+Settings!$B$3*(O261-Pool!$B$3)/Pool!$C$3+Settings!$B$4*(P261-Pool!$B$4)/Pool!$C$4+Settings!$B$5*(Q261-Pool!$B$5)/Pool!$C$5+Settings!$B$6*(R261-Pool!$B$6)/Pool!$C$6+Settings!$B$7*(S261-Pool!$B$7)/Pool!$C$7+Settings!$B$8*(AO261-Pool!$B$8)/Pool!$C$8+Settings!$B$9*(AP261-Pool!$B$9)/Pool!$C$9+Settings!$B$10*-(T261-Pool!$B$10)/Pool!$C$10</f>
        <v>-6.3394126112365949</v>
      </c>
      <c r="AR261">
        <f>IF(RANK(AQ261,$AQ$2:$AQ$266)&lt;=Settings!$F$5,1,0)</f>
        <v>0</v>
      </c>
      <c r="AS261" s="6">
        <f>X261*(U261-Pool!$D$12)</f>
        <v>3.9433193036020047</v>
      </c>
      <c r="AT261" s="6">
        <f>Z261*(V261-Pool!$D$13)</f>
        <v>0.75133020985411558</v>
      </c>
    </row>
    <row r="262" spans="1:46" x14ac:dyDescent="0.2">
      <c r="A262">
        <f t="shared" si="24"/>
        <v>261</v>
      </c>
      <c r="B262" t="s">
        <v>303</v>
      </c>
      <c r="C262" t="str">
        <f>INDEX('Player Data'!$C:$C,AL262)</f>
        <v>PF,C</v>
      </c>
      <c r="D262">
        <f t="shared" si="25"/>
        <v>76</v>
      </c>
      <c r="E262" t="str">
        <f>INDEX('Player Data'!$B:$B,AL262)</f>
        <v>TOR</v>
      </c>
      <c r="F262" s="2"/>
      <c r="G262" s="3">
        <f>Settings!$B$2*AB262+Settings!$B$3*AC262+Settings!$B$4*AD262+Settings!$B$5*AE262+Settings!$B$6*AF262+Settings!$B$7*AG262+Settings!$B$8*AH262+Settings!$B$9*AI262+Settings!$B$10*AJ262</f>
        <v>-8.9419124869658866</v>
      </c>
      <c r="H262" s="3">
        <f>G262-LARGE($G$2:$G$266,Settings!$F$4)</f>
        <v>-5.7256477205187215</v>
      </c>
      <c r="I262" t="str">
        <f>IF(INDEX('Player Data'!$R:$R,AL262)="","",INDEX('Player Data'!$R:$R,AL262))</f>
        <v/>
      </c>
      <c r="J262" s="4" t="str">
        <f t="shared" si="26"/>
        <v/>
      </c>
      <c r="L262" s="5">
        <f>IF(Settings!$F$7="Yes",INDEX('Minutes &amp; Health'!$O:$O,AL262),Settings!$F$8)</f>
        <v>47</v>
      </c>
      <c r="M262" s="6">
        <f>INDEX('Minutes &amp; Health'!$P:$P,AL262)</f>
        <v>10.8</v>
      </c>
      <c r="N262" s="5">
        <f>INDEX('Player Data'!$F:$F,AL262)/INDEX('Player Data'!$E:$E,AL262)*M262*L262*AM262</f>
        <v>226.71462450592884</v>
      </c>
      <c r="O262" s="5">
        <f>INDEX('Player Data'!$G:$G,AL262)/INDEX('Player Data'!$E:$E,AL262)*M262*L262*AM262</f>
        <v>160.50592885375497</v>
      </c>
      <c r="P262" s="5">
        <f>INDEX('Player Data'!$H:$H,AL262)/INDEX('Player Data'!$E:$E,AL262)*M262*L262*AM262</f>
        <v>45.142292490118585</v>
      </c>
      <c r="Q262" s="5">
        <f>INDEX('Player Data'!$I:$I,AL262)/INDEX('Player Data'!$E:$E,AL262)*M262*L262*AM262</f>
        <v>15.047430830039525</v>
      </c>
      <c r="R262" s="5">
        <f>INDEX('Player Data'!$J:$J,AL262)/INDEX('Player Data'!$E:$E,AL262)*M262*L262*AM262</f>
        <v>25.079051383399211</v>
      </c>
      <c r="S262" s="5">
        <f>INDEX('Player Data'!$K:$K,AL262)/INDEX('Player Data'!$E:$E,AL262)*M262*L262*AM262</f>
        <v>0</v>
      </c>
      <c r="T262" s="5">
        <f>INDEX('Player Data'!$L:$L,AL262)/INDEX('Player Data'!$E:$E,AL262)*M262*L262*AM262</f>
        <v>23.072727272727274</v>
      </c>
      <c r="U262" s="7">
        <f>INDEX('Player Data'!$M:$M,AL262)</f>
        <v>0.59899999999999998</v>
      </c>
      <c r="V262" s="7">
        <f>INDEX('Player Data'!$N:$N,AL262)</f>
        <v>0.55100000000000005</v>
      </c>
      <c r="W262" s="5">
        <f t="shared" si="27"/>
        <v>96.623766640316205</v>
      </c>
      <c r="X262" s="5">
        <f>INDEX('Player Data'!$O:$O,AL262)/INDEX('Player Data'!$E:$E,AL262)*M262*L262*AM262</f>
        <v>161.30845849802373</v>
      </c>
      <c r="Y262" s="5">
        <f t="shared" si="28"/>
        <v>33.496182924901191</v>
      </c>
      <c r="Z262" s="5">
        <f>INDEX('Player Data'!$P:$P,AL262)/INDEX('Player Data'!$E:$E,AL262)*M262*L262*AM262</f>
        <v>60.791620553359692</v>
      </c>
      <c r="AB262" s="3">
        <f>(N262-Pool!$D$2)/Pool!$E$2</f>
        <v>-2.4961805886781527</v>
      </c>
      <c r="AC262" s="3">
        <f>(O262-Pool!$D$3)/Pool!$E$3</f>
        <v>-1.5652448113207373</v>
      </c>
      <c r="AD262" s="3">
        <f>(P262-Pool!$D$4)/Pool!$E$4</f>
        <v>-1.5888430068712105</v>
      </c>
      <c r="AE262" s="3">
        <f>(Q262-Pool!$D$5)/Pool!$E$5</f>
        <v>-2.6124630170375625</v>
      </c>
      <c r="AF262" s="3">
        <f>(R262-Pool!$D$6)/Pool!$E$6</f>
        <v>-0.73089958668248189</v>
      </c>
      <c r="AG262" s="3">
        <f>(S262-Pool!$D$7)/Pool!$E$7</f>
        <v>-1.7381805406185855</v>
      </c>
      <c r="AH262" s="3">
        <f>(AS262-Pool!$D$8)/Pool!$E$8</f>
        <v>0.40543148587274919</v>
      </c>
      <c r="AI262" s="3">
        <f>(AT262-Pool!$D$9)/Pool!$E$9</f>
        <v>-0.67884938596120914</v>
      </c>
      <c r="AJ262" s="3">
        <f>-(T262-Pool!$D$10)/Pool!$E$10</f>
        <v>2.0633169643313045</v>
      </c>
      <c r="AL262">
        <f>MATCH(B262,'Player Data'!$A:$A,0)</f>
        <v>253</v>
      </c>
      <c r="AM262" s="3">
        <f>1+IF(Settings!$F$10="ON",IFERROR(VLOOKUP(TRIM(F262),Settings!$D$12:$F$17,3,FALSE),0),0)</f>
        <v>1</v>
      </c>
      <c r="AN262" t="str">
        <f t="shared" si="29"/>
        <v>PF</v>
      </c>
      <c r="AO262" s="6">
        <f>X262*(U262-Pool!$B$12)</f>
        <v>19.097829478870466</v>
      </c>
      <c r="AP262" s="6">
        <f>Z262*(V262-Pool!$B$13)</f>
        <v>-14.535255637129728</v>
      </c>
      <c r="AQ262" s="3">
        <f>Settings!$B$2*(N262-Pool!$B$2)/Pool!$C$2+Settings!$B$3*(O262-Pool!$B$3)/Pool!$C$3+Settings!$B$4*(P262-Pool!$B$4)/Pool!$C$4+Settings!$B$5*(Q262-Pool!$B$5)/Pool!$C$5+Settings!$B$6*(R262-Pool!$B$6)/Pool!$C$6+Settings!$B$7*(S262-Pool!$B$7)/Pool!$C$7+Settings!$B$8*(AO262-Pool!$B$8)/Pool!$C$8+Settings!$B$9*(AP262-Pool!$B$9)/Pool!$C$9+Settings!$B$10*-(T262-Pool!$B$10)/Pool!$C$10</f>
        <v>-6.6741276563675553</v>
      </c>
      <c r="AR262">
        <f>IF(RANK(AQ262,$AQ$2:$AQ$266)&lt;=Settings!$F$5,1,0)</f>
        <v>0</v>
      </c>
      <c r="AS262" s="6">
        <f>X262*(U262-Pool!$D$12)</f>
        <v>18.538601531408521</v>
      </c>
      <c r="AT262" s="6">
        <f>Z262*(V262-Pool!$D$13)</f>
        <v>-15.145528948880598</v>
      </c>
    </row>
    <row r="263" spans="1:46" x14ac:dyDescent="0.2">
      <c r="A263">
        <f t="shared" si="24"/>
        <v>262</v>
      </c>
      <c r="B263" t="s">
        <v>304</v>
      </c>
      <c r="C263" t="str">
        <f>INDEX('Player Data'!$C:$C,AL263)</f>
        <v>C,PF</v>
      </c>
      <c r="D263">
        <f t="shared" si="25"/>
        <v>63</v>
      </c>
      <c r="E263" t="str">
        <f>INDEX('Player Data'!$B:$B,AL263)</f>
        <v>MIL</v>
      </c>
      <c r="F263" s="2"/>
      <c r="G263" s="3">
        <f>Settings!$B$2*AB263+Settings!$B$3*AC263+Settings!$B$4*AD263+Settings!$B$5*AE263+Settings!$B$6*AF263+Settings!$B$7*AG263+Settings!$B$8*AH263+Settings!$B$9*AI263+Settings!$B$10*AJ263</f>
        <v>-8.9943855838573494</v>
      </c>
      <c r="H263" s="3">
        <f>G263-LARGE($G$2:$G$266,Settings!$F$4)</f>
        <v>-5.7781208174101844</v>
      </c>
      <c r="I263" t="str">
        <f>IF(INDEX('Player Data'!$R:$R,AL263)="","",INDEX('Player Data'!$R:$R,AL263))</f>
        <v/>
      </c>
      <c r="J263" s="4" t="str">
        <f t="shared" si="26"/>
        <v/>
      </c>
      <c r="L263" s="5">
        <f>IF(Settings!$F$7="Yes",INDEX('Minutes &amp; Health'!$O:$O,AL263),Settings!$F$8)</f>
        <v>46</v>
      </c>
      <c r="M263" s="6">
        <f>INDEX('Minutes &amp; Health'!$P:$P,AL263)</f>
        <v>15.1</v>
      </c>
      <c r="N263" s="5">
        <f>INDEX('Player Data'!$F:$F,AL263)/INDEX('Player Data'!$E:$E,AL263)*M263*L263*AM263</f>
        <v>156.90964028776978</v>
      </c>
      <c r="O263" s="5">
        <f>INDEX('Player Data'!$G:$G,AL263)/INDEX('Player Data'!$E:$E,AL263)*M263*L263*AM263</f>
        <v>187.89179856115109</v>
      </c>
      <c r="P263" s="5">
        <f>INDEX('Player Data'!$H:$H,AL263)/INDEX('Player Data'!$E:$E,AL263)*M263*L263*AM263</f>
        <v>50.970647482014385</v>
      </c>
      <c r="Q263" s="5">
        <f>INDEX('Player Data'!$I:$I,AL263)/INDEX('Player Data'!$E:$E,AL263)*M263*L263*AM263</f>
        <v>12.99251798561151</v>
      </c>
      <c r="R263" s="5">
        <f>INDEX('Player Data'!$J:$J,AL263)/INDEX('Player Data'!$E:$E,AL263)*M263*L263*AM263</f>
        <v>12.99251798561151</v>
      </c>
      <c r="S263" s="5">
        <f>INDEX('Player Data'!$K:$K,AL263)/INDEX('Player Data'!$E:$E,AL263)*M263*L263*AM263</f>
        <v>0</v>
      </c>
      <c r="T263" s="5">
        <f>INDEX('Player Data'!$L:$L,AL263)/INDEX('Player Data'!$E:$E,AL263)*M263*L263*AM263</f>
        <v>37.978129496402872</v>
      </c>
      <c r="U263" s="7">
        <f>INDEX('Player Data'!$M:$M,AL263)</f>
        <v>0.79600000000000004</v>
      </c>
      <c r="V263" s="7">
        <f>INDEX('Player Data'!$N:$N,AL263)</f>
        <v>0.621</v>
      </c>
      <c r="W263" s="5">
        <f t="shared" si="27"/>
        <v>68.893925985611503</v>
      </c>
      <c r="X263" s="5">
        <f>INDEX('Player Data'!$O:$O,AL263)/INDEX('Player Data'!$E:$E,AL263)*M263*L263*AM263</f>
        <v>86.550158273381285</v>
      </c>
      <c r="Y263" s="5">
        <f t="shared" si="28"/>
        <v>19.053727510791365</v>
      </c>
      <c r="Z263" s="5">
        <f>INDEX('Player Data'!$P:$P,AL263)/INDEX('Player Data'!$E:$E,AL263)*M263*L263*AM263</f>
        <v>30.682330935251798</v>
      </c>
      <c r="AB263" s="3">
        <f>(N263-Pool!$D$2)/Pool!$E$2</f>
        <v>-2.6682471629804647</v>
      </c>
      <c r="AC263" s="3">
        <f>(O263-Pool!$D$3)/Pool!$E$3</f>
        <v>-1.4058450917862551</v>
      </c>
      <c r="AD263" s="3">
        <f>(P263-Pool!$D$4)/Pool!$E$4</f>
        <v>-1.5494239325161583</v>
      </c>
      <c r="AE263" s="3">
        <f>(Q263-Pool!$D$5)/Pool!$E$5</f>
        <v>-2.7031836567717451</v>
      </c>
      <c r="AF263" s="3">
        <f>(R263-Pool!$D$6)/Pool!$E$6</f>
        <v>-1.0806926353662341</v>
      </c>
      <c r="AG263" s="3">
        <f>(S263-Pool!$D$7)/Pool!$E$7</f>
        <v>-1.7381805406185855</v>
      </c>
      <c r="AH263" s="3">
        <f>(AS263-Pool!$D$8)/Pool!$E$8</f>
        <v>0.59041925460882316</v>
      </c>
      <c r="AI263" s="3">
        <f>(AT263-Pool!$D$9)/Pool!$E$9</f>
        <v>-0.24635767653481067</v>
      </c>
      <c r="AJ263" s="3">
        <f>-(T263-Pool!$D$10)/Pool!$E$10</f>
        <v>1.8071258581080802</v>
      </c>
      <c r="AL263">
        <f>MATCH(B263,'Player Data'!$A:$A,0)</f>
        <v>263</v>
      </c>
      <c r="AM263" s="3">
        <f>1+IF(Settings!$F$10="ON",IFERROR(VLOOKUP(TRIM(F263),Settings!$D$12:$F$17,3,FALSE),0),0)</f>
        <v>1</v>
      </c>
      <c r="AN263" t="str">
        <f t="shared" si="29"/>
        <v>C</v>
      </c>
      <c r="AO263" s="6">
        <f>X263*(U263-Pool!$B$12)</f>
        <v>27.297334002200127</v>
      </c>
      <c r="AP263" s="6">
        <f>Z263*(V263-Pool!$B$13)</f>
        <v>-5.1883716443528289</v>
      </c>
      <c r="AQ263" s="3">
        <f>Settings!$B$2*(N263-Pool!$B$2)/Pool!$C$2+Settings!$B$3*(O263-Pool!$B$3)/Pool!$C$3+Settings!$B$4*(P263-Pool!$B$4)/Pool!$C$4+Settings!$B$5*(Q263-Pool!$B$5)/Pool!$C$5+Settings!$B$6*(R263-Pool!$B$6)/Pool!$C$6+Settings!$B$7*(S263-Pool!$B$7)/Pool!$C$7+Settings!$B$8*(AO263-Pool!$B$8)/Pool!$C$8+Settings!$B$9*(AP263-Pool!$B$9)/Pool!$C$9+Settings!$B$10*-(T263-Pool!$B$10)/Pool!$C$10</f>
        <v>-6.6260014085852053</v>
      </c>
      <c r="AR263">
        <f>IF(RANK(AQ263,$AQ$2:$AQ$266)&lt;=Settings!$F$5,1,0)</f>
        <v>0</v>
      </c>
      <c r="AS263" s="6">
        <f>X263*(U263-Pool!$D$12)</f>
        <v>26.99727988343659</v>
      </c>
      <c r="AT263" s="6">
        <f>Z263*(V263-Pool!$D$13)</f>
        <v>-5.4963846162336623</v>
      </c>
    </row>
    <row r="264" spans="1:46" x14ac:dyDescent="0.2">
      <c r="A264">
        <f t="shared" si="24"/>
        <v>263</v>
      </c>
      <c r="B264" t="s">
        <v>305</v>
      </c>
      <c r="C264" t="str">
        <f>INDEX('Player Data'!$C:$C,AL264)</f>
        <v>C,PF</v>
      </c>
      <c r="D264">
        <f t="shared" si="25"/>
        <v>64</v>
      </c>
      <c r="E264" t="str">
        <f>INDEX('Player Data'!$B:$B,AL264)</f>
        <v>SAC</v>
      </c>
      <c r="F264" s="2"/>
      <c r="G264" s="3">
        <f>Settings!$B$2*AB264+Settings!$B$3*AC264+Settings!$B$4*AD264+Settings!$B$5*AE264+Settings!$B$6*AF264+Settings!$B$7*AG264+Settings!$B$8*AH264+Settings!$B$9*AI264+Settings!$B$10*AJ264</f>
        <v>-9.4027254020299669</v>
      </c>
      <c r="H264" s="3">
        <f>G264-LARGE($G$2:$G$266,Settings!$F$4)</f>
        <v>-6.1864606355828018</v>
      </c>
      <c r="I264" t="str">
        <f>IF(INDEX('Player Data'!$R:$R,AL264)="","",INDEX('Player Data'!$R:$R,AL264))</f>
        <v/>
      </c>
      <c r="J264" s="4" t="str">
        <f t="shared" si="26"/>
        <v/>
      </c>
      <c r="L264" s="5">
        <f>IF(Settings!$F$7="Yes",INDEX('Minutes &amp; Health'!$O:$O,AL264),Settings!$F$8)</f>
        <v>47</v>
      </c>
      <c r="M264" s="6">
        <f>INDEX('Minutes &amp; Health'!$P:$P,AL264)</f>
        <v>10.6</v>
      </c>
      <c r="N264" s="5">
        <f>INDEX('Player Data'!$F:$F,AL264)/INDEX('Player Data'!$E:$E,AL264)*M264*L264*AM264</f>
        <v>129.53199999999998</v>
      </c>
      <c r="O264" s="5">
        <f>INDEX('Player Data'!$G:$G,AL264)/INDEX('Player Data'!$E:$E,AL264)*M264*L264*AM264</f>
        <v>117.5752</v>
      </c>
      <c r="P264" s="5">
        <f>INDEX('Player Data'!$H:$H,AL264)/INDEX('Player Data'!$E:$E,AL264)*M264*L264*AM264</f>
        <v>48.823599999999999</v>
      </c>
      <c r="Q264" s="5">
        <f>INDEX('Player Data'!$I:$I,AL264)/INDEX('Player Data'!$E:$E,AL264)*M264*L264*AM264</f>
        <v>17.935199999999998</v>
      </c>
      <c r="R264" s="5">
        <f>INDEX('Player Data'!$J:$J,AL264)/INDEX('Player Data'!$E:$E,AL264)*M264*L264*AM264</f>
        <v>15.942399999999999</v>
      </c>
      <c r="S264" s="5">
        <f>INDEX('Player Data'!$K:$K,AL264)/INDEX('Player Data'!$E:$E,AL264)*M264*L264*AM264</f>
        <v>1.9927999999999999</v>
      </c>
      <c r="T264" s="5">
        <f>INDEX('Player Data'!$L:$L,AL264)/INDEX('Player Data'!$E:$E,AL264)*M264*L264*AM264</f>
        <v>26.902799999999999</v>
      </c>
      <c r="U264" s="7">
        <f>INDEX('Player Data'!$M:$M,AL264)</f>
        <v>0.50600000000000001</v>
      </c>
      <c r="V264" s="7">
        <f>INDEX('Player Data'!$N:$N,AL264)</f>
        <v>0.70399999999999996</v>
      </c>
      <c r="W264" s="5">
        <f t="shared" si="27"/>
        <v>51.980793039999995</v>
      </c>
      <c r="X264" s="5">
        <f>INDEX('Player Data'!$O:$O,AL264)/INDEX('Player Data'!$E:$E,AL264)*M264*L264*AM264</f>
        <v>102.72883999999999</v>
      </c>
      <c r="Y264" s="5">
        <f t="shared" si="28"/>
        <v>23.569244160000004</v>
      </c>
      <c r="Z264" s="5">
        <f>INDEX('Player Data'!$P:$P,AL264)/INDEX('Player Data'!$E:$E,AL264)*M264*L264*AM264</f>
        <v>33.479040000000005</v>
      </c>
      <c r="AB264" s="3">
        <f>(N264-Pool!$D$2)/Pool!$E$2</f>
        <v>-2.7357319827187676</v>
      </c>
      <c r="AC264" s="3">
        <f>(O264-Pool!$D$3)/Pool!$E$3</f>
        <v>-1.8151235338814933</v>
      </c>
      <c r="AD264" s="3">
        <f>(P264-Pool!$D$4)/Pool!$E$4</f>
        <v>-1.5639451180745252</v>
      </c>
      <c r="AE264" s="3">
        <f>(Q264-Pool!$D$5)/Pool!$E$5</f>
        <v>-2.4849732954107617</v>
      </c>
      <c r="AF264" s="3">
        <f>(R264-Pool!$D$6)/Pool!$E$6</f>
        <v>-0.99532090890749725</v>
      </c>
      <c r="AG264" s="3">
        <f>(S264-Pool!$D$7)/Pool!$E$7</f>
        <v>-1.7101133239678024</v>
      </c>
      <c r="AH264" s="3">
        <f>(AS264-Pool!$D$8)/Pool!$E$8</f>
        <v>4.9260674700088332E-2</v>
      </c>
      <c r="AI264" s="3">
        <f>(AT264-Pool!$D$9)/Pool!$E$9</f>
        <v>-0.14426434537212973</v>
      </c>
      <c r="AJ264" s="3">
        <f>-(T264-Pool!$D$10)/Pool!$E$10</f>
        <v>1.9974864316029208</v>
      </c>
      <c r="AL264">
        <f>MATCH(B264,'Player Data'!$A:$A,0)</f>
        <v>266</v>
      </c>
      <c r="AM264" s="3">
        <f>1+IF(Settings!$F$10="ON",IFERROR(VLOOKUP(TRIM(F264),Settings!$D$12:$F$17,3,FALSE),0),0)</f>
        <v>1</v>
      </c>
      <c r="AN264" t="str">
        <f t="shared" si="29"/>
        <v>C</v>
      </c>
      <c r="AO264" s="6">
        <f>X264*(U264-Pool!$B$12)</f>
        <v>2.6086170942123417</v>
      </c>
      <c r="AP264" s="6">
        <f>Z264*(V264-Pool!$B$13)</f>
        <v>-2.8825338685905866</v>
      </c>
      <c r="AQ264" s="3">
        <f>Settings!$B$2*(N264-Pool!$B$2)/Pool!$C$2+Settings!$B$3*(O264-Pool!$B$3)/Pool!$C$3+Settings!$B$4*(P264-Pool!$B$4)/Pool!$C$4+Settings!$B$5*(Q264-Pool!$B$5)/Pool!$C$5+Settings!$B$6*(R264-Pool!$B$6)/Pool!$C$6+Settings!$B$7*(S264-Pool!$B$7)/Pool!$C$7+Settings!$B$8*(AO264-Pool!$B$8)/Pool!$C$8+Settings!$B$9*(AP264-Pool!$B$9)/Pool!$C$9+Settings!$B$10*-(T264-Pool!$B$10)/Pool!$C$10</f>
        <v>-7.1234455205219085</v>
      </c>
      <c r="AR264">
        <f>IF(RANK(AQ264,$AQ$2:$AQ$266)&lt;=Settings!$F$5,1,0)</f>
        <v>0</v>
      </c>
      <c r="AS264" s="6">
        <f>X264*(U264-Pool!$D$12)</f>
        <v>2.2524743421628561</v>
      </c>
      <c r="AT264" s="6">
        <f>Z264*(V264-Pool!$D$13)</f>
        <v>-3.2186223694244518</v>
      </c>
    </row>
    <row r="265" spans="1:46" x14ac:dyDescent="0.2">
      <c r="A265">
        <f t="shared" si="24"/>
        <v>264</v>
      </c>
      <c r="B265" t="s">
        <v>306</v>
      </c>
      <c r="C265" t="str">
        <f>INDEX('Player Data'!$C:$C,AL265)</f>
        <v>C,PF</v>
      </c>
      <c r="D265">
        <f t="shared" si="25"/>
        <v>65</v>
      </c>
      <c r="E265" t="str">
        <f>INDEX('Player Data'!$B:$B,AL265)</f>
        <v>ORL</v>
      </c>
      <c r="F265" s="2"/>
      <c r="G265" s="3">
        <f>Settings!$B$2*AB265+Settings!$B$3*AC265+Settings!$B$4*AD265+Settings!$B$5*AE265+Settings!$B$6*AF265+Settings!$B$7*AG265+Settings!$B$8*AH265+Settings!$B$9*AI265+Settings!$B$10*AJ265</f>
        <v>-9.4940554452224344</v>
      </c>
      <c r="H265" s="3">
        <f>G265-LARGE($G$2:$G$266,Settings!$F$4)</f>
        <v>-6.2777906787752693</v>
      </c>
      <c r="I265" t="str">
        <f>IF(INDEX('Player Data'!$R:$R,AL265)="","",INDEX('Player Data'!$R:$R,AL265))</f>
        <v/>
      </c>
      <c r="J265" s="4" t="str">
        <f t="shared" si="26"/>
        <v/>
      </c>
      <c r="L265" s="5">
        <f>IF(Settings!$F$7="Yes",INDEX('Minutes &amp; Health'!$O:$O,AL265),Settings!$F$8)</f>
        <v>42</v>
      </c>
      <c r="M265" s="6">
        <f>INDEX('Minutes &amp; Health'!$P:$P,AL265)</f>
        <v>9.9</v>
      </c>
      <c r="N265" s="5">
        <f>INDEX('Player Data'!$F:$F,AL265)/INDEX('Player Data'!$E:$E,AL265)*M265*L265*AM265</f>
        <v>118.51304347826087</v>
      </c>
      <c r="O265" s="5">
        <f>INDEX('Player Data'!$G:$G,AL265)/INDEX('Player Data'!$E:$E,AL265)*M265*L265*AM265</f>
        <v>104.4521739130435</v>
      </c>
      <c r="P265" s="5">
        <f>INDEX('Player Data'!$H:$H,AL265)/INDEX('Player Data'!$E:$E,AL265)*M265*L265*AM265</f>
        <v>16.069565217391304</v>
      </c>
      <c r="Q265" s="5">
        <f>INDEX('Player Data'!$I:$I,AL265)/INDEX('Player Data'!$E:$E,AL265)*M265*L265*AM265</f>
        <v>17.073913043478264</v>
      </c>
      <c r="R265" s="5">
        <f>INDEX('Player Data'!$J:$J,AL265)/INDEX('Player Data'!$E:$E,AL265)*M265*L265*AM265</f>
        <v>23.1</v>
      </c>
      <c r="S265" s="5">
        <f>INDEX('Player Data'!$K:$K,AL265)/INDEX('Player Data'!$E:$E,AL265)*M265*L265*AM265</f>
        <v>11.047826086956523</v>
      </c>
      <c r="T265" s="5">
        <f>INDEX('Player Data'!$L:$L,AL265)/INDEX('Player Data'!$E:$E,AL265)*M265*L265*AM265</f>
        <v>14.060869565217391</v>
      </c>
      <c r="U265" s="7">
        <f>INDEX('Player Data'!$M:$M,AL265)</f>
        <v>0.434</v>
      </c>
      <c r="V265" s="7">
        <f>INDEX('Player Data'!$N:$N,AL265)</f>
        <v>0.64</v>
      </c>
      <c r="W265" s="5">
        <f t="shared" si="27"/>
        <v>41.496438260869567</v>
      </c>
      <c r="X265" s="5">
        <f>INDEX('Player Data'!$O:$O,AL265)/INDEX('Player Data'!$E:$E,AL265)*M265*L265*AM265</f>
        <v>95.613913043478263</v>
      </c>
      <c r="Y265" s="5">
        <f t="shared" si="28"/>
        <v>24.425739130434785</v>
      </c>
      <c r="Z265" s="5">
        <f>INDEX('Player Data'!$P:$P,AL265)/INDEX('Player Data'!$E:$E,AL265)*M265*L265*AM265</f>
        <v>38.165217391304353</v>
      </c>
      <c r="AB265" s="3">
        <f>(N265-Pool!$D$2)/Pool!$E$2</f>
        <v>-2.7628932824786285</v>
      </c>
      <c r="AC265" s="3">
        <f>(O265-Pool!$D$3)/Pool!$E$3</f>
        <v>-1.8915062341592068</v>
      </c>
      <c r="AD265" s="3">
        <f>(P265-Pool!$D$4)/Pool!$E$4</f>
        <v>-1.7854713865188658</v>
      </c>
      <c r="AE265" s="3">
        <f>(Q265-Pool!$D$5)/Pool!$E$5</f>
        <v>-2.5229975376078113</v>
      </c>
      <c r="AF265" s="3">
        <f>(R265-Pool!$D$6)/Pool!$E$6</f>
        <v>-0.78817477007193226</v>
      </c>
      <c r="AG265" s="3">
        <f>(S265-Pool!$D$7)/Pool!$E$7</f>
        <v>-1.5825795127669289</v>
      </c>
      <c r="AH265" s="3">
        <f>(AS265-Pool!$D$8)/Pool!$E$8</f>
        <v>-0.10470570654915531</v>
      </c>
      <c r="AI265" s="3">
        <f>(AT265-Pool!$D$9)/Pool!$E$9</f>
        <v>-0.27393800779220473</v>
      </c>
      <c r="AJ265" s="3">
        <f>-(T265-Pool!$D$10)/Pool!$E$10</f>
        <v>2.2182109927223022</v>
      </c>
      <c r="AL265">
        <f>MATCH(B265,'Player Data'!$A:$A,0)</f>
        <v>265</v>
      </c>
      <c r="AM265" s="3">
        <f>1+IF(Settings!$F$10="ON",IFERROR(VLOOKUP(TRIM(F265),Settings!$D$12:$F$17,3,FALSE),0),0)</f>
        <v>1</v>
      </c>
      <c r="AN265" t="str">
        <f t="shared" si="29"/>
        <v>C</v>
      </c>
      <c r="AO265" s="6">
        <f>X265*(U265-Pool!$B$12)</f>
        <v>-4.4562556238063475</v>
      </c>
      <c r="AP265" s="6">
        <f>Z265*(V265-Pool!$B$13)</f>
        <v>-5.7285860487724953</v>
      </c>
      <c r="AQ265" s="3">
        <f>Settings!$B$2*(N265-Pool!$B$2)/Pool!$C$2+Settings!$B$3*(O265-Pool!$B$3)/Pool!$C$3+Settings!$B$4*(P265-Pool!$B$4)/Pool!$C$4+Settings!$B$5*(Q265-Pool!$B$5)/Pool!$C$5+Settings!$B$6*(R265-Pool!$B$6)/Pool!$C$6+Settings!$B$7*(S265-Pool!$B$7)/Pool!$C$7+Settings!$B$8*(AO265-Pool!$B$8)/Pool!$C$8+Settings!$B$9*(AP265-Pool!$B$9)/Pool!$C$9+Settings!$B$10*-(T265-Pool!$B$10)/Pool!$C$10</f>
        <v>-7.2449571401194195</v>
      </c>
      <c r="AR265">
        <f>IF(RANK(AQ265,$AQ$2:$AQ$266)&lt;=Settings!$F$5,1,0)</f>
        <v>0</v>
      </c>
      <c r="AS265" s="6">
        <f>X265*(U265-Pool!$D$12)</f>
        <v>-4.7877321802000976</v>
      </c>
      <c r="AT265" s="6">
        <f>Z265*(V265-Pool!$D$13)</f>
        <v>-6.1117180231971515</v>
      </c>
    </row>
    <row r="266" spans="1:46" x14ac:dyDescent="0.2">
      <c r="A266">
        <f t="shared" si="24"/>
        <v>265</v>
      </c>
      <c r="B266" t="s">
        <v>307</v>
      </c>
      <c r="C266" t="str">
        <f>INDEX('Player Data'!$C:$C,AL266)</f>
        <v>PG,SF,SG</v>
      </c>
      <c r="D266">
        <f t="shared" si="25"/>
        <v>78</v>
      </c>
      <c r="E266" t="str">
        <f>INDEX('Player Data'!$B:$B,AL266)</f>
        <v>POR</v>
      </c>
      <c r="F266" s="2"/>
      <c r="G266" s="3">
        <f>Settings!$B$2*AB266+Settings!$B$3*AC266+Settings!$B$4*AD266+Settings!$B$5*AE266+Settings!$B$6*AF266+Settings!$B$7*AG266+Settings!$B$8*AH266+Settings!$B$9*AI266+Settings!$B$10*AJ266</f>
        <v>-9.95739117816556</v>
      </c>
      <c r="H266" s="3">
        <f>G266-LARGE($G$2:$G$266,Settings!$F$4)</f>
        <v>-6.7411264117183949</v>
      </c>
      <c r="I266">
        <f>IF(INDEX('Player Data'!$R:$R,AL266)="","",INDEX('Player Data'!$R:$R,AL266))</f>
        <v>149</v>
      </c>
      <c r="J266" s="4">
        <f t="shared" si="26"/>
        <v>-116</v>
      </c>
      <c r="L266" s="5">
        <f>IF(Settings!$F$7="Yes",INDEX('Minutes &amp; Health'!$O:$O,AL266),Settings!$F$8)</f>
        <v>18</v>
      </c>
      <c r="M266" s="6">
        <f>INDEX('Minutes &amp; Health'!$P:$P,AL266)</f>
        <v>21.9</v>
      </c>
      <c r="N266" s="5">
        <f>INDEX('Player Data'!$F:$F,AL266)/INDEX('Player Data'!$E:$E,AL266)*M266*L266*AM266</f>
        <v>242.50784810126578</v>
      </c>
      <c r="O266" s="5">
        <f>INDEX('Player Data'!$G:$G,AL266)/INDEX('Player Data'!$E:$E,AL266)*M266*L266*AM266</f>
        <v>55.886582278481015</v>
      </c>
      <c r="P266" s="5">
        <f>INDEX('Player Data'!$H:$H,AL266)/INDEX('Player Data'!$E:$E,AL266)*M266*L266*AM266</f>
        <v>32.933164556962026</v>
      </c>
      <c r="Q266" s="5">
        <f>INDEX('Player Data'!$I:$I,AL266)/INDEX('Player Data'!$E:$E,AL266)*M266*L266*AM266</f>
        <v>14.969620253164557</v>
      </c>
      <c r="R266" s="5">
        <f>INDEX('Player Data'!$J:$J,AL266)/INDEX('Player Data'!$E:$E,AL266)*M266*L266*AM266</f>
        <v>0.99797468354430374</v>
      </c>
      <c r="S266" s="5">
        <f>INDEX('Player Data'!$K:$K,AL266)/INDEX('Player Data'!$E:$E,AL266)*M266*L266*AM266</f>
        <v>24.949367088607595</v>
      </c>
      <c r="T266" s="5">
        <f>INDEX('Player Data'!$L:$L,AL266)/INDEX('Player Data'!$E:$E,AL266)*M266*L266*AM266</f>
        <v>31.93518987341772</v>
      </c>
      <c r="U266" s="7">
        <f>INDEX('Player Data'!$M:$M,AL266)</f>
        <v>0.46</v>
      </c>
      <c r="V266" s="7">
        <f>INDEX('Player Data'!$N:$N,AL266)</f>
        <v>0.78500000000000003</v>
      </c>
      <c r="W266" s="5">
        <f t="shared" si="27"/>
        <v>90.757813670886065</v>
      </c>
      <c r="X266" s="5">
        <f>INDEX('Player Data'!$O:$O,AL266)/INDEX('Player Data'!$E:$E,AL266)*M266*L266*AM266</f>
        <v>197.29959493670881</v>
      </c>
      <c r="Y266" s="5">
        <f t="shared" si="28"/>
        <v>36.036865822784804</v>
      </c>
      <c r="Z266" s="5">
        <f>INDEX('Player Data'!$P:$P,AL266)/INDEX('Player Data'!$E:$E,AL266)*M266*L266*AM266</f>
        <v>45.90683544303797</v>
      </c>
      <c r="AB266" s="3">
        <f>(N266-Pool!$D$2)/Pool!$E$2</f>
        <v>-2.4572509060533818</v>
      </c>
      <c r="AC266" s="3">
        <f>(O266-Pool!$D$3)/Pool!$E$3</f>
        <v>-2.1741827300414887</v>
      </c>
      <c r="AD266" s="3">
        <f>(P266-Pool!$D$4)/Pool!$E$4</f>
        <v>-1.6714173391616498</v>
      </c>
      <c r="AE266" s="3">
        <f>(Q266-Pool!$D$5)/Pool!$E$5</f>
        <v>-2.6158982115429272</v>
      </c>
      <c r="AF266" s="3">
        <f>(R266-Pool!$D$6)/Pool!$E$6</f>
        <v>-1.4278234239153578</v>
      </c>
      <c r="AG266" s="3">
        <f>(S266-Pool!$D$7)/Pool!$E$7</f>
        <v>-1.3867858741312986</v>
      </c>
      <c r="AH266" s="3">
        <f>(AS266-Pool!$D$8)/Pool!$E$8</f>
        <v>-0.10387418115000907</v>
      </c>
      <c r="AI266" s="3">
        <f>(AT266-Pool!$D$9)/Pool!$E$9</f>
        <v>-3.1149221666350591E-2</v>
      </c>
      <c r="AJ266" s="3">
        <f>-(T266-Pool!$D$10)/Pool!$E$10</f>
        <v>1.9109907094969045</v>
      </c>
      <c r="AL266">
        <f>MATCH(B266,'Player Data'!$A:$A,0)</f>
        <v>115</v>
      </c>
      <c r="AM266" s="3">
        <f>1+IF(Settings!$F$10="ON",IFERROR(VLOOKUP(TRIM(F266),Settings!$D$12:$F$17,3,FALSE),0),0)</f>
        <v>1</v>
      </c>
      <c r="AN266" t="str">
        <f t="shared" si="29"/>
        <v>PG</v>
      </c>
      <c r="AO266" s="6">
        <f>X266*(U266-Pool!$B$12)</f>
        <v>-4.0657073116133393</v>
      </c>
      <c r="AP266" s="6">
        <f>Z266*(V266-Pool!$B$13)</f>
        <v>-0.23410912554929281</v>
      </c>
      <c r="AQ266" s="3">
        <f>Settings!$B$2*(N266-Pool!$B$2)/Pool!$C$2+Settings!$B$3*(O266-Pool!$B$3)/Pool!$C$3+Settings!$B$4*(P266-Pool!$B$4)/Pool!$C$4+Settings!$B$5*(Q266-Pool!$B$5)/Pool!$C$5+Settings!$B$6*(R266-Pool!$B$6)/Pool!$C$6+Settings!$B$7*(S266-Pool!$B$7)/Pool!$C$7+Settings!$B$8*(AO266-Pool!$B$8)/Pool!$C$8+Settings!$B$9*(AP266-Pool!$B$9)/Pool!$C$9+Settings!$B$10*-(T266-Pool!$B$10)/Pool!$C$10</f>
        <v>-7.7291130306712299</v>
      </c>
      <c r="AR266">
        <f>IF(RANK(AQ266,$AQ$2:$AQ$266)&lt;=Settings!$F$5,1,0)</f>
        <v>0</v>
      </c>
      <c r="AS266" s="6">
        <f>X266*(U266-Pool!$D$12)</f>
        <v>-4.7497101750644237</v>
      </c>
      <c r="AT266" s="6">
        <f>Z266*(V266-Pool!$D$13)</f>
        <v>-0.69495745041397172</v>
      </c>
    </row>
  </sheetData>
  <autoFilter ref="A1:AJ266" xr:uid="{00000000-0009-0000-0000-000000000000}"/>
  <conditionalFormatting sqref="J2:J266">
    <cfRule type="cellIs" dxfId="5" priority="1" operator="greaterThanOrEqual">
      <formula>24</formula>
    </cfRule>
    <cfRule type="cellIs" dxfId="4" priority="2" operator="between">
      <formula>12</formula>
      <formula>23.99</formula>
    </cfRule>
    <cfRule type="cellIs" dxfId="3" priority="3" operator="between">
      <formula>-23.99</formula>
      <formula>-12</formula>
    </cfRule>
    <cfRule type="cellIs" dxfId="2" priority="4" operator="lessThanOrEqual">
      <formula>-24</formula>
    </cfRule>
  </conditionalFormatting>
  <conditionalFormatting sqref="AB2:AJ266">
    <cfRule type="colorScale" priority="5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6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6" customWidth="1"/>
    <col min="9" max="9" width="12" customWidth="1"/>
    <col min="17" max="17" width="90" customWidth="1"/>
  </cols>
  <sheetData>
    <row r="1" spans="1:17" x14ac:dyDescent="0.2">
      <c r="A1" s="1" t="s">
        <v>308</v>
      </c>
      <c r="B1" s="1" t="s">
        <v>309</v>
      </c>
      <c r="C1" s="1" t="s">
        <v>310</v>
      </c>
      <c r="D1" s="1" t="s">
        <v>311</v>
      </c>
      <c r="E1" s="1" t="s">
        <v>312</v>
      </c>
      <c r="F1" s="1" t="s">
        <v>313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320</v>
      </c>
      <c r="N1" s="1" t="s">
        <v>321</v>
      </c>
      <c r="O1" s="1" t="s">
        <v>322</v>
      </c>
      <c r="P1" s="1" t="s">
        <v>323</v>
      </c>
      <c r="Q1" s="1" t="s">
        <v>324</v>
      </c>
    </row>
    <row r="2" spans="1:17" x14ac:dyDescent="0.2">
      <c r="A2" t="s">
        <v>44</v>
      </c>
      <c r="B2" t="s">
        <v>325</v>
      </c>
      <c r="C2" t="s">
        <v>326</v>
      </c>
      <c r="D2">
        <v>77</v>
      </c>
      <c r="E2">
        <v>34.299999999999997</v>
      </c>
      <c r="F2">
        <v>68</v>
      </c>
      <c r="G2">
        <v>33.200000000000003</v>
      </c>
      <c r="H2" s="8">
        <f t="shared" ref="H2:H65" si="0">IF(G2="","",E2-G2)</f>
        <v>1.0999999999999943</v>
      </c>
      <c r="I2" t="s">
        <v>327</v>
      </c>
      <c r="J2" s="9">
        <v>46308</v>
      </c>
      <c r="K2">
        <f>IF(J2="",0,COUNTIFS(Schedule!$B:$B,B2,Schedule!$A:$A,"&lt;"&amp;J2))</f>
        <v>0</v>
      </c>
      <c r="L2">
        <f t="shared" ref="L2:L65" si="1">82-K2</f>
        <v>82</v>
      </c>
      <c r="M2" s="2"/>
      <c r="N2" s="2"/>
      <c r="O2">
        <f t="shared" ref="O2:O65" si="2">IF(M2&lt;&gt;"",M2,MIN(D2,L2))</f>
        <v>77</v>
      </c>
      <c r="P2">
        <f t="shared" ref="P2:P65" si="3">IF(N2&lt;&gt;"",N2,E2)</f>
        <v>34.299999999999997</v>
      </c>
      <c r="Q2" t="s">
        <v>328</v>
      </c>
    </row>
    <row r="3" spans="1:17" x14ac:dyDescent="0.2">
      <c r="A3" t="s">
        <v>68</v>
      </c>
      <c r="B3" t="s">
        <v>329</v>
      </c>
      <c r="C3" t="s">
        <v>330</v>
      </c>
      <c r="D3">
        <v>73</v>
      </c>
      <c r="E3">
        <v>33</v>
      </c>
      <c r="F3">
        <v>36</v>
      </c>
      <c r="G3">
        <v>28.9</v>
      </c>
      <c r="H3" s="8">
        <f t="shared" si="0"/>
        <v>4.1000000000000014</v>
      </c>
      <c r="I3" t="s">
        <v>327</v>
      </c>
      <c r="J3" s="9">
        <v>46309</v>
      </c>
      <c r="K3">
        <f>IF(J3="",0,COUNTIFS(Schedule!$B:$B,B3,Schedule!$A:$A,"&lt;"&amp;J3))</f>
        <v>0</v>
      </c>
      <c r="L3">
        <f t="shared" si="1"/>
        <v>82</v>
      </c>
      <c r="M3" s="2"/>
      <c r="N3" s="2"/>
      <c r="O3">
        <f t="shared" si="2"/>
        <v>73</v>
      </c>
      <c r="P3">
        <f t="shared" si="3"/>
        <v>33</v>
      </c>
      <c r="Q3" t="s">
        <v>331</v>
      </c>
    </row>
    <row r="4" spans="1:17" x14ac:dyDescent="0.2">
      <c r="A4" t="s">
        <v>47</v>
      </c>
      <c r="B4" t="s">
        <v>332</v>
      </c>
      <c r="C4" t="s">
        <v>333</v>
      </c>
      <c r="D4">
        <v>74</v>
      </c>
      <c r="E4">
        <v>36.1</v>
      </c>
      <c r="F4">
        <v>64</v>
      </c>
      <c r="G4">
        <v>35.799999999999997</v>
      </c>
      <c r="H4" s="8">
        <f t="shared" si="0"/>
        <v>0.30000000000000426</v>
      </c>
      <c r="J4" s="9"/>
      <c r="K4">
        <f>IF(J4="",0,COUNTIFS(Schedule!$B:$B,B4,Schedule!$A:$A,"&lt;"&amp;J4))</f>
        <v>0</v>
      </c>
      <c r="L4">
        <f t="shared" si="1"/>
        <v>82</v>
      </c>
      <c r="M4" s="2"/>
      <c r="N4" s="2"/>
      <c r="O4">
        <f t="shared" si="2"/>
        <v>74</v>
      </c>
      <c r="P4">
        <f t="shared" si="3"/>
        <v>36.1</v>
      </c>
    </row>
    <row r="5" spans="1:17" x14ac:dyDescent="0.2">
      <c r="A5" t="s">
        <v>51</v>
      </c>
      <c r="B5" t="s">
        <v>334</v>
      </c>
      <c r="C5" t="s">
        <v>335</v>
      </c>
      <c r="D5">
        <v>75</v>
      </c>
      <c r="E5">
        <v>35.9</v>
      </c>
      <c r="F5">
        <v>61</v>
      </c>
      <c r="G5">
        <v>35</v>
      </c>
      <c r="H5" s="8">
        <f t="shared" si="0"/>
        <v>0.89999999999999858</v>
      </c>
      <c r="I5" t="s">
        <v>327</v>
      </c>
      <c r="J5" s="9">
        <v>46307</v>
      </c>
      <c r="K5">
        <f>IF(J5="",0,COUNTIFS(Schedule!$B:$B,B5,Schedule!$A:$A,"&lt;"&amp;J5))</f>
        <v>0</v>
      </c>
      <c r="L5">
        <f t="shared" si="1"/>
        <v>82</v>
      </c>
      <c r="M5" s="2"/>
      <c r="N5" s="2"/>
      <c r="O5">
        <f t="shared" si="2"/>
        <v>75</v>
      </c>
      <c r="P5">
        <f t="shared" si="3"/>
        <v>35.9</v>
      </c>
      <c r="Q5" t="s">
        <v>336</v>
      </c>
    </row>
    <row r="6" spans="1:17" x14ac:dyDescent="0.2">
      <c r="A6" t="s">
        <v>55</v>
      </c>
      <c r="B6" t="s">
        <v>337</v>
      </c>
      <c r="C6" t="s">
        <v>338</v>
      </c>
      <c r="D6">
        <v>74</v>
      </c>
      <c r="E6">
        <v>36.1</v>
      </c>
      <c r="F6">
        <v>16</v>
      </c>
      <c r="G6">
        <v>32.6</v>
      </c>
      <c r="H6" s="8">
        <f t="shared" si="0"/>
        <v>3.5</v>
      </c>
      <c r="J6" s="9"/>
      <c r="K6">
        <f>IF(J6="",0,COUNTIFS(Schedule!$B:$B,B6,Schedule!$A:$A,"&lt;"&amp;J6))</f>
        <v>0</v>
      </c>
      <c r="L6">
        <f t="shared" si="1"/>
        <v>82</v>
      </c>
      <c r="M6" s="2"/>
      <c r="N6" s="2"/>
      <c r="O6">
        <f t="shared" si="2"/>
        <v>74</v>
      </c>
      <c r="P6">
        <f t="shared" si="3"/>
        <v>36.1</v>
      </c>
    </row>
    <row r="7" spans="1:17" x14ac:dyDescent="0.2">
      <c r="A7" t="s">
        <v>43</v>
      </c>
      <c r="B7" t="s">
        <v>339</v>
      </c>
      <c r="C7" t="s">
        <v>340</v>
      </c>
      <c r="D7">
        <v>75</v>
      </c>
      <c r="E7">
        <v>36.200000000000003</v>
      </c>
      <c r="F7">
        <v>65</v>
      </c>
      <c r="G7">
        <v>34.799999999999997</v>
      </c>
      <c r="H7" s="8">
        <f t="shared" si="0"/>
        <v>1.4000000000000057</v>
      </c>
      <c r="J7" s="9"/>
      <c r="K7">
        <f>IF(J7="",0,COUNTIFS(Schedule!$B:$B,B7,Schedule!$A:$A,"&lt;"&amp;J7))</f>
        <v>0</v>
      </c>
      <c r="L7">
        <f t="shared" si="1"/>
        <v>82</v>
      </c>
      <c r="M7" s="2"/>
      <c r="N7" s="2"/>
      <c r="O7">
        <f t="shared" si="2"/>
        <v>75</v>
      </c>
      <c r="P7">
        <f t="shared" si="3"/>
        <v>36.200000000000003</v>
      </c>
    </row>
    <row r="8" spans="1:17" x14ac:dyDescent="0.2">
      <c r="A8" t="s">
        <v>48</v>
      </c>
      <c r="B8" t="s">
        <v>341</v>
      </c>
      <c r="C8" t="s">
        <v>333</v>
      </c>
      <c r="D8">
        <v>75</v>
      </c>
      <c r="E8">
        <v>33.200000000000003</v>
      </c>
      <c r="F8">
        <v>70</v>
      </c>
      <c r="G8">
        <v>33.5</v>
      </c>
      <c r="H8" s="8">
        <f t="shared" si="0"/>
        <v>-0.29999999999999716</v>
      </c>
      <c r="J8" s="9"/>
      <c r="K8">
        <f>IF(J8="",0,COUNTIFS(Schedule!$B:$B,B8,Schedule!$A:$A,"&lt;"&amp;J8))</f>
        <v>0</v>
      </c>
      <c r="L8">
        <f t="shared" si="1"/>
        <v>82</v>
      </c>
      <c r="M8" s="2"/>
      <c r="N8" s="2"/>
      <c r="O8">
        <f t="shared" si="2"/>
        <v>75</v>
      </c>
      <c r="P8">
        <f t="shared" si="3"/>
        <v>33.200000000000003</v>
      </c>
    </row>
    <row r="9" spans="1:17" x14ac:dyDescent="0.2">
      <c r="A9" t="s">
        <v>85</v>
      </c>
      <c r="B9" t="s">
        <v>342</v>
      </c>
      <c r="C9" t="s">
        <v>326</v>
      </c>
      <c r="D9">
        <v>75</v>
      </c>
      <c r="E9">
        <v>35.6</v>
      </c>
      <c r="F9">
        <v>74</v>
      </c>
      <c r="G9">
        <v>35</v>
      </c>
      <c r="H9" s="8">
        <f t="shared" si="0"/>
        <v>0.60000000000000142</v>
      </c>
      <c r="J9" s="9"/>
      <c r="K9">
        <f>IF(J9="",0,COUNTIFS(Schedule!$B:$B,B9,Schedule!$A:$A,"&lt;"&amp;J9))</f>
        <v>0</v>
      </c>
      <c r="L9">
        <f t="shared" si="1"/>
        <v>82</v>
      </c>
      <c r="M9" s="2"/>
      <c r="N9" s="2"/>
      <c r="O9">
        <f t="shared" si="2"/>
        <v>75</v>
      </c>
      <c r="P9">
        <f t="shared" si="3"/>
        <v>35.6</v>
      </c>
    </row>
    <row r="10" spans="1:17" x14ac:dyDescent="0.2">
      <c r="A10" t="s">
        <v>113</v>
      </c>
      <c r="B10" t="s">
        <v>343</v>
      </c>
      <c r="C10" t="s">
        <v>340</v>
      </c>
      <c r="D10">
        <v>59</v>
      </c>
      <c r="E10">
        <v>31</v>
      </c>
      <c r="F10">
        <v>38</v>
      </c>
      <c r="G10">
        <v>31.6</v>
      </c>
      <c r="H10" s="8">
        <f t="shared" si="0"/>
        <v>-0.60000000000000142</v>
      </c>
      <c r="I10" t="s">
        <v>327</v>
      </c>
      <c r="J10" s="9">
        <v>46311</v>
      </c>
      <c r="K10">
        <f>IF(J10="",0,COUNTIFS(Schedule!$B:$B,B10,Schedule!$A:$A,"&lt;"&amp;J10))</f>
        <v>0</v>
      </c>
      <c r="L10">
        <f t="shared" si="1"/>
        <v>82</v>
      </c>
      <c r="M10" s="2"/>
      <c r="N10" s="2"/>
      <c r="O10">
        <f t="shared" si="2"/>
        <v>59</v>
      </c>
      <c r="P10">
        <f t="shared" si="3"/>
        <v>31</v>
      </c>
      <c r="Q10" t="s">
        <v>344</v>
      </c>
    </row>
    <row r="11" spans="1:17" x14ac:dyDescent="0.2">
      <c r="A11" t="s">
        <v>50</v>
      </c>
      <c r="B11" t="s">
        <v>345</v>
      </c>
      <c r="C11" t="s">
        <v>326</v>
      </c>
      <c r="D11">
        <v>73</v>
      </c>
      <c r="E11">
        <v>31.7</v>
      </c>
      <c r="F11">
        <v>43</v>
      </c>
      <c r="G11">
        <v>30.9</v>
      </c>
      <c r="H11" s="8">
        <f t="shared" si="0"/>
        <v>0.80000000000000071</v>
      </c>
      <c r="J11" s="9"/>
      <c r="K11">
        <f>IF(J11="",0,COUNTIFS(Schedule!$B:$B,B11,Schedule!$A:$A,"&lt;"&amp;J11))</f>
        <v>0</v>
      </c>
      <c r="L11">
        <f t="shared" si="1"/>
        <v>82</v>
      </c>
      <c r="M11" s="2"/>
      <c r="N11" s="2"/>
      <c r="O11">
        <f t="shared" si="2"/>
        <v>73</v>
      </c>
      <c r="P11">
        <f t="shared" si="3"/>
        <v>31.7</v>
      </c>
    </row>
    <row r="12" spans="1:17" x14ac:dyDescent="0.2">
      <c r="A12" t="s">
        <v>73</v>
      </c>
      <c r="B12" t="s">
        <v>346</v>
      </c>
      <c r="C12" t="s">
        <v>333</v>
      </c>
      <c r="D12">
        <v>75</v>
      </c>
      <c r="E12">
        <v>35.9</v>
      </c>
      <c r="F12">
        <v>64</v>
      </c>
      <c r="G12">
        <v>33.5</v>
      </c>
      <c r="H12" s="8">
        <f t="shared" si="0"/>
        <v>2.3999999999999986</v>
      </c>
      <c r="I12" t="s">
        <v>327</v>
      </c>
      <c r="J12" s="9">
        <v>46309</v>
      </c>
      <c r="K12">
        <f>IF(J12="",0,COUNTIFS(Schedule!$B:$B,B12,Schedule!$A:$A,"&lt;"&amp;J12))</f>
        <v>0</v>
      </c>
      <c r="L12">
        <f t="shared" si="1"/>
        <v>82</v>
      </c>
      <c r="M12" s="2"/>
      <c r="N12" s="2"/>
      <c r="O12">
        <f t="shared" si="2"/>
        <v>75</v>
      </c>
      <c r="P12">
        <f t="shared" si="3"/>
        <v>35.9</v>
      </c>
      <c r="Q12" t="s">
        <v>347</v>
      </c>
    </row>
    <row r="13" spans="1:17" x14ac:dyDescent="0.2">
      <c r="A13" t="s">
        <v>46</v>
      </c>
      <c r="B13" t="s">
        <v>343</v>
      </c>
      <c r="C13" t="s">
        <v>333</v>
      </c>
      <c r="D13">
        <v>75</v>
      </c>
      <c r="E13">
        <v>35.9</v>
      </c>
      <c r="F13">
        <v>70</v>
      </c>
      <c r="G13">
        <v>38</v>
      </c>
      <c r="H13" s="8">
        <f t="shared" si="0"/>
        <v>-2.1000000000000014</v>
      </c>
      <c r="J13" s="9"/>
      <c r="K13">
        <f>IF(J13="",0,COUNTIFS(Schedule!$B:$B,B13,Schedule!$A:$A,"&lt;"&amp;J13))</f>
        <v>0</v>
      </c>
      <c r="L13">
        <f t="shared" si="1"/>
        <v>82</v>
      </c>
      <c r="M13" s="2"/>
      <c r="N13" s="2"/>
      <c r="O13">
        <f t="shared" si="2"/>
        <v>75</v>
      </c>
      <c r="P13">
        <f t="shared" si="3"/>
        <v>35.9</v>
      </c>
    </row>
    <row r="14" spans="1:17" x14ac:dyDescent="0.2">
      <c r="A14" t="s">
        <v>56</v>
      </c>
      <c r="B14" t="s">
        <v>348</v>
      </c>
      <c r="C14" t="s">
        <v>349</v>
      </c>
      <c r="D14">
        <v>75</v>
      </c>
      <c r="E14">
        <v>35.799999999999997</v>
      </c>
      <c r="F14">
        <v>78</v>
      </c>
      <c r="G14">
        <v>36.4</v>
      </c>
      <c r="H14" s="8">
        <f t="shared" si="0"/>
        <v>-0.60000000000000142</v>
      </c>
      <c r="I14" t="s">
        <v>327</v>
      </c>
      <c r="J14" s="9">
        <v>46310</v>
      </c>
      <c r="K14">
        <f>IF(J14="",0,COUNTIFS(Schedule!$B:$B,B14,Schedule!$A:$A,"&lt;"&amp;J14))</f>
        <v>0</v>
      </c>
      <c r="L14">
        <f t="shared" si="1"/>
        <v>82</v>
      </c>
      <c r="M14" s="2"/>
      <c r="N14" s="2"/>
      <c r="O14">
        <f t="shared" si="2"/>
        <v>75</v>
      </c>
      <c r="P14">
        <f t="shared" si="3"/>
        <v>35.799999999999997</v>
      </c>
      <c r="Q14" t="s">
        <v>350</v>
      </c>
    </row>
    <row r="15" spans="1:17" x14ac:dyDescent="0.2">
      <c r="A15" t="s">
        <v>45</v>
      </c>
      <c r="B15" t="s">
        <v>351</v>
      </c>
      <c r="C15" t="s">
        <v>340</v>
      </c>
      <c r="D15">
        <v>73</v>
      </c>
      <c r="E15">
        <v>31.9</v>
      </c>
      <c r="F15">
        <v>64</v>
      </c>
      <c r="G15">
        <v>29.2</v>
      </c>
      <c r="H15" s="8">
        <f t="shared" si="0"/>
        <v>2.6999999999999993</v>
      </c>
      <c r="J15" s="9"/>
      <c r="K15">
        <f>IF(J15="",0,COUNTIFS(Schedule!$B:$B,B15,Schedule!$A:$A,"&lt;"&amp;J15))</f>
        <v>0</v>
      </c>
      <c r="L15">
        <f t="shared" si="1"/>
        <v>82</v>
      </c>
      <c r="M15" s="2"/>
      <c r="N15" s="2"/>
      <c r="O15">
        <f t="shared" si="2"/>
        <v>73</v>
      </c>
      <c r="P15">
        <f t="shared" si="3"/>
        <v>31.9</v>
      </c>
    </row>
    <row r="16" spans="1:17" x14ac:dyDescent="0.2">
      <c r="A16" t="s">
        <v>117</v>
      </c>
      <c r="B16" t="s">
        <v>343</v>
      </c>
      <c r="C16" t="s">
        <v>349</v>
      </c>
      <c r="D16">
        <v>75</v>
      </c>
      <c r="E16">
        <v>33.5</v>
      </c>
      <c r="F16">
        <v>71</v>
      </c>
      <c r="G16">
        <v>34.4</v>
      </c>
      <c r="H16" s="8">
        <f t="shared" si="0"/>
        <v>-0.89999999999999858</v>
      </c>
      <c r="I16" t="s">
        <v>327</v>
      </c>
      <c r="J16" s="9">
        <v>46311</v>
      </c>
      <c r="K16">
        <f>IF(J16="",0,COUNTIFS(Schedule!$B:$B,B16,Schedule!$A:$A,"&lt;"&amp;J16))</f>
        <v>0</v>
      </c>
      <c r="L16">
        <f t="shared" si="1"/>
        <v>82</v>
      </c>
      <c r="M16" s="2"/>
      <c r="N16" s="2"/>
      <c r="O16">
        <f t="shared" si="2"/>
        <v>75</v>
      </c>
      <c r="P16">
        <f t="shared" si="3"/>
        <v>33.5</v>
      </c>
      <c r="Q16" t="s">
        <v>352</v>
      </c>
    </row>
    <row r="17" spans="1:17" x14ac:dyDescent="0.2">
      <c r="A17" t="s">
        <v>49</v>
      </c>
      <c r="B17" t="s">
        <v>353</v>
      </c>
      <c r="C17" t="s">
        <v>349</v>
      </c>
      <c r="D17">
        <v>69</v>
      </c>
      <c r="E17">
        <v>32.299999999999997</v>
      </c>
      <c r="F17">
        <v>65</v>
      </c>
      <c r="G17">
        <v>32.1</v>
      </c>
      <c r="H17" s="8">
        <f t="shared" si="0"/>
        <v>0.19999999999999574</v>
      </c>
      <c r="I17" t="s">
        <v>327</v>
      </c>
      <c r="J17" s="9">
        <v>46308</v>
      </c>
      <c r="K17">
        <f>IF(J17="",0,COUNTIFS(Schedule!$B:$B,B17,Schedule!$A:$A,"&lt;"&amp;J17))</f>
        <v>0</v>
      </c>
      <c r="L17">
        <f t="shared" si="1"/>
        <v>82</v>
      </c>
      <c r="M17" s="2"/>
      <c r="N17" s="2"/>
      <c r="O17">
        <f t="shared" si="2"/>
        <v>69</v>
      </c>
      <c r="P17">
        <f t="shared" si="3"/>
        <v>32.299999999999997</v>
      </c>
      <c r="Q17" t="s">
        <v>354</v>
      </c>
    </row>
    <row r="18" spans="1:17" x14ac:dyDescent="0.2">
      <c r="A18" t="s">
        <v>57</v>
      </c>
      <c r="B18" t="s">
        <v>355</v>
      </c>
      <c r="C18" t="s">
        <v>333</v>
      </c>
      <c r="D18">
        <v>74</v>
      </c>
      <c r="E18">
        <v>35.1</v>
      </c>
      <c r="F18">
        <v>64</v>
      </c>
      <c r="G18">
        <v>33.9</v>
      </c>
      <c r="H18" s="8">
        <f t="shared" si="0"/>
        <v>1.2000000000000028</v>
      </c>
      <c r="I18" t="s">
        <v>327</v>
      </c>
      <c r="J18" s="9">
        <v>46309</v>
      </c>
      <c r="K18">
        <f>IF(J18="",0,COUNTIFS(Schedule!$B:$B,B18,Schedule!$A:$A,"&lt;"&amp;J18))</f>
        <v>0</v>
      </c>
      <c r="L18">
        <f t="shared" si="1"/>
        <v>82</v>
      </c>
      <c r="M18" s="2"/>
      <c r="N18" s="2"/>
      <c r="O18">
        <f t="shared" si="2"/>
        <v>74</v>
      </c>
      <c r="P18">
        <f t="shared" si="3"/>
        <v>35.1</v>
      </c>
      <c r="Q18" t="s">
        <v>356</v>
      </c>
    </row>
    <row r="19" spans="1:17" x14ac:dyDescent="0.2">
      <c r="A19" t="s">
        <v>62</v>
      </c>
      <c r="B19" t="s">
        <v>357</v>
      </c>
      <c r="C19" t="s">
        <v>326</v>
      </c>
      <c r="D19">
        <v>69</v>
      </c>
      <c r="E19">
        <v>35</v>
      </c>
      <c r="H19" s="8" t="str">
        <f t="shared" si="0"/>
        <v/>
      </c>
      <c r="J19" s="9"/>
      <c r="K19">
        <f>IF(J19="",0,COUNTIFS(Schedule!$B:$B,B19,Schedule!$A:$A,"&lt;"&amp;J19))</f>
        <v>0</v>
      </c>
      <c r="L19">
        <f t="shared" si="1"/>
        <v>82</v>
      </c>
      <c r="M19" s="2"/>
      <c r="N19" s="2"/>
      <c r="O19">
        <f t="shared" si="2"/>
        <v>69</v>
      </c>
      <c r="P19">
        <f t="shared" si="3"/>
        <v>35</v>
      </c>
    </row>
    <row r="20" spans="1:17" x14ac:dyDescent="0.2">
      <c r="A20" t="s">
        <v>152</v>
      </c>
      <c r="B20" t="s">
        <v>358</v>
      </c>
      <c r="C20" t="s">
        <v>359</v>
      </c>
      <c r="D20">
        <v>74</v>
      </c>
      <c r="E20">
        <v>34.799999999999997</v>
      </c>
      <c r="F20">
        <v>72</v>
      </c>
      <c r="G20">
        <v>34.799999999999997</v>
      </c>
      <c r="H20" s="8">
        <f t="shared" si="0"/>
        <v>0</v>
      </c>
      <c r="J20" s="9"/>
      <c r="K20">
        <f>IF(J20="",0,COUNTIFS(Schedule!$B:$B,B20,Schedule!$A:$A,"&lt;"&amp;J20))</f>
        <v>0</v>
      </c>
      <c r="L20">
        <f t="shared" si="1"/>
        <v>82</v>
      </c>
      <c r="M20" s="2"/>
      <c r="N20" s="2"/>
      <c r="O20">
        <f t="shared" si="2"/>
        <v>74</v>
      </c>
      <c r="P20">
        <f t="shared" si="3"/>
        <v>34.799999999999997</v>
      </c>
    </row>
    <row r="21" spans="1:17" x14ac:dyDescent="0.2">
      <c r="A21" t="s">
        <v>63</v>
      </c>
      <c r="B21" t="s">
        <v>357</v>
      </c>
      <c r="C21" t="s">
        <v>349</v>
      </c>
      <c r="D21">
        <v>75</v>
      </c>
      <c r="E21">
        <v>34.700000000000003</v>
      </c>
      <c r="F21">
        <v>70</v>
      </c>
      <c r="G21">
        <v>33.5</v>
      </c>
      <c r="H21" s="8">
        <f t="shared" si="0"/>
        <v>1.2000000000000028</v>
      </c>
      <c r="J21" s="9"/>
      <c r="K21">
        <f>IF(J21="",0,COUNTIFS(Schedule!$B:$B,B21,Schedule!$A:$A,"&lt;"&amp;J21))</f>
        <v>0</v>
      </c>
      <c r="L21">
        <f t="shared" si="1"/>
        <v>82</v>
      </c>
      <c r="M21" s="2"/>
      <c r="N21" s="2"/>
      <c r="O21">
        <f t="shared" si="2"/>
        <v>75</v>
      </c>
      <c r="P21">
        <f t="shared" si="3"/>
        <v>34.700000000000003</v>
      </c>
    </row>
    <row r="22" spans="1:17" x14ac:dyDescent="0.2">
      <c r="A22" t="s">
        <v>76</v>
      </c>
      <c r="B22" t="s">
        <v>332</v>
      </c>
      <c r="C22" t="s">
        <v>335</v>
      </c>
      <c r="D22">
        <v>73</v>
      </c>
      <c r="E22">
        <v>35.799999999999997</v>
      </c>
      <c r="F22">
        <v>51</v>
      </c>
      <c r="G22">
        <v>34.5</v>
      </c>
      <c r="H22" s="8">
        <f t="shared" si="0"/>
        <v>1.2999999999999972</v>
      </c>
      <c r="J22" s="9"/>
      <c r="K22">
        <f>IF(J22="",0,COUNTIFS(Schedule!$B:$B,B22,Schedule!$A:$A,"&lt;"&amp;J22))</f>
        <v>0</v>
      </c>
      <c r="L22">
        <f t="shared" si="1"/>
        <v>82</v>
      </c>
      <c r="M22" s="2"/>
      <c r="N22" s="2"/>
      <c r="O22">
        <f t="shared" si="2"/>
        <v>73</v>
      </c>
      <c r="P22">
        <f t="shared" si="3"/>
        <v>35.799999999999997</v>
      </c>
    </row>
    <row r="23" spans="1:17" x14ac:dyDescent="0.2">
      <c r="A23" t="s">
        <v>64</v>
      </c>
      <c r="B23" t="s">
        <v>334</v>
      </c>
      <c r="C23" t="s">
        <v>326</v>
      </c>
      <c r="D23">
        <v>73</v>
      </c>
      <c r="E23">
        <v>31.3</v>
      </c>
      <c r="F23">
        <v>72</v>
      </c>
      <c r="G23">
        <v>28</v>
      </c>
      <c r="H23" s="8">
        <f t="shared" si="0"/>
        <v>3.3000000000000007</v>
      </c>
      <c r="I23" t="s">
        <v>327</v>
      </c>
      <c r="J23" s="9">
        <v>46307</v>
      </c>
      <c r="K23">
        <f>IF(J23="",0,COUNTIFS(Schedule!$B:$B,B23,Schedule!$A:$A,"&lt;"&amp;J23))</f>
        <v>0</v>
      </c>
      <c r="L23">
        <f t="shared" si="1"/>
        <v>82</v>
      </c>
      <c r="M23" s="2"/>
      <c r="N23" s="2"/>
      <c r="O23">
        <f t="shared" si="2"/>
        <v>73</v>
      </c>
      <c r="P23">
        <f t="shared" si="3"/>
        <v>31.3</v>
      </c>
      <c r="Q23" t="s">
        <v>360</v>
      </c>
    </row>
    <row r="24" spans="1:17" x14ac:dyDescent="0.2">
      <c r="A24" t="s">
        <v>61</v>
      </c>
      <c r="B24" t="s">
        <v>339</v>
      </c>
      <c r="C24" t="s">
        <v>326</v>
      </c>
      <c r="D24">
        <v>74</v>
      </c>
      <c r="E24">
        <v>35.700000000000003</v>
      </c>
      <c r="F24">
        <v>75</v>
      </c>
      <c r="G24">
        <v>35.4</v>
      </c>
      <c r="H24" s="8">
        <f t="shared" si="0"/>
        <v>0.30000000000000426</v>
      </c>
      <c r="J24" s="9"/>
      <c r="K24">
        <f>IF(J24="",0,COUNTIFS(Schedule!$B:$B,B24,Schedule!$A:$A,"&lt;"&amp;J24))</f>
        <v>0</v>
      </c>
      <c r="L24">
        <f t="shared" si="1"/>
        <v>82</v>
      </c>
      <c r="M24" s="2"/>
      <c r="N24" s="2"/>
      <c r="O24">
        <f t="shared" si="2"/>
        <v>74</v>
      </c>
      <c r="P24">
        <f t="shared" si="3"/>
        <v>35.700000000000003</v>
      </c>
    </row>
    <row r="25" spans="1:17" x14ac:dyDescent="0.2">
      <c r="A25" t="s">
        <v>114</v>
      </c>
      <c r="B25" t="s">
        <v>361</v>
      </c>
      <c r="C25" t="s">
        <v>349</v>
      </c>
      <c r="D25">
        <v>75</v>
      </c>
      <c r="E25">
        <v>33.700000000000003</v>
      </c>
      <c r="F25">
        <v>66</v>
      </c>
      <c r="G25">
        <v>33.299999999999997</v>
      </c>
      <c r="H25" s="8">
        <f t="shared" si="0"/>
        <v>0.40000000000000568</v>
      </c>
      <c r="J25" s="9"/>
      <c r="K25">
        <f>IF(J25="",0,COUNTIFS(Schedule!$B:$B,B25,Schedule!$A:$A,"&lt;"&amp;J25))</f>
        <v>0</v>
      </c>
      <c r="L25">
        <f t="shared" si="1"/>
        <v>82</v>
      </c>
      <c r="M25" s="2"/>
      <c r="N25" s="2"/>
      <c r="O25">
        <f t="shared" si="2"/>
        <v>75</v>
      </c>
      <c r="P25">
        <f t="shared" si="3"/>
        <v>33.700000000000003</v>
      </c>
    </row>
    <row r="26" spans="1:17" x14ac:dyDescent="0.2">
      <c r="A26" t="s">
        <v>84</v>
      </c>
      <c r="B26" t="s">
        <v>361</v>
      </c>
      <c r="C26" t="s">
        <v>326</v>
      </c>
      <c r="D26">
        <v>72</v>
      </c>
      <c r="E26">
        <v>33.5</v>
      </c>
      <c r="H26" s="8" t="str">
        <f t="shared" si="0"/>
        <v/>
      </c>
      <c r="J26" s="9"/>
      <c r="K26">
        <f>IF(J26="",0,COUNTIFS(Schedule!$B:$B,B26,Schedule!$A:$A,"&lt;"&amp;J26))</f>
        <v>0</v>
      </c>
      <c r="L26">
        <f t="shared" si="1"/>
        <v>82</v>
      </c>
      <c r="M26" s="2"/>
      <c r="N26" s="2"/>
      <c r="O26">
        <f t="shared" si="2"/>
        <v>72</v>
      </c>
      <c r="P26">
        <f t="shared" si="3"/>
        <v>33.5</v>
      </c>
    </row>
    <row r="27" spans="1:17" x14ac:dyDescent="0.2">
      <c r="A27" t="s">
        <v>87</v>
      </c>
      <c r="B27" t="s">
        <v>358</v>
      </c>
      <c r="C27" t="s">
        <v>359</v>
      </c>
      <c r="D27">
        <v>72</v>
      </c>
      <c r="E27">
        <v>33.4</v>
      </c>
      <c r="F27">
        <v>34</v>
      </c>
      <c r="G27">
        <v>30</v>
      </c>
      <c r="H27" s="8">
        <f t="shared" si="0"/>
        <v>3.3999999999999986</v>
      </c>
      <c r="J27" s="9"/>
      <c r="K27">
        <f>IF(J27="",0,COUNTIFS(Schedule!$B:$B,B27,Schedule!$A:$A,"&lt;"&amp;J27))</f>
        <v>0</v>
      </c>
      <c r="L27">
        <f t="shared" si="1"/>
        <v>82</v>
      </c>
      <c r="M27" s="2"/>
      <c r="N27" s="2"/>
      <c r="O27">
        <f t="shared" si="2"/>
        <v>72</v>
      </c>
      <c r="P27">
        <f t="shared" si="3"/>
        <v>33.4</v>
      </c>
    </row>
    <row r="28" spans="1:17" x14ac:dyDescent="0.2">
      <c r="A28" t="s">
        <v>74</v>
      </c>
      <c r="B28" t="s">
        <v>362</v>
      </c>
      <c r="C28" t="s">
        <v>338</v>
      </c>
      <c r="D28">
        <v>74</v>
      </c>
      <c r="E28">
        <v>33.200000000000003</v>
      </c>
      <c r="F28">
        <v>42</v>
      </c>
      <c r="G28">
        <v>34.4</v>
      </c>
      <c r="H28" s="8">
        <f t="shared" si="0"/>
        <v>-1.1999999999999957</v>
      </c>
      <c r="I28" t="s">
        <v>327</v>
      </c>
      <c r="J28" s="9">
        <v>46307</v>
      </c>
      <c r="K28">
        <f>IF(J28="",0,COUNTIFS(Schedule!$B:$B,B28,Schedule!$A:$A,"&lt;"&amp;J28))</f>
        <v>0</v>
      </c>
      <c r="L28">
        <f t="shared" si="1"/>
        <v>82</v>
      </c>
      <c r="M28" s="2"/>
      <c r="N28" s="2"/>
      <c r="O28">
        <f t="shared" si="2"/>
        <v>74</v>
      </c>
      <c r="P28">
        <f t="shared" si="3"/>
        <v>33.200000000000003</v>
      </c>
      <c r="Q28" t="s">
        <v>363</v>
      </c>
    </row>
    <row r="29" spans="1:17" x14ac:dyDescent="0.2">
      <c r="A29" t="s">
        <v>158</v>
      </c>
      <c r="B29" t="s">
        <v>364</v>
      </c>
      <c r="C29" t="s">
        <v>365</v>
      </c>
      <c r="D29">
        <v>69</v>
      </c>
      <c r="E29">
        <v>30</v>
      </c>
      <c r="F29">
        <v>62</v>
      </c>
      <c r="G29">
        <v>29.7</v>
      </c>
      <c r="H29" s="8">
        <f t="shared" si="0"/>
        <v>0.30000000000000071</v>
      </c>
      <c r="J29" s="9"/>
      <c r="K29">
        <f>IF(J29="",0,COUNTIFS(Schedule!$B:$B,B29,Schedule!$A:$A,"&lt;"&amp;J29))</f>
        <v>0</v>
      </c>
      <c r="L29">
        <f t="shared" si="1"/>
        <v>82</v>
      </c>
      <c r="M29" s="2"/>
      <c r="N29" s="2"/>
      <c r="O29">
        <f t="shared" si="2"/>
        <v>69</v>
      </c>
      <c r="P29">
        <f t="shared" si="3"/>
        <v>30</v>
      </c>
    </row>
    <row r="30" spans="1:17" x14ac:dyDescent="0.2">
      <c r="A30" t="s">
        <v>96</v>
      </c>
      <c r="B30" t="s">
        <v>366</v>
      </c>
      <c r="C30" t="s">
        <v>367</v>
      </c>
      <c r="D30">
        <v>76</v>
      </c>
      <c r="E30">
        <v>33.799999999999997</v>
      </c>
      <c r="F30">
        <v>62</v>
      </c>
      <c r="G30">
        <v>33.200000000000003</v>
      </c>
      <c r="H30" s="8">
        <f t="shared" si="0"/>
        <v>0.59999999999999432</v>
      </c>
      <c r="J30" s="9"/>
      <c r="K30">
        <f>IF(J30="",0,COUNTIFS(Schedule!$B:$B,B30,Schedule!$A:$A,"&lt;"&amp;J30))</f>
        <v>0</v>
      </c>
      <c r="L30">
        <f t="shared" si="1"/>
        <v>82</v>
      </c>
      <c r="M30" s="2"/>
      <c r="N30" s="2"/>
      <c r="O30">
        <f t="shared" si="2"/>
        <v>76</v>
      </c>
      <c r="P30">
        <f t="shared" si="3"/>
        <v>33.799999999999997</v>
      </c>
    </row>
    <row r="31" spans="1:17" x14ac:dyDescent="0.2">
      <c r="A31" t="s">
        <v>53</v>
      </c>
      <c r="B31" t="s">
        <v>368</v>
      </c>
      <c r="C31" t="s">
        <v>330</v>
      </c>
      <c r="D31">
        <v>70</v>
      </c>
      <c r="E31">
        <v>32.299999999999997</v>
      </c>
      <c r="F31">
        <v>20</v>
      </c>
      <c r="G31">
        <v>31.3</v>
      </c>
      <c r="H31" s="8">
        <f t="shared" si="0"/>
        <v>0.99999999999999645</v>
      </c>
      <c r="J31" s="9"/>
      <c r="K31">
        <f>IF(J31="",0,COUNTIFS(Schedule!$B:$B,B31,Schedule!$A:$A,"&lt;"&amp;J31))</f>
        <v>0</v>
      </c>
      <c r="L31">
        <f t="shared" si="1"/>
        <v>82</v>
      </c>
      <c r="M31" s="2"/>
      <c r="N31" s="2"/>
      <c r="O31">
        <f t="shared" si="2"/>
        <v>70</v>
      </c>
      <c r="P31">
        <f t="shared" si="3"/>
        <v>32.299999999999997</v>
      </c>
    </row>
    <row r="32" spans="1:17" x14ac:dyDescent="0.2">
      <c r="A32" t="s">
        <v>95</v>
      </c>
      <c r="B32" t="s">
        <v>369</v>
      </c>
      <c r="C32" t="s">
        <v>333</v>
      </c>
      <c r="D32">
        <v>73</v>
      </c>
      <c r="E32">
        <v>34.200000000000003</v>
      </c>
      <c r="F32">
        <v>33</v>
      </c>
      <c r="G32">
        <v>31.3</v>
      </c>
      <c r="H32" s="8">
        <f t="shared" si="0"/>
        <v>2.9000000000000021</v>
      </c>
      <c r="J32" s="9"/>
      <c r="K32">
        <f>IF(J32="",0,COUNTIFS(Schedule!$B:$B,B32,Schedule!$A:$A,"&lt;"&amp;J32))</f>
        <v>0</v>
      </c>
      <c r="L32">
        <f t="shared" si="1"/>
        <v>82</v>
      </c>
      <c r="M32" s="2"/>
      <c r="N32" s="2"/>
      <c r="O32">
        <f t="shared" si="2"/>
        <v>73</v>
      </c>
      <c r="P32">
        <f t="shared" si="3"/>
        <v>34.200000000000003</v>
      </c>
    </row>
    <row r="33" spans="1:17" x14ac:dyDescent="0.2">
      <c r="A33" t="s">
        <v>125</v>
      </c>
      <c r="B33" t="s">
        <v>370</v>
      </c>
      <c r="C33" t="s">
        <v>371</v>
      </c>
      <c r="D33">
        <v>74</v>
      </c>
      <c r="E33">
        <v>32.5</v>
      </c>
      <c r="F33">
        <v>58</v>
      </c>
      <c r="G33">
        <v>29.6</v>
      </c>
      <c r="H33" s="8">
        <f t="shared" si="0"/>
        <v>2.8999999999999986</v>
      </c>
      <c r="J33" s="9"/>
      <c r="K33">
        <f>IF(J33="",0,COUNTIFS(Schedule!$B:$B,B33,Schedule!$A:$A,"&lt;"&amp;J33))</f>
        <v>0</v>
      </c>
      <c r="L33">
        <f t="shared" si="1"/>
        <v>82</v>
      </c>
      <c r="M33" s="2"/>
      <c r="N33" s="2"/>
      <c r="O33">
        <f t="shared" si="2"/>
        <v>74</v>
      </c>
      <c r="P33">
        <f t="shared" si="3"/>
        <v>32.5</v>
      </c>
    </row>
    <row r="34" spans="1:17" x14ac:dyDescent="0.2">
      <c r="A34" t="s">
        <v>98</v>
      </c>
      <c r="B34" t="s">
        <v>343</v>
      </c>
      <c r="C34" t="s">
        <v>338</v>
      </c>
      <c r="D34">
        <v>68</v>
      </c>
      <c r="E34">
        <v>32.799999999999997</v>
      </c>
      <c r="F34">
        <v>60</v>
      </c>
      <c r="G34">
        <v>33.1</v>
      </c>
      <c r="H34" s="8">
        <f t="shared" si="0"/>
        <v>-0.30000000000000426</v>
      </c>
      <c r="I34" t="s">
        <v>327</v>
      </c>
      <c r="J34" s="9">
        <v>46311</v>
      </c>
      <c r="K34">
        <f>IF(J34="",0,COUNTIFS(Schedule!$B:$B,B34,Schedule!$A:$A,"&lt;"&amp;J34))</f>
        <v>0</v>
      </c>
      <c r="L34">
        <f t="shared" si="1"/>
        <v>82</v>
      </c>
      <c r="M34" s="2"/>
      <c r="N34" s="2"/>
      <c r="O34">
        <f t="shared" si="2"/>
        <v>68</v>
      </c>
      <c r="P34">
        <f t="shared" si="3"/>
        <v>32.799999999999997</v>
      </c>
      <c r="Q34" t="s">
        <v>372</v>
      </c>
    </row>
    <row r="35" spans="1:17" x14ac:dyDescent="0.2">
      <c r="A35" t="s">
        <v>149</v>
      </c>
      <c r="B35" t="s">
        <v>373</v>
      </c>
      <c r="C35" t="s">
        <v>374</v>
      </c>
      <c r="D35">
        <v>64</v>
      </c>
      <c r="E35">
        <v>34.200000000000003</v>
      </c>
      <c r="F35">
        <v>77</v>
      </c>
      <c r="G35">
        <v>33.799999999999997</v>
      </c>
      <c r="H35" s="8">
        <f t="shared" si="0"/>
        <v>0.40000000000000568</v>
      </c>
      <c r="I35" t="s">
        <v>375</v>
      </c>
      <c r="J35" s="9">
        <v>46327</v>
      </c>
      <c r="K35">
        <f>IF(J35="",0,COUNTIFS(Schedule!$B:$B,B35,Schedule!$A:$A,"&lt;"&amp;J35))</f>
        <v>5</v>
      </c>
      <c r="L35">
        <f t="shared" si="1"/>
        <v>77</v>
      </c>
      <c r="M35" s="2"/>
      <c r="N35" s="2"/>
      <c r="O35">
        <f t="shared" si="2"/>
        <v>64</v>
      </c>
      <c r="P35">
        <f t="shared" si="3"/>
        <v>34.200000000000003</v>
      </c>
      <c r="Q35" t="s">
        <v>376</v>
      </c>
    </row>
    <row r="36" spans="1:17" x14ac:dyDescent="0.2">
      <c r="A36" t="s">
        <v>60</v>
      </c>
      <c r="B36" t="s">
        <v>377</v>
      </c>
      <c r="C36" t="s">
        <v>359</v>
      </c>
      <c r="D36">
        <v>75</v>
      </c>
      <c r="E36">
        <v>36.299999999999997</v>
      </c>
      <c r="F36">
        <v>72</v>
      </c>
      <c r="G36">
        <v>35.200000000000003</v>
      </c>
      <c r="H36" s="8">
        <f t="shared" si="0"/>
        <v>1.0999999999999943</v>
      </c>
      <c r="J36" s="9"/>
      <c r="K36">
        <f>IF(J36="",0,COUNTIFS(Schedule!$B:$B,B36,Schedule!$A:$A,"&lt;"&amp;J36))</f>
        <v>0</v>
      </c>
      <c r="L36">
        <f t="shared" si="1"/>
        <v>82</v>
      </c>
      <c r="M36" s="2"/>
      <c r="N36" s="2"/>
      <c r="O36">
        <f t="shared" si="2"/>
        <v>75</v>
      </c>
      <c r="P36">
        <f t="shared" si="3"/>
        <v>36.299999999999997</v>
      </c>
    </row>
    <row r="37" spans="1:17" x14ac:dyDescent="0.2">
      <c r="A37" t="s">
        <v>136</v>
      </c>
      <c r="B37" t="s">
        <v>368</v>
      </c>
      <c r="C37" t="s">
        <v>326</v>
      </c>
      <c r="D37">
        <v>75</v>
      </c>
      <c r="E37">
        <v>34.4</v>
      </c>
      <c r="F37">
        <v>15</v>
      </c>
      <c r="G37">
        <v>25.6</v>
      </c>
      <c r="H37" s="8">
        <f t="shared" si="0"/>
        <v>8.7999999999999972</v>
      </c>
      <c r="J37" s="9"/>
      <c r="K37">
        <f>IF(J37="",0,COUNTIFS(Schedule!$B:$B,B37,Schedule!$A:$A,"&lt;"&amp;J37))</f>
        <v>0</v>
      </c>
      <c r="L37">
        <f t="shared" si="1"/>
        <v>82</v>
      </c>
      <c r="M37" s="2"/>
      <c r="N37" s="2"/>
      <c r="O37">
        <f t="shared" si="2"/>
        <v>75</v>
      </c>
      <c r="P37">
        <f t="shared" si="3"/>
        <v>34.4</v>
      </c>
    </row>
    <row r="38" spans="1:17" x14ac:dyDescent="0.2">
      <c r="A38" t="s">
        <v>54</v>
      </c>
      <c r="B38" t="s">
        <v>342</v>
      </c>
      <c r="C38" t="s">
        <v>330</v>
      </c>
      <c r="D38">
        <v>74</v>
      </c>
      <c r="E38">
        <v>32.799999999999997</v>
      </c>
      <c r="F38">
        <v>75</v>
      </c>
      <c r="G38">
        <v>31</v>
      </c>
      <c r="H38" s="8">
        <f t="shared" si="0"/>
        <v>1.7999999999999972</v>
      </c>
      <c r="J38" s="9"/>
      <c r="K38">
        <f>IF(J38="",0,COUNTIFS(Schedule!$B:$B,B38,Schedule!$A:$A,"&lt;"&amp;J38))</f>
        <v>0</v>
      </c>
      <c r="L38">
        <f t="shared" si="1"/>
        <v>82</v>
      </c>
      <c r="M38" s="2"/>
      <c r="N38" s="2"/>
      <c r="O38">
        <f t="shared" si="2"/>
        <v>74</v>
      </c>
      <c r="P38">
        <f t="shared" si="3"/>
        <v>32.799999999999997</v>
      </c>
    </row>
    <row r="39" spans="1:17" x14ac:dyDescent="0.2">
      <c r="A39" t="s">
        <v>94</v>
      </c>
      <c r="B39" t="s">
        <v>378</v>
      </c>
      <c r="C39" t="s">
        <v>349</v>
      </c>
      <c r="D39">
        <v>73</v>
      </c>
      <c r="E39">
        <v>32.799999999999997</v>
      </c>
      <c r="F39">
        <v>65</v>
      </c>
      <c r="G39">
        <v>30.3</v>
      </c>
      <c r="H39" s="8">
        <f t="shared" si="0"/>
        <v>2.4999999999999964</v>
      </c>
      <c r="J39" s="9"/>
      <c r="K39">
        <f>IF(J39="",0,COUNTIFS(Schedule!$B:$B,B39,Schedule!$A:$A,"&lt;"&amp;J39))</f>
        <v>0</v>
      </c>
      <c r="L39">
        <f t="shared" si="1"/>
        <v>82</v>
      </c>
      <c r="M39" s="2"/>
      <c r="N39" s="2"/>
      <c r="O39">
        <f t="shared" si="2"/>
        <v>73</v>
      </c>
      <c r="P39">
        <f t="shared" si="3"/>
        <v>32.799999999999997</v>
      </c>
    </row>
    <row r="40" spans="1:17" x14ac:dyDescent="0.2">
      <c r="A40" t="s">
        <v>103</v>
      </c>
      <c r="B40" t="s">
        <v>379</v>
      </c>
      <c r="C40" t="s">
        <v>338</v>
      </c>
      <c r="D40">
        <v>74</v>
      </c>
      <c r="E40">
        <v>32.9</v>
      </c>
      <c r="F40">
        <v>52</v>
      </c>
      <c r="G40">
        <v>32.5</v>
      </c>
      <c r="H40" s="8">
        <f t="shared" si="0"/>
        <v>0.39999999999999858</v>
      </c>
      <c r="I40" t="s">
        <v>327</v>
      </c>
      <c r="J40" s="9">
        <v>46307</v>
      </c>
      <c r="K40">
        <f>IF(J40="",0,COUNTIFS(Schedule!$B:$B,B40,Schedule!$A:$A,"&lt;"&amp;J40))</f>
        <v>0</v>
      </c>
      <c r="L40">
        <f t="shared" si="1"/>
        <v>82</v>
      </c>
      <c r="M40" s="2"/>
      <c r="N40" s="2"/>
      <c r="O40">
        <f t="shared" si="2"/>
        <v>74</v>
      </c>
      <c r="P40">
        <f t="shared" si="3"/>
        <v>32.9</v>
      </c>
      <c r="Q40" t="s">
        <v>380</v>
      </c>
    </row>
    <row r="41" spans="1:17" x14ac:dyDescent="0.2">
      <c r="A41" t="s">
        <v>169</v>
      </c>
      <c r="B41" t="s">
        <v>361</v>
      </c>
      <c r="C41" t="s">
        <v>326</v>
      </c>
      <c r="D41">
        <v>72</v>
      </c>
      <c r="E41">
        <v>29.4</v>
      </c>
      <c r="F41">
        <v>20</v>
      </c>
      <c r="G41">
        <v>28.4</v>
      </c>
      <c r="H41" s="8">
        <f t="shared" si="0"/>
        <v>1</v>
      </c>
      <c r="J41" s="9"/>
      <c r="K41">
        <f>IF(J41="",0,COUNTIFS(Schedule!$B:$B,B41,Schedule!$A:$A,"&lt;"&amp;J41))</f>
        <v>0</v>
      </c>
      <c r="L41">
        <f t="shared" si="1"/>
        <v>82</v>
      </c>
      <c r="M41" s="2"/>
      <c r="N41" s="2"/>
      <c r="O41">
        <f t="shared" si="2"/>
        <v>72</v>
      </c>
      <c r="P41">
        <f t="shared" si="3"/>
        <v>29.4</v>
      </c>
    </row>
    <row r="42" spans="1:17" x14ac:dyDescent="0.2">
      <c r="A42" t="s">
        <v>59</v>
      </c>
      <c r="B42" t="s">
        <v>341</v>
      </c>
      <c r="C42" t="s">
        <v>333</v>
      </c>
      <c r="D42">
        <v>76</v>
      </c>
      <c r="E42">
        <v>33.5</v>
      </c>
      <c r="F42">
        <v>70</v>
      </c>
      <c r="G42">
        <v>34.799999999999997</v>
      </c>
      <c r="H42" s="8">
        <f t="shared" si="0"/>
        <v>-1.2999999999999972</v>
      </c>
      <c r="J42" s="9"/>
      <c r="K42">
        <f>IF(J42="",0,COUNTIFS(Schedule!$B:$B,B42,Schedule!$A:$A,"&lt;"&amp;J42))</f>
        <v>0</v>
      </c>
      <c r="L42">
        <f t="shared" si="1"/>
        <v>82</v>
      </c>
      <c r="M42" s="2"/>
      <c r="N42" s="2"/>
      <c r="O42">
        <f t="shared" si="2"/>
        <v>76</v>
      </c>
      <c r="P42">
        <f t="shared" si="3"/>
        <v>33.5</v>
      </c>
    </row>
    <row r="43" spans="1:17" x14ac:dyDescent="0.2">
      <c r="A43" t="s">
        <v>79</v>
      </c>
      <c r="B43" t="s">
        <v>325</v>
      </c>
      <c r="C43" t="s">
        <v>349</v>
      </c>
      <c r="D43">
        <v>74</v>
      </c>
      <c r="E43">
        <v>32.200000000000003</v>
      </c>
      <c r="F43">
        <v>33</v>
      </c>
      <c r="G43">
        <v>28.4</v>
      </c>
      <c r="H43" s="8">
        <f t="shared" si="0"/>
        <v>3.8000000000000043</v>
      </c>
      <c r="I43" t="s">
        <v>327</v>
      </c>
      <c r="J43" s="9">
        <v>46308</v>
      </c>
      <c r="K43">
        <f>IF(J43="",0,COUNTIFS(Schedule!$B:$B,B43,Schedule!$A:$A,"&lt;"&amp;J43))</f>
        <v>0</v>
      </c>
      <c r="L43">
        <f t="shared" si="1"/>
        <v>82</v>
      </c>
      <c r="M43" s="2"/>
      <c r="N43" s="2"/>
      <c r="O43">
        <f t="shared" si="2"/>
        <v>74</v>
      </c>
      <c r="P43">
        <f t="shared" si="3"/>
        <v>32.200000000000003</v>
      </c>
      <c r="Q43" t="s">
        <v>381</v>
      </c>
    </row>
    <row r="44" spans="1:17" x14ac:dyDescent="0.2">
      <c r="A44" t="s">
        <v>154</v>
      </c>
      <c r="B44" t="s">
        <v>346</v>
      </c>
      <c r="C44" t="s">
        <v>382</v>
      </c>
      <c r="D44">
        <v>74</v>
      </c>
      <c r="E44">
        <v>32</v>
      </c>
      <c r="F44">
        <v>32</v>
      </c>
      <c r="G44">
        <v>25.9</v>
      </c>
      <c r="H44" s="8">
        <f t="shared" si="0"/>
        <v>6.1000000000000014</v>
      </c>
      <c r="J44" s="9"/>
      <c r="K44">
        <f>IF(J44="",0,COUNTIFS(Schedule!$B:$B,B44,Schedule!$A:$A,"&lt;"&amp;J44))</f>
        <v>0</v>
      </c>
      <c r="L44">
        <f t="shared" si="1"/>
        <v>82</v>
      </c>
      <c r="M44" s="2"/>
      <c r="N44" s="2"/>
      <c r="O44">
        <f t="shared" si="2"/>
        <v>74</v>
      </c>
      <c r="P44">
        <f t="shared" si="3"/>
        <v>32</v>
      </c>
    </row>
    <row r="45" spans="1:17" x14ac:dyDescent="0.2">
      <c r="A45" t="s">
        <v>110</v>
      </c>
      <c r="B45" t="s">
        <v>362</v>
      </c>
      <c r="C45" t="s">
        <v>330</v>
      </c>
      <c r="D45">
        <v>70</v>
      </c>
      <c r="E45">
        <v>31</v>
      </c>
      <c r="F45">
        <v>48</v>
      </c>
      <c r="G45">
        <v>30.3</v>
      </c>
      <c r="H45" s="8">
        <f t="shared" si="0"/>
        <v>0.69999999999999929</v>
      </c>
      <c r="J45" s="9"/>
      <c r="K45">
        <f>IF(J45="",0,COUNTIFS(Schedule!$B:$B,B45,Schedule!$A:$A,"&lt;"&amp;J45))</f>
        <v>0</v>
      </c>
      <c r="L45">
        <f t="shared" si="1"/>
        <v>82</v>
      </c>
      <c r="M45" s="2"/>
      <c r="N45" s="2"/>
      <c r="O45">
        <f t="shared" si="2"/>
        <v>70</v>
      </c>
      <c r="P45">
        <f t="shared" si="3"/>
        <v>31</v>
      </c>
    </row>
    <row r="46" spans="1:17" x14ac:dyDescent="0.2">
      <c r="A46" t="s">
        <v>138</v>
      </c>
      <c r="B46" t="s">
        <v>378</v>
      </c>
      <c r="C46" t="s">
        <v>333</v>
      </c>
      <c r="D46">
        <v>75</v>
      </c>
      <c r="E46">
        <v>34.1</v>
      </c>
      <c r="F46">
        <v>50</v>
      </c>
      <c r="G46">
        <v>25</v>
      </c>
      <c r="H46" s="8">
        <f t="shared" si="0"/>
        <v>9.1000000000000014</v>
      </c>
      <c r="I46" t="s">
        <v>327</v>
      </c>
      <c r="J46" s="9">
        <v>46316</v>
      </c>
      <c r="K46">
        <f>IF(J46="",0,COUNTIFS(Schedule!$B:$B,B46,Schedule!$A:$A,"&lt;"&amp;J46))</f>
        <v>0</v>
      </c>
      <c r="L46">
        <f t="shared" si="1"/>
        <v>82</v>
      </c>
      <c r="M46" s="2"/>
      <c r="N46" s="2"/>
      <c r="O46">
        <f t="shared" si="2"/>
        <v>75</v>
      </c>
      <c r="P46">
        <f t="shared" si="3"/>
        <v>34.1</v>
      </c>
      <c r="Q46" t="s">
        <v>383</v>
      </c>
    </row>
    <row r="47" spans="1:17" x14ac:dyDescent="0.2">
      <c r="A47" t="s">
        <v>134</v>
      </c>
      <c r="B47" t="s">
        <v>362</v>
      </c>
      <c r="C47" t="s">
        <v>333</v>
      </c>
      <c r="D47">
        <v>73</v>
      </c>
      <c r="E47">
        <v>32.9</v>
      </c>
      <c r="F47">
        <v>54</v>
      </c>
      <c r="G47">
        <v>33.1</v>
      </c>
      <c r="H47" s="8">
        <f t="shared" si="0"/>
        <v>-0.20000000000000284</v>
      </c>
      <c r="J47" s="9"/>
      <c r="K47">
        <f>IF(J47="",0,COUNTIFS(Schedule!$B:$B,B47,Schedule!$A:$A,"&lt;"&amp;J47))</f>
        <v>0</v>
      </c>
      <c r="L47">
        <f t="shared" si="1"/>
        <v>82</v>
      </c>
      <c r="M47" s="2"/>
      <c r="N47" s="2"/>
      <c r="O47">
        <f t="shared" si="2"/>
        <v>73</v>
      </c>
      <c r="P47">
        <f t="shared" si="3"/>
        <v>32.9</v>
      </c>
    </row>
    <row r="48" spans="1:17" x14ac:dyDescent="0.2">
      <c r="A48" t="s">
        <v>65</v>
      </c>
      <c r="B48" t="s">
        <v>364</v>
      </c>
      <c r="C48" t="s">
        <v>349</v>
      </c>
      <c r="D48">
        <v>73</v>
      </c>
      <c r="E48">
        <v>34.200000000000003</v>
      </c>
      <c r="F48">
        <v>66</v>
      </c>
      <c r="G48">
        <v>35.5</v>
      </c>
      <c r="H48" s="8">
        <f t="shared" si="0"/>
        <v>-1.2999999999999972</v>
      </c>
      <c r="J48" s="9"/>
      <c r="K48">
        <f>IF(J48="",0,COUNTIFS(Schedule!$B:$B,B48,Schedule!$A:$A,"&lt;"&amp;J48))</f>
        <v>0</v>
      </c>
      <c r="L48">
        <f t="shared" si="1"/>
        <v>82</v>
      </c>
      <c r="M48" s="2"/>
      <c r="N48" s="2"/>
      <c r="O48">
        <f t="shared" si="2"/>
        <v>73</v>
      </c>
      <c r="P48">
        <f t="shared" si="3"/>
        <v>34.200000000000003</v>
      </c>
    </row>
    <row r="49" spans="1:17" x14ac:dyDescent="0.2">
      <c r="A49" t="s">
        <v>101</v>
      </c>
      <c r="B49" t="s">
        <v>373</v>
      </c>
      <c r="C49" t="s">
        <v>326</v>
      </c>
      <c r="D49">
        <v>74</v>
      </c>
      <c r="E49">
        <v>32.700000000000003</v>
      </c>
      <c r="F49">
        <v>45</v>
      </c>
      <c r="G49">
        <v>29.9</v>
      </c>
      <c r="H49" s="8">
        <f t="shared" si="0"/>
        <v>2.8000000000000043</v>
      </c>
      <c r="J49" s="9"/>
      <c r="K49">
        <f>IF(J49="",0,COUNTIFS(Schedule!$B:$B,B49,Schedule!$A:$A,"&lt;"&amp;J49))</f>
        <v>0</v>
      </c>
      <c r="L49">
        <f t="shared" si="1"/>
        <v>82</v>
      </c>
      <c r="M49" s="2"/>
      <c r="N49" s="2"/>
      <c r="O49">
        <f t="shared" si="2"/>
        <v>74</v>
      </c>
      <c r="P49">
        <f t="shared" si="3"/>
        <v>32.700000000000003</v>
      </c>
    </row>
    <row r="50" spans="1:17" x14ac:dyDescent="0.2">
      <c r="A50" t="s">
        <v>109</v>
      </c>
      <c r="B50" t="s">
        <v>368</v>
      </c>
      <c r="C50" t="s">
        <v>384</v>
      </c>
      <c r="D50">
        <v>75</v>
      </c>
      <c r="E50">
        <v>32.5</v>
      </c>
      <c r="H50" s="8" t="str">
        <f t="shared" si="0"/>
        <v/>
      </c>
      <c r="J50" s="9"/>
      <c r="K50">
        <f>IF(J50="",0,COUNTIFS(Schedule!$B:$B,B50,Schedule!$A:$A,"&lt;"&amp;J50))</f>
        <v>0</v>
      </c>
      <c r="L50">
        <f t="shared" si="1"/>
        <v>82</v>
      </c>
      <c r="M50" s="2"/>
      <c r="N50" s="2"/>
      <c r="O50">
        <f t="shared" si="2"/>
        <v>75</v>
      </c>
      <c r="P50">
        <f t="shared" si="3"/>
        <v>32.5</v>
      </c>
    </row>
    <row r="51" spans="1:17" x14ac:dyDescent="0.2">
      <c r="A51" t="s">
        <v>151</v>
      </c>
      <c r="B51" t="s">
        <v>385</v>
      </c>
      <c r="C51" t="s">
        <v>335</v>
      </c>
      <c r="D51">
        <v>70</v>
      </c>
      <c r="E51">
        <v>33.1</v>
      </c>
      <c r="F51">
        <v>39</v>
      </c>
      <c r="G51">
        <v>31.4</v>
      </c>
      <c r="H51" s="8">
        <f t="shared" si="0"/>
        <v>1.7000000000000028</v>
      </c>
      <c r="J51" s="9"/>
      <c r="K51">
        <f>IF(J51="",0,COUNTIFS(Schedule!$B:$B,B51,Schedule!$A:$A,"&lt;"&amp;J51))</f>
        <v>0</v>
      </c>
      <c r="L51">
        <f t="shared" si="1"/>
        <v>82</v>
      </c>
      <c r="M51" s="2"/>
      <c r="N51" s="2"/>
      <c r="O51">
        <f t="shared" si="2"/>
        <v>70</v>
      </c>
      <c r="P51">
        <f t="shared" si="3"/>
        <v>33.1</v>
      </c>
    </row>
    <row r="52" spans="1:17" x14ac:dyDescent="0.2">
      <c r="A52" t="s">
        <v>215</v>
      </c>
      <c r="B52" t="s">
        <v>353</v>
      </c>
      <c r="C52" t="s">
        <v>349</v>
      </c>
      <c r="D52">
        <v>72</v>
      </c>
      <c r="E52">
        <v>31.3</v>
      </c>
      <c r="F52">
        <v>57</v>
      </c>
      <c r="G52">
        <v>30.3</v>
      </c>
      <c r="H52" s="8">
        <f t="shared" si="0"/>
        <v>1</v>
      </c>
      <c r="J52" s="9"/>
      <c r="K52">
        <f>IF(J52="",0,COUNTIFS(Schedule!$B:$B,B52,Schedule!$A:$A,"&lt;"&amp;J52))</f>
        <v>0</v>
      </c>
      <c r="L52">
        <f t="shared" si="1"/>
        <v>82</v>
      </c>
      <c r="M52" s="2"/>
      <c r="N52" s="2"/>
      <c r="O52">
        <f t="shared" si="2"/>
        <v>72</v>
      </c>
      <c r="P52">
        <f t="shared" si="3"/>
        <v>31.3</v>
      </c>
    </row>
    <row r="53" spans="1:17" x14ac:dyDescent="0.2">
      <c r="A53" t="s">
        <v>71</v>
      </c>
      <c r="B53" t="s">
        <v>329</v>
      </c>
      <c r="C53" t="s">
        <v>365</v>
      </c>
      <c r="D53">
        <v>76</v>
      </c>
      <c r="E53">
        <v>32.9</v>
      </c>
      <c r="F53">
        <v>73</v>
      </c>
      <c r="G53">
        <v>32.4</v>
      </c>
      <c r="H53" s="8">
        <f t="shared" si="0"/>
        <v>0.5</v>
      </c>
      <c r="I53" t="s">
        <v>327</v>
      </c>
      <c r="J53" s="9">
        <v>46309</v>
      </c>
      <c r="K53">
        <f>IF(J53="",0,COUNTIFS(Schedule!$B:$B,B53,Schedule!$A:$A,"&lt;"&amp;J53))</f>
        <v>0</v>
      </c>
      <c r="L53">
        <f t="shared" si="1"/>
        <v>82</v>
      </c>
      <c r="M53" s="2"/>
      <c r="N53" s="2"/>
      <c r="O53">
        <f t="shared" si="2"/>
        <v>76</v>
      </c>
      <c r="P53">
        <f t="shared" si="3"/>
        <v>32.9</v>
      </c>
      <c r="Q53" t="s">
        <v>386</v>
      </c>
    </row>
    <row r="54" spans="1:17" x14ac:dyDescent="0.2">
      <c r="A54" t="s">
        <v>170</v>
      </c>
      <c r="B54" t="s">
        <v>379</v>
      </c>
      <c r="C54" t="s">
        <v>387</v>
      </c>
      <c r="D54">
        <v>75</v>
      </c>
      <c r="E54">
        <v>33.6</v>
      </c>
      <c r="F54">
        <v>79</v>
      </c>
      <c r="G54">
        <v>33</v>
      </c>
      <c r="H54" s="8">
        <f t="shared" si="0"/>
        <v>0.60000000000000142</v>
      </c>
      <c r="J54" s="9"/>
      <c r="K54">
        <f>IF(J54="",0,COUNTIFS(Schedule!$B:$B,B54,Schedule!$A:$A,"&lt;"&amp;J54))</f>
        <v>0</v>
      </c>
      <c r="L54">
        <f t="shared" si="1"/>
        <v>82</v>
      </c>
      <c r="M54" s="2"/>
      <c r="N54" s="2"/>
      <c r="O54">
        <f t="shared" si="2"/>
        <v>75</v>
      </c>
      <c r="P54">
        <f t="shared" si="3"/>
        <v>33.6</v>
      </c>
    </row>
    <row r="55" spans="1:17" x14ac:dyDescent="0.2">
      <c r="A55" t="s">
        <v>99</v>
      </c>
      <c r="B55" t="s">
        <v>348</v>
      </c>
      <c r="C55" t="s">
        <v>365</v>
      </c>
      <c r="D55">
        <v>75</v>
      </c>
      <c r="E55">
        <v>32.799999999999997</v>
      </c>
      <c r="F55">
        <v>72</v>
      </c>
      <c r="G55">
        <v>33.299999999999997</v>
      </c>
      <c r="H55" s="8">
        <f t="shared" si="0"/>
        <v>-0.5</v>
      </c>
      <c r="I55" t="s">
        <v>327</v>
      </c>
      <c r="J55" s="9">
        <v>46310</v>
      </c>
      <c r="K55">
        <f>IF(J55="",0,COUNTIFS(Schedule!$B:$B,B55,Schedule!$A:$A,"&lt;"&amp;J55))</f>
        <v>0</v>
      </c>
      <c r="L55">
        <f t="shared" si="1"/>
        <v>82</v>
      </c>
      <c r="M55" s="2"/>
      <c r="N55" s="2"/>
      <c r="O55">
        <f t="shared" si="2"/>
        <v>75</v>
      </c>
      <c r="P55">
        <f t="shared" si="3"/>
        <v>32.799999999999997</v>
      </c>
      <c r="Q55" t="s">
        <v>388</v>
      </c>
    </row>
    <row r="56" spans="1:17" x14ac:dyDescent="0.2">
      <c r="A56" t="s">
        <v>75</v>
      </c>
      <c r="B56" t="s">
        <v>358</v>
      </c>
      <c r="C56" t="s">
        <v>371</v>
      </c>
      <c r="D56">
        <v>75</v>
      </c>
      <c r="E56">
        <v>33.299999999999997</v>
      </c>
      <c r="F56">
        <v>82</v>
      </c>
      <c r="G56">
        <v>33.6</v>
      </c>
      <c r="H56" s="8">
        <f t="shared" si="0"/>
        <v>-0.30000000000000426</v>
      </c>
      <c r="I56" t="s">
        <v>327</v>
      </c>
      <c r="J56" s="9">
        <v>46308</v>
      </c>
      <c r="K56">
        <f>IF(J56="",0,COUNTIFS(Schedule!$B:$B,B56,Schedule!$A:$A,"&lt;"&amp;J56))</f>
        <v>0</v>
      </c>
      <c r="L56">
        <f t="shared" si="1"/>
        <v>82</v>
      </c>
      <c r="M56" s="2"/>
      <c r="N56" s="2"/>
      <c r="O56">
        <f t="shared" si="2"/>
        <v>75</v>
      </c>
      <c r="P56">
        <f t="shared" si="3"/>
        <v>33.299999999999997</v>
      </c>
      <c r="Q56" t="s">
        <v>389</v>
      </c>
    </row>
    <row r="57" spans="1:17" x14ac:dyDescent="0.2">
      <c r="A57" t="s">
        <v>112</v>
      </c>
      <c r="B57" t="s">
        <v>351</v>
      </c>
      <c r="C57" t="s">
        <v>333</v>
      </c>
      <c r="D57">
        <v>75</v>
      </c>
      <c r="E57">
        <v>31.3</v>
      </c>
      <c r="F57">
        <v>72</v>
      </c>
      <c r="G57">
        <v>31</v>
      </c>
      <c r="H57" s="8">
        <f t="shared" si="0"/>
        <v>0.30000000000000071</v>
      </c>
      <c r="I57" t="s">
        <v>327</v>
      </c>
      <c r="J57" s="9">
        <v>46307</v>
      </c>
      <c r="K57">
        <f>IF(J57="",0,COUNTIFS(Schedule!$B:$B,B57,Schedule!$A:$A,"&lt;"&amp;J57))</f>
        <v>0</v>
      </c>
      <c r="L57">
        <f t="shared" si="1"/>
        <v>82</v>
      </c>
      <c r="M57" s="2"/>
      <c r="N57" s="2"/>
      <c r="O57">
        <f t="shared" si="2"/>
        <v>75</v>
      </c>
      <c r="P57">
        <f t="shared" si="3"/>
        <v>31.3</v>
      </c>
      <c r="Q57" t="s">
        <v>390</v>
      </c>
    </row>
    <row r="58" spans="1:17" x14ac:dyDescent="0.2">
      <c r="A58" t="s">
        <v>111</v>
      </c>
      <c r="B58" t="s">
        <v>337</v>
      </c>
      <c r="C58" t="s">
        <v>359</v>
      </c>
      <c r="D58">
        <v>63</v>
      </c>
      <c r="E58">
        <v>31.8</v>
      </c>
      <c r="F58">
        <v>37</v>
      </c>
      <c r="G58">
        <v>30.7</v>
      </c>
      <c r="H58" s="8">
        <f t="shared" si="0"/>
        <v>1.1000000000000014</v>
      </c>
      <c r="J58" s="9"/>
      <c r="K58">
        <f>IF(J58="",0,COUNTIFS(Schedule!$B:$B,B58,Schedule!$A:$A,"&lt;"&amp;J58))</f>
        <v>0</v>
      </c>
      <c r="L58">
        <f t="shared" si="1"/>
        <v>82</v>
      </c>
      <c r="M58" s="2"/>
      <c r="N58" s="2"/>
      <c r="O58">
        <f t="shared" si="2"/>
        <v>63</v>
      </c>
      <c r="P58">
        <f t="shared" si="3"/>
        <v>31.8</v>
      </c>
    </row>
    <row r="59" spans="1:17" x14ac:dyDescent="0.2">
      <c r="A59" t="s">
        <v>144</v>
      </c>
      <c r="B59" t="s">
        <v>377</v>
      </c>
      <c r="C59" t="s">
        <v>333</v>
      </c>
      <c r="D59">
        <v>76</v>
      </c>
      <c r="E59">
        <v>30.7</v>
      </c>
      <c r="F59">
        <v>76</v>
      </c>
      <c r="G59">
        <v>29.8</v>
      </c>
      <c r="H59" s="8">
        <f t="shared" si="0"/>
        <v>0.89999999999999858</v>
      </c>
      <c r="J59" s="9"/>
      <c r="K59">
        <f>IF(J59="",0,COUNTIFS(Schedule!$B:$B,B59,Schedule!$A:$A,"&lt;"&amp;J59))</f>
        <v>0</v>
      </c>
      <c r="L59">
        <f t="shared" si="1"/>
        <v>82</v>
      </c>
      <c r="M59" s="2"/>
      <c r="N59" s="2"/>
      <c r="O59">
        <f t="shared" si="2"/>
        <v>76</v>
      </c>
      <c r="P59">
        <f t="shared" si="3"/>
        <v>30.7</v>
      </c>
    </row>
    <row r="60" spans="1:17" x14ac:dyDescent="0.2">
      <c r="A60" t="s">
        <v>130</v>
      </c>
      <c r="B60" t="s">
        <v>362</v>
      </c>
      <c r="C60" t="s">
        <v>333</v>
      </c>
      <c r="D60">
        <v>76</v>
      </c>
      <c r="E60">
        <v>31.1</v>
      </c>
      <c r="H60" s="8" t="str">
        <f t="shared" si="0"/>
        <v/>
      </c>
      <c r="J60" s="9"/>
      <c r="K60">
        <f>IF(J60="",0,COUNTIFS(Schedule!$B:$B,B60,Schedule!$A:$A,"&lt;"&amp;J60))</f>
        <v>0</v>
      </c>
      <c r="L60">
        <f t="shared" si="1"/>
        <v>82</v>
      </c>
      <c r="M60" s="2"/>
      <c r="N60" s="2"/>
      <c r="O60">
        <f t="shared" si="2"/>
        <v>76</v>
      </c>
      <c r="P60">
        <f t="shared" si="3"/>
        <v>31.1</v>
      </c>
    </row>
    <row r="61" spans="1:17" x14ac:dyDescent="0.2">
      <c r="A61" t="s">
        <v>70</v>
      </c>
      <c r="B61" t="s">
        <v>341</v>
      </c>
      <c r="C61" t="s">
        <v>330</v>
      </c>
      <c r="D61">
        <v>72</v>
      </c>
      <c r="E61">
        <v>32.6</v>
      </c>
      <c r="F61">
        <v>65</v>
      </c>
      <c r="G61">
        <v>31.9</v>
      </c>
      <c r="H61" s="8">
        <f t="shared" si="0"/>
        <v>0.70000000000000284</v>
      </c>
      <c r="J61" s="9"/>
      <c r="K61">
        <f>IF(J61="",0,COUNTIFS(Schedule!$B:$B,B61,Schedule!$A:$A,"&lt;"&amp;J61))</f>
        <v>0</v>
      </c>
      <c r="L61">
        <f t="shared" si="1"/>
        <v>82</v>
      </c>
      <c r="M61" s="2"/>
      <c r="N61" s="2"/>
      <c r="O61">
        <f t="shared" si="2"/>
        <v>72</v>
      </c>
      <c r="P61">
        <f t="shared" si="3"/>
        <v>32.6</v>
      </c>
    </row>
    <row r="62" spans="1:17" x14ac:dyDescent="0.2">
      <c r="A62" t="s">
        <v>52</v>
      </c>
      <c r="B62" t="s">
        <v>366</v>
      </c>
      <c r="C62" t="s">
        <v>333</v>
      </c>
      <c r="D62">
        <v>71</v>
      </c>
      <c r="E62">
        <v>33.5</v>
      </c>
      <c r="H62" s="8" t="str">
        <f t="shared" si="0"/>
        <v/>
      </c>
      <c r="I62" t="s">
        <v>327</v>
      </c>
      <c r="J62" s="9">
        <v>46308</v>
      </c>
      <c r="K62">
        <f>IF(J62="",0,COUNTIFS(Schedule!$B:$B,B62,Schedule!$A:$A,"&lt;"&amp;J62))</f>
        <v>0</v>
      </c>
      <c r="L62">
        <f t="shared" si="1"/>
        <v>82</v>
      </c>
      <c r="M62" s="2"/>
      <c r="N62" s="2"/>
      <c r="O62">
        <f t="shared" si="2"/>
        <v>71</v>
      </c>
      <c r="P62">
        <f t="shared" si="3"/>
        <v>33.5</v>
      </c>
      <c r="Q62" t="s">
        <v>391</v>
      </c>
    </row>
    <row r="63" spans="1:17" x14ac:dyDescent="0.2">
      <c r="A63" t="s">
        <v>132</v>
      </c>
      <c r="B63" t="s">
        <v>385</v>
      </c>
      <c r="C63" t="s">
        <v>326</v>
      </c>
      <c r="D63">
        <v>76</v>
      </c>
      <c r="E63">
        <v>31.5</v>
      </c>
      <c r="H63" s="8" t="str">
        <f t="shared" si="0"/>
        <v/>
      </c>
      <c r="J63" s="9"/>
      <c r="K63">
        <f>IF(J63="",0,COUNTIFS(Schedule!$B:$B,B63,Schedule!$A:$A,"&lt;"&amp;J63))</f>
        <v>0</v>
      </c>
      <c r="L63">
        <f t="shared" si="1"/>
        <v>82</v>
      </c>
      <c r="M63" s="2"/>
      <c r="N63" s="2"/>
      <c r="O63">
        <f t="shared" si="2"/>
        <v>76</v>
      </c>
      <c r="P63">
        <f t="shared" si="3"/>
        <v>31.5</v>
      </c>
    </row>
    <row r="64" spans="1:17" x14ac:dyDescent="0.2">
      <c r="A64" t="s">
        <v>58</v>
      </c>
      <c r="B64" t="s">
        <v>353</v>
      </c>
      <c r="C64" t="s">
        <v>392</v>
      </c>
      <c r="D64">
        <v>75</v>
      </c>
      <c r="E64">
        <v>33.799999999999997</v>
      </c>
      <c r="F64">
        <v>80</v>
      </c>
      <c r="G64">
        <v>33.5</v>
      </c>
      <c r="H64" s="8">
        <f t="shared" si="0"/>
        <v>0.29999999999999716</v>
      </c>
      <c r="J64" s="9"/>
      <c r="K64">
        <f>IF(J64="",0,COUNTIFS(Schedule!$B:$B,B64,Schedule!$A:$A,"&lt;"&amp;J64))</f>
        <v>0</v>
      </c>
      <c r="L64">
        <f t="shared" si="1"/>
        <v>82</v>
      </c>
      <c r="M64" s="2"/>
      <c r="N64" s="2"/>
      <c r="O64">
        <f t="shared" si="2"/>
        <v>75</v>
      </c>
      <c r="P64">
        <f t="shared" si="3"/>
        <v>33.799999999999997</v>
      </c>
    </row>
    <row r="65" spans="1:17" x14ac:dyDescent="0.2">
      <c r="A65" t="s">
        <v>91</v>
      </c>
      <c r="B65" t="s">
        <v>378</v>
      </c>
      <c r="C65" t="s">
        <v>382</v>
      </c>
      <c r="D65">
        <v>78</v>
      </c>
      <c r="E65">
        <v>32.9</v>
      </c>
      <c r="F65">
        <v>81</v>
      </c>
      <c r="G65">
        <v>31.5</v>
      </c>
      <c r="H65" s="8">
        <f t="shared" si="0"/>
        <v>1.3999999999999986</v>
      </c>
      <c r="I65" t="s">
        <v>327</v>
      </c>
      <c r="J65" s="9">
        <v>46316</v>
      </c>
      <c r="K65">
        <f>IF(J65="",0,COUNTIFS(Schedule!$B:$B,B65,Schedule!$A:$A,"&lt;"&amp;J65))</f>
        <v>0</v>
      </c>
      <c r="L65">
        <f t="shared" si="1"/>
        <v>82</v>
      </c>
      <c r="M65" s="2"/>
      <c r="N65" s="2"/>
      <c r="O65">
        <f t="shared" si="2"/>
        <v>78</v>
      </c>
      <c r="P65">
        <f t="shared" si="3"/>
        <v>32.9</v>
      </c>
      <c r="Q65" t="s">
        <v>393</v>
      </c>
    </row>
    <row r="66" spans="1:17" x14ac:dyDescent="0.2">
      <c r="A66" t="s">
        <v>206</v>
      </c>
      <c r="B66" t="s">
        <v>345</v>
      </c>
      <c r="C66" t="s">
        <v>349</v>
      </c>
      <c r="D66">
        <v>44</v>
      </c>
      <c r="E66">
        <v>31.8</v>
      </c>
      <c r="F66">
        <v>38</v>
      </c>
      <c r="G66">
        <v>31.1</v>
      </c>
      <c r="H66" s="8">
        <f t="shared" ref="H66:H129" si="4">IF(G66="","",E66-G66)</f>
        <v>0.69999999999999929</v>
      </c>
      <c r="I66" t="s">
        <v>375</v>
      </c>
      <c r="J66" s="9">
        <v>46389</v>
      </c>
      <c r="K66">
        <f>IF(J66="",0,COUNTIFS(Schedule!$B:$B,B66,Schedule!$A:$A,"&lt;"&amp;J66))</f>
        <v>32</v>
      </c>
      <c r="L66">
        <f t="shared" ref="L66:L129" si="5">82-K66</f>
        <v>50</v>
      </c>
      <c r="M66" s="2"/>
      <c r="N66" s="2"/>
      <c r="O66">
        <f t="shared" ref="O66:O129" si="6">IF(M66&lt;&gt;"",M66,MIN(D66,L66))</f>
        <v>44</v>
      </c>
      <c r="P66">
        <f t="shared" ref="P66:P129" si="7">IF(N66&lt;&gt;"",N66,E66)</f>
        <v>31.8</v>
      </c>
      <c r="Q66" t="s">
        <v>394</v>
      </c>
    </row>
    <row r="67" spans="1:17" x14ac:dyDescent="0.2">
      <c r="A67" t="s">
        <v>86</v>
      </c>
      <c r="B67" t="s">
        <v>370</v>
      </c>
      <c r="C67" t="s">
        <v>395</v>
      </c>
      <c r="D67">
        <v>73</v>
      </c>
      <c r="E67">
        <v>35.700000000000003</v>
      </c>
      <c r="F67">
        <v>54</v>
      </c>
      <c r="G67">
        <v>32.1</v>
      </c>
      <c r="H67" s="8">
        <f t="shared" si="4"/>
        <v>3.6000000000000014</v>
      </c>
      <c r="J67" s="9"/>
      <c r="K67">
        <f>IF(J67="",0,COUNTIFS(Schedule!$B:$B,B67,Schedule!$A:$A,"&lt;"&amp;J67))</f>
        <v>0</v>
      </c>
      <c r="L67">
        <f t="shared" si="5"/>
        <v>82</v>
      </c>
      <c r="M67" s="2"/>
      <c r="N67" s="2"/>
      <c r="O67">
        <f t="shared" si="6"/>
        <v>73</v>
      </c>
      <c r="P67">
        <f t="shared" si="7"/>
        <v>35.700000000000003</v>
      </c>
    </row>
    <row r="68" spans="1:17" x14ac:dyDescent="0.2">
      <c r="A68" t="s">
        <v>104</v>
      </c>
      <c r="B68" t="s">
        <v>396</v>
      </c>
      <c r="C68" t="s">
        <v>387</v>
      </c>
      <c r="D68">
        <v>75</v>
      </c>
      <c r="E68">
        <v>32.299999999999997</v>
      </c>
      <c r="H68" s="8" t="str">
        <f t="shared" si="4"/>
        <v/>
      </c>
      <c r="J68" s="9"/>
      <c r="K68">
        <f>IF(J68="",0,COUNTIFS(Schedule!$B:$B,B68,Schedule!$A:$A,"&lt;"&amp;J68))</f>
        <v>0</v>
      </c>
      <c r="L68">
        <f t="shared" si="5"/>
        <v>82</v>
      </c>
      <c r="M68" s="2"/>
      <c r="N68" s="2"/>
      <c r="O68">
        <f t="shared" si="6"/>
        <v>75</v>
      </c>
      <c r="P68">
        <f t="shared" si="7"/>
        <v>32.299999999999997</v>
      </c>
    </row>
    <row r="69" spans="1:17" x14ac:dyDescent="0.2">
      <c r="A69" t="s">
        <v>66</v>
      </c>
      <c r="B69" t="s">
        <v>355</v>
      </c>
      <c r="C69" t="s">
        <v>340</v>
      </c>
      <c r="D69">
        <v>75</v>
      </c>
      <c r="E69">
        <v>30.3</v>
      </c>
      <c r="F69">
        <v>70</v>
      </c>
      <c r="G69">
        <v>28.2</v>
      </c>
      <c r="H69" s="8">
        <f t="shared" si="4"/>
        <v>2.1000000000000014</v>
      </c>
      <c r="I69" t="s">
        <v>327</v>
      </c>
      <c r="J69" s="9">
        <v>46309</v>
      </c>
      <c r="K69">
        <f>IF(J69="",0,COUNTIFS(Schedule!$B:$B,B69,Schedule!$A:$A,"&lt;"&amp;J69))</f>
        <v>0</v>
      </c>
      <c r="L69">
        <f t="shared" si="5"/>
        <v>82</v>
      </c>
      <c r="M69" s="2"/>
      <c r="N69" s="2"/>
      <c r="O69">
        <f t="shared" si="6"/>
        <v>75</v>
      </c>
      <c r="P69">
        <f t="shared" si="7"/>
        <v>30.3</v>
      </c>
      <c r="Q69" t="s">
        <v>397</v>
      </c>
    </row>
    <row r="70" spans="1:17" x14ac:dyDescent="0.2">
      <c r="A70" t="s">
        <v>81</v>
      </c>
      <c r="B70" t="s">
        <v>385</v>
      </c>
      <c r="C70" t="s">
        <v>365</v>
      </c>
      <c r="D70">
        <v>74</v>
      </c>
      <c r="E70">
        <v>34.1</v>
      </c>
      <c r="F70">
        <v>19</v>
      </c>
      <c r="G70">
        <v>29.7</v>
      </c>
      <c r="H70" s="8">
        <f t="shared" si="4"/>
        <v>4.4000000000000021</v>
      </c>
      <c r="I70" t="s">
        <v>327</v>
      </c>
      <c r="J70" s="9">
        <v>46308</v>
      </c>
      <c r="K70">
        <f>IF(J70="",0,COUNTIFS(Schedule!$B:$B,B70,Schedule!$A:$A,"&lt;"&amp;J70))</f>
        <v>0</v>
      </c>
      <c r="L70">
        <f t="shared" si="5"/>
        <v>82</v>
      </c>
      <c r="M70" s="2"/>
      <c r="N70" s="2"/>
      <c r="O70">
        <f t="shared" si="6"/>
        <v>74</v>
      </c>
      <c r="P70">
        <f t="shared" si="7"/>
        <v>34.1</v>
      </c>
      <c r="Q70" t="s">
        <v>398</v>
      </c>
    </row>
    <row r="71" spans="1:17" x14ac:dyDescent="0.2">
      <c r="A71" t="s">
        <v>123</v>
      </c>
      <c r="B71" t="s">
        <v>346</v>
      </c>
      <c r="C71" t="s">
        <v>338</v>
      </c>
      <c r="D71">
        <v>75</v>
      </c>
      <c r="E71">
        <v>30.6</v>
      </c>
      <c r="F71">
        <v>77</v>
      </c>
      <c r="G71">
        <v>31</v>
      </c>
      <c r="H71" s="8">
        <f t="shared" si="4"/>
        <v>-0.39999999999999858</v>
      </c>
      <c r="I71" t="s">
        <v>327</v>
      </c>
      <c r="J71" s="9">
        <v>46309</v>
      </c>
      <c r="K71">
        <f>IF(J71="",0,COUNTIFS(Schedule!$B:$B,B71,Schedule!$A:$A,"&lt;"&amp;J71))</f>
        <v>0</v>
      </c>
      <c r="L71">
        <f t="shared" si="5"/>
        <v>82</v>
      </c>
      <c r="M71" s="2"/>
      <c r="N71" s="2"/>
      <c r="O71">
        <f t="shared" si="6"/>
        <v>75</v>
      </c>
      <c r="P71">
        <f t="shared" si="7"/>
        <v>30.6</v>
      </c>
      <c r="Q71" t="s">
        <v>399</v>
      </c>
    </row>
    <row r="72" spans="1:17" x14ac:dyDescent="0.2">
      <c r="A72" t="s">
        <v>102</v>
      </c>
      <c r="B72" t="s">
        <v>396</v>
      </c>
      <c r="C72" t="s">
        <v>333</v>
      </c>
      <c r="D72">
        <v>71</v>
      </c>
      <c r="E72">
        <v>25.6</v>
      </c>
      <c r="F72">
        <v>15</v>
      </c>
      <c r="G72">
        <v>22.6</v>
      </c>
      <c r="H72" s="8">
        <f t="shared" si="4"/>
        <v>3</v>
      </c>
      <c r="J72" s="9"/>
      <c r="K72">
        <f>IF(J72="",0,COUNTIFS(Schedule!$B:$B,B72,Schedule!$A:$A,"&lt;"&amp;J72))</f>
        <v>0</v>
      </c>
      <c r="L72">
        <f t="shared" si="5"/>
        <v>82</v>
      </c>
      <c r="M72" s="2"/>
      <c r="N72" s="2"/>
      <c r="O72">
        <f t="shared" si="6"/>
        <v>71</v>
      </c>
      <c r="P72">
        <f t="shared" si="7"/>
        <v>25.6</v>
      </c>
    </row>
    <row r="73" spans="1:17" x14ac:dyDescent="0.2">
      <c r="A73" t="s">
        <v>163</v>
      </c>
      <c r="B73" t="s">
        <v>346</v>
      </c>
      <c r="C73" t="s">
        <v>349</v>
      </c>
      <c r="D73">
        <v>74</v>
      </c>
      <c r="E73">
        <v>31</v>
      </c>
      <c r="F73">
        <v>56</v>
      </c>
      <c r="G73">
        <v>30.4</v>
      </c>
      <c r="H73" s="8">
        <f t="shared" si="4"/>
        <v>0.60000000000000142</v>
      </c>
      <c r="J73" s="9"/>
      <c r="K73">
        <f>IF(J73="",0,COUNTIFS(Schedule!$B:$B,B73,Schedule!$A:$A,"&lt;"&amp;J73))</f>
        <v>0</v>
      </c>
      <c r="L73">
        <f t="shared" si="5"/>
        <v>82</v>
      </c>
      <c r="M73" s="2"/>
      <c r="N73" s="2"/>
      <c r="O73">
        <f t="shared" si="6"/>
        <v>74</v>
      </c>
      <c r="P73">
        <f t="shared" si="7"/>
        <v>31</v>
      </c>
    </row>
    <row r="74" spans="1:17" x14ac:dyDescent="0.2">
      <c r="A74" t="s">
        <v>172</v>
      </c>
      <c r="B74" t="s">
        <v>345</v>
      </c>
      <c r="C74" t="s">
        <v>330</v>
      </c>
      <c r="D74">
        <v>54</v>
      </c>
      <c r="E74">
        <v>26.9</v>
      </c>
      <c r="F74">
        <v>32</v>
      </c>
      <c r="G74">
        <v>24</v>
      </c>
      <c r="H74" s="8">
        <f t="shared" si="4"/>
        <v>2.8999999999999986</v>
      </c>
      <c r="I74" t="s">
        <v>327</v>
      </c>
      <c r="J74" s="9">
        <v>46316</v>
      </c>
      <c r="K74">
        <f>IF(J74="",0,COUNTIFS(Schedule!$B:$B,B74,Schedule!$A:$A,"&lt;"&amp;J74))</f>
        <v>0</v>
      </c>
      <c r="L74">
        <f t="shared" si="5"/>
        <v>82</v>
      </c>
      <c r="M74" s="2"/>
      <c r="N74" s="2"/>
      <c r="O74">
        <f t="shared" si="6"/>
        <v>54</v>
      </c>
      <c r="P74">
        <f t="shared" si="7"/>
        <v>26.9</v>
      </c>
      <c r="Q74" t="s">
        <v>400</v>
      </c>
    </row>
    <row r="75" spans="1:17" x14ac:dyDescent="0.2">
      <c r="A75" t="s">
        <v>69</v>
      </c>
      <c r="B75" t="s">
        <v>337</v>
      </c>
      <c r="C75" t="s">
        <v>333</v>
      </c>
      <c r="D75">
        <v>78</v>
      </c>
      <c r="E75">
        <v>34.299999999999997</v>
      </c>
      <c r="F75">
        <v>77</v>
      </c>
      <c r="G75">
        <v>34.1</v>
      </c>
      <c r="H75" s="8">
        <f t="shared" si="4"/>
        <v>0.19999999999999574</v>
      </c>
      <c r="J75" s="9"/>
      <c r="K75">
        <f>IF(J75="",0,COUNTIFS(Schedule!$B:$B,B75,Schedule!$A:$A,"&lt;"&amp;J75))</f>
        <v>0</v>
      </c>
      <c r="L75">
        <f t="shared" si="5"/>
        <v>82</v>
      </c>
      <c r="M75" s="2"/>
      <c r="N75" s="2"/>
      <c r="O75">
        <f t="shared" si="6"/>
        <v>78</v>
      </c>
      <c r="P75">
        <f t="shared" si="7"/>
        <v>34.299999999999997</v>
      </c>
    </row>
    <row r="76" spans="1:17" x14ac:dyDescent="0.2">
      <c r="A76" t="s">
        <v>183</v>
      </c>
      <c r="B76" t="s">
        <v>351</v>
      </c>
      <c r="C76" t="s">
        <v>333</v>
      </c>
      <c r="D76">
        <v>75</v>
      </c>
      <c r="E76">
        <v>31.7</v>
      </c>
      <c r="F76">
        <v>68</v>
      </c>
      <c r="G76">
        <v>30</v>
      </c>
      <c r="H76" s="8">
        <f t="shared" si="4"/>
        <v>1.6999999999999993</v>
      </c>
      <c r="J76" s="9"/>
      <c r="K76">
        <f>IF(J76="",0,COUNTIFS(Schedule!$B:$B,B76,Schedule!$A:$A,"&lt;"&amp;J76))</f>
        <v>0</v>
      </c>
      <c r="L76">
        <f t="shared" si="5"/>
        <v>82</v>
      </c>
      <c r="M76" s="2"/>
      <c r="N76" s="2"/>
      <c r="O76">
        <f t="shared" si="6"/>
        <v>75</v>
      </c>
      <c r="P76">
        <f t="shared" si="7"/>
        <v>31.7</v>
      </c>
    </row>
    <row r="77" spans="1:17" x14ac:dyDescent="0.2">
      <c r="A77" t="s">
        <v>133</v>
      </c>
      <c r="B77" t="s">
        <v>364</v>
      </c>
      <c r="C77" t="s">
        <v>333</v>
      </c>
      <c r="D77">
        <v>73</v>
      </c>
      <c r="E77">
        <v>30.5</v>
      </c>
      <c r="F77">
        <v>14</v>
      </c>
      <c r="G77">
        <v>27.8</v>
      </c>
      <c r="H77" s="8">
        <f t="shared" si="4"/>
        <v>2.6999999999999993</v>
      </c>
      <c r="I77" t="s">
        <v>327</v>
      </c>
      <c r="J77" s="9">
        <v>46309</v>
      </c>
      <c r="K77">
        <f>IF(J77="",0,COUNTIFS(Schedule!$B:$B,B77,Schedule!$A:$A,"&lt;"&amp;J77))</f>
        <v>0</v>
      </c>
      <c r="L77">
        <f t="shared" si="5"/>
        <v>82</v>
      </c>
      <c r="M77" s="2"/>
      <c r="N77" s="2"/>
      <c r="O77">
        <f t="shared" si="6"/>
        <v>73</v>
      </c>
      <c r="P77">
        <f t="shared" si="7"/>
        <v>30.5</v>
      </c>
      <c r="Q77" t="s">
        <v>401</v>
      </c>
    </row>
    <row r="78" spans="1:17" x14ac:dyDescent="0.2">
      <c r="A78" t="s">
        <v>72</v>
      </c>
      <c r="B78" t="s">
        <v>342</v>
      </c>
      <c r="C78" t="s">
        <v>338</v>
      </c>
      <c r="D78">
        <v>73</v>
      </c>
      <c r="E78">
        <v>34.799999999999997</v>
      </c>
      <c r="F78">
        <v>67</v>
      </c>
      <c r="G78">
        <v>33.200000000000003</v>
      </c>
      <c r="H78" s="8">
        <f t="shared" si="4"/>
        <v>1.5999999999999943</v>
      </c>
      <c r="J78" s="9"/>
      <c r="K78">
        <f>IF(J78="",0,COUNTIFS(Schedule!$B:$B,B78,Schedule!$A:$A,"&lt;"&amp;J78))</f>
        <v>0</v>
      </c>
      <c r="L78">
        <f t="shared" si="5"/>
        <v>82</v>
      </c>
      <c r="M78" s="2"/>
      <c r="N78" s="2"/>
      <c r="O78">
        <f t="shared" si="6"/>
        <v>73</v>
      </c>
      <c r="P78">
        <f t="shared" si="7"/>
        <v>34.799999999999997</v>
      </c>
    </row>
    <row r="79" spans="1:17" x14ac:dyDescent="0.2">
      <c r="A79" t="s">
        <v>139</v>
      </c>
      <c r="B79" t="s">
        <v>339</v>
      </c>
      <c r="C79" t="s">
        <v>359</v>
      </c>
      <c r="D79">
        <v>77</v>
      </c>
      <c r="E79">
        <v>29.6</v>
      </c>
      <c r="F79">
        <v>77</v>
      </c>
      <c r="G79">
        <v>31.2</v>
      </c>
      <c r="H79" s="8">
        <f t="shared" si="4"/>
        <v>-1.5999999999999979</v>
      </c>
      <c r="J79" s="9"/>
      <c r="K79">
        <f>IF(J79="",0,COUNTIFS(Schedule!$B:$B,B79,Schedule!$A:$A,"&lt;"&amp;J79))</f>
        <v>0</v>
      </c>
      <c r="L79">
        <f t="shared" si="5"/>
        <v>82</v>
      </c>
      <c r="M79" s="2"/>
      <c r="N79" s="2"/>
      <c r="O79">
        <f t="shared" si="6"/>
        <v>77</v>
      </c>
      <c r="P79">
        <f t="shared" si="7"/>
        <v>29.6</v>
      </c>
    </row>
    <row r="80" spans="1:17" x14ac:dyDescent="0.2">
      <c r="A80" t="s">
        <v>115</v>
      </c>
      <c r="B80" t="s">
        <v>353</v>
      </c>
      <c r="C80" t="s">
        <v>333</v>
      </c>
      <c r="D80">
        <v>72</v>
      </c>
      <c r="E80">
        <v>30.9</v>
      </c>
      <c r="F80">
        <v>70</v>
      </c>
      <c r="G80">
        <v>31.9</v>
      </c>
      <c r="H80" s="8">
        <f t="shared" si="4"/>
        <v>-1</v>
      </c>
      <c r="J80" s="9"/>
      <c r="K80">
        <f>IF(J80="",0,COUNTIFS(Schedule!$B:$B,B80,Schedule!$A:$A,"&lt;"&amp;J80))</f>
        <v>0</v>
      </c>
      <c r="L80">
        <f t="shared" si="5"/>
        <v>82</v>
      </c>
      <c r="M80" s="2"/>
      <c r="N80" s="2"/>
      <c r="O80">
        <f t="shared" si="6"/>
        <v>72</v>
      </c>
      <c r="P80">
        <f t="shared" si="7"/>
        <v>30.9</v>
      </c>
    </row>
    <row r="81" spans="1:17" x14ac:dyDescent="0.2">
      <c r="A81" t="s">
        <v>67</v>
      </c>
      <c r="B81" t="s">
        <v>348</v>
      </c>
      <c r="C81" t="s">
        <v>335</v>
      </c>
      <c r="D81">
        <v>78</v>
      </c>
      <c r="E81">
        <v>35.700000000000003</v>
      </c>
      <c r="F81">
        <v>79</v>
      </c>
      <c r="G81">
        <v>37.4</v>
      </c>
      <c r="H81" s="8">
        <f t="shared" si="4"/>
        <v>-1.6999999999999957</v>
      </c>
      <c r="J81" s="9"/>
      <c r="K81">
        <f>IF(J81="",0,COUNTIFS(Schedule!$B:$B,B81,Schedule!$A:$A,"&lt;"&amp;J81))</f>
        <v>0</v>
      </c>
      <c r="L81">
        <f t="shared" si="5"/>
        <v>82</v>
      </c>
      <c r="M81" s="2"/>
      <c r="N81" s="2"/>
      <c r="O81">
        <f t="shared" si="6"/>
        <v>78</v>
      </c>
      <c r="P81">
        <f t="shared" si="7"/>
        <v>35.700000000000003</v>
      </c>
    </row>
    <row r="82" spans="1:17" x14ac:dyDescent="0.2">
      <c r="A82" t="s">
        <v>127</v>
      </c>
      <c r="B82" t="s">
        <v>337</v>
      </c>
      <c r="C82" t="s">
        <v>333</v>
      </c>
      <c r="D82">
        <v>75</v>
      </c>
      <c r="E82">
        <v>30.7</v>
      </c>
      <c r="F82">
        <v>79</v>
      </c>
      <c r="G82">
        <v>32.4</v>
      </c>
      <c r="H82" s="8">
        <f t="shared" si="4"/>
        <v>-1.6999999999999993</v>
      </c>
      <c r="J82" s="9"/>
      <c r="K82">
        <f>IF(J82="",0,COUNTIFS(Schedule!$B:$B,B82,Schedule!$A:$A,"&lt;"&amp;J82))</f>
        <v>0</v>
      </c>
      <c r="L82">
        <f t="shared" si="5"/>
        <v>82</v>
      </c>
      <c r="M82" s="2"/>
      <c r="N82" s="2"/>
      <c r="O82">
        <f t="shared" si="6"/>
        <v>75</v>
      </c>
      <c r="P82">
        <f t="shared" si="7"/>
        <v>30.7</v>
      </c>
    </row>
    <row r="83" spans="1:17" x14ac:dyDescent="0.2">
      <c r="A83" t="s">
        <v>105</v>
      </c>
      <c r="B83" t="s">
        <v>377</v>
      </c>
      <c r="C83" t="s">
        <v>333</v>
      </c>
      <c r="D83">
        <v>79</v>
      </c>
      <c r="E83">
        <v>30.3</v>
      </c>
      <c r="F83">
        <v>78</v>
      </c>
      <c r="G83">
        <v>33.4</v>
      </c>
      <c r="H83" s="8">
        <f t="shared" si="4"/>
        <v>-3.0999999999999979</v>
      </c>
      <c r="I83" t="s">
        <v>327</v>
      </c>
      <c r="J83" s="9">
        <v>46307</v>
      </c>
      <c r="K83">
        <f>IF(J83="",0,COUNTIFS(Schedule!$B:$B,B83,Schedule!$A:$A,"&lt;"&amp;J83))</f>
        <v>0</v>
      </c>
      <c r="L83">
        <f t="shared" si="5"/>
        <v>82</v>
      </c>
      <c r="M83" s="2"/>
      <c r="N83" s="2"/>
      <c r="O83">
        <f t="shared" si="6"/>
        <v>79</v>
      </c>
      <c r="P83">
        <f t="shared" si="7"/>
        <v>30.3</v>
      </c>
      <c r="Q83" t="s">
        <v>402</v>
      </c>
    </row>
    <row r="84" spans="1:17" x14ac:dyDescent="0.2">
      <c r="A84" t="s">
        <v>77</v>
      </c>
      <c r="B84" t="s">
        <v>325</v>
      </c>
      <c r="C84" t="s">
        <v>330</v>
      </c>
      <c r="D84">
        <v>72</v>
      </c>
      <c r="E84">
        <v>28.6</v>
      </c>
      <c r="F84">
        <v>69</v>
      </c>
      <c r="G84">
        <v>28.9</v>
      </c>
      <c r="H84" s="8">
        <f t="shared" si="4"/>
        <v>-0.29999999999999716</v>
      </c>
      <c r="I84" t="s">
        <v>327</v>
      </c>
      <c r="J84" s="9">
        <v>46308</v>
      </c>
      <c r="K84">
        <f>IF(J84="",0,COUNTIFS(Schedule!$B:$B,B84,Schedule!$A:$A,"&lt;"&amp;J84))</f>
        <v>0</v>
      </c>
      <c r="L84">
        <f t="shared" si="5"/>
        <v>82</v>
      </c>
      <c r="M84" s="2"/>
      <c r="N84" s="2"/>
      <c r="O84">
        <f t="shared" si="6"/>
        <v>72</v>
      </c>
      <c r="P84">
        <f t="shared" si="7"/>
        <v>28.6</v>
      </c>
      <c r="Q84" t="s">
        <v>403</v>
      </c>
    </row>
    <row r="85" spans="1:17" x14ac:dyDescent="0.2">
      <c r="A85" t="s">
        <v>93</v>
      </c>
      <c r="B85" t="s">
        <v>355</v>
      </c>
      <c r="C85" t="s">
        <v>330</v>
      </c>
      <c r="D85">
        <v>73</v>
      </c>
      <c r="E85">
        <v>29.5</v>
      </c>
      <c r="F85">
        <v>69</v>
      </c>
      <c r="G85">
        <v>27.1</v>
      </c>
      <c r="H85" s="8">
        <f t="shared" si="4"/>
        <v>2.3999999999999986</v>
      </c>
      <c r="J85" s="9"/>
      <c r="K85">
        <f>IF(J85="",0,COUNTIFS(Schedule!$B:$B,B85,Schedule!$A:$A,"&lt;"&amp;J85))</f>
        <v>0</v>
      </c>
      <c r="L85">
        <f t="shared" si="5"/>
        <v>82</v>
      </c>
      <c r="M85" s="2"/>
      <c r="N85" s="2"/>
      <c r="O85">
        <f t="shared" si="6"/>
        <v>73</v>
      </c>
      <c r="P85">
        <f t="shared" si="7"/>
        <v>29.5</v>
      </c>
    </row>
    <row r="86" spans="1:17" x14ac:dyDescent="0.2">
      <c r="A86" t="s">
        <v>89</v>
      </c>
      <c r="B86" t="s">
        <v>370</v>
      </c>
      <c r="C86" t="s">
        <v>359</v>
      </c>
      <c r="D86">
        <v>75</v>
      </c>
      <c r="E86">
        <v>32.200000000000003</v>
      </c>
      <c r="H86" s="8" t="str">
        <f t="shared" si="4"/>
        <v/>
      </c>
      <c r="J86" s="9"/>
      <c r="K86">
        <f>IF(J86="",0,COUNTIFS(Schedule!$B:$B,B86,Schedule!$A:$A,"&lt;"&amp;J86))</f>
        <v>0</v>
      </c>
      <c r="L86">
        <f t="shared" si="5"/>
        <v>82</v>
      </c>
      <c r="M86" s="2"/>
      <c r="N86" s="2"/>
      <c r="O86">
        <f t="shared" si="6"/>
        <v>75</v>
      </c>
      <c r="P86">
        <f t="shared" si="7"/>
        <v>32.200000000000003</v>
      </c>
    </row>
    <row r="87" spans="1:17" x14ac:dyDescent="0.2">
      <c r="A87" t="s">
        <v>119</v>
      </c>
      <c r="B87" t="s">
        <v>329</v>
      </c>
      <c r="C87" t="s">
        <v>349</v>
      </c>
      <c r="D87">
        <v>73</v>
      </c>
      <c r="E87">
        <v>30.3</v>
      </c>
      <c r="F87">
        <v>68</v>
      </c>
      <c r="G87">
        <v>30.3</v>
      </c>
      <c r="H87" s="8">
        <f t="shared" si="4"/>
        <v>0</v>
      </c>
      <c r="I87" t="s">
        <v>327</v>
      </c>
      <c r="J87" s="9">
        <v>46309</v>
      </c>
      <c r="K87">
        <f>IF(J87="",0,COUNTIFS(Schedule!$B:$B,B87,Schedule!$A:$A,"&lt;"&amp;J87))</f>
        <v>0</v>
      </c>
      <c r="L87">
        <f t="shared" si="5"/>
        <v>82</v>
      </c>
      <c r="M87" s="2"/>
      <c r="N87" s="2"/>
      <c r="O87">
        <f t="shared" si="6"/>
        <v>73</v>
      </c>
      <c r="P87">
        <f t="shared" si="7"/>
        <v>30.3</v>
      </c>
      <c r="Q87" t="s">
        <v>404</v>
      </c>
    </row>
    <row r="88" spans="1:17" x14ac:dyDescent="0.2">
      <c r="A88" t="s">
        <v>97</v>
      </c>
      <c r="B88" t="s">
        <v>366</v>
      </c>
      <c r="C88" t="s">
        <v>340</v>
      </c>
      <c r="D88">
        <v>74</v>
      </c>
      <c r="E88">
        <v>31.2</v>
      </c>
      <c r="F88">
        <v>48</v>
      </c>
      <c r="G88">
        <v>30.1</v>
      </c>
      <c r="H88" s="8">
        <f t="shared" si="4"/>
        <v>1.0999999999999979</v>
      </c>
      <c r="J88" s="9"/>
      <c r="K88">
        <f>IF(J88="",0,COUNTIFS(Schedule!$B:$B,B88,Schedule!$A:$A,"&lt;"&amp;J88))</f>
        <v>0</v>
      </c>
      <c r="L88">
        <f t="shared" si="5"/>
        <v>82</v>
      </c>
      <c r="M88" s="2"/>
      <c r="N88" s="2"/>
      <c r="O88">
        <f t="shared" si="6"/>
        <v>74</v>
      </c>
      <c r="P88">
        <f t="shared" si="7"/>
        <v>31.2</v>
      </c>
    </row>
    <row r="89" spans="1:17" x14ac:dyDescent="0.2">
      <c r="A89" t="s">
        <v>178</v>
      </c>
      <c r="B89" t="s">
        <v>332</v>
      </c>
      <c r="C89" t="s">
        <v>333</v>
      </c>
      <c r="D89">
        <v>75</v>
      </c>
      <c r="E89">
        <v>24.4</v>
      </c>
      <c r="F89">
        <v>68</v>
      </c>
      <c r="G89">
        <v>23.7</v>
      </c>
      <c r="H89" s="8">
        <f t="shared" si="4"/>
        <v>0.69999999999999929</v>
      </c>
      <c r="I89" t="s">
        <v>327</v>
      </c>
      <c r="J89" s="9">
        <v>46308</v>
      </c>
      <c r="K89">
        <f>IF(J89="",0,COUNTIFS(Schedule!$B:$B,B89,Schedule!$A:$A,"&lt;"&amp;J89))</f>
        <v>0</v>
      </c>
      <c r="L89">
        <f t="shared" si="5"/>
        <v>82</v>
      </c>
      <c r="M89" s="2"/>
      <c r="N89" s="2"/>
      <c r="O89">
        <f t="shared" si="6"/>
        <v>75</v>
      </c>
      <c r="P89">
        <f t="shared" si="7"/>
        <v>24.4</v>
      </c>
      <c r="Q89" t="s">
        <v>405</v>
      </c>
    </row>
    <row r="90" spans="1:17" x14ac:dyDescent="0.2">
      <c r="A90" t="s">
        <v>201</v>
      </c>
      <c r="B90" t="s">
        <v>379</v>
      </c>
      <c r="C90" t="s">
        <v>326</v>
      </c>
      <c r="D90">
        <v>75</v>
      </c>
      <c r="E90">
        <v>31.3</v>
      </c>
      <c r="H90" s="8" t="str">
        <f t="shared" si="4"/>
        <v/>
      </c>
      <c r="I90" t="s">
        <v>327</v>
      </c>
      <c r="J90" s="9">
        <v>46307</v>
      </c>
      <c r="K90">
        <f>IF(J90="",0,COUNTIFS(Schedule!$B:$B,B90,Schedule!$A:$A,"&lt;"&amp;J90))</f>
        <v>0</v>
      </c>
      <c r="L90">
        <f t="shared" si="5"/>
        <v>82</v>
      </c>
      <c r="M90" s="2"/>
      <c r="N90" s="2"/>
      <c r="O90">
        <f t="shared" si="6"/>
        <v>75</v>
      </c>
      <c r="P90">
        <f t="shared" si="7"/>
        <v>31.3</v>
      </c>
      <c r="Q90" t="s">
        <v>406</v>
      </c>
    </row>
    <row r="91" spans="1:17" x14ac:dyDescent="0.2">
      <c r="A91" t="s">
        <v>90</v>
      </c>
      <c r="B91" t="s">
        <v>343</v>
      </c>
      <c r="C91" t="s">
        <v>333</v>
      </c>
      <c r="D91">
        <v>75</v>
      </c>
      <c r="E91">
        <v>34.6</v>
      </c>
      <c r="F91">
        <v>75</v>
      </c>
      <c r="G91">
        <v>35</v>
      </c>
      <c r="H91" s="8">
        <f t="shared" si="4"/>
        <v>-0.39999999999999858</v>
      </c>
      <c r="J91" s="9"/>
      <c r="K91">
        <f>IF(J91="",0,COUNTIFS(Schedule!$B:$B,B91,Schedule!$A:$A,"&lt;"&amp;J91))</f>
        <v>0</v>
      </c>
      <c r="L91">
        <f t="shared" si="5"/>
        <v>82</v>
      </c>
      <c r="M91" s="2"/>
      <c r="N91" s="2"/>
      <c r="O91">
        <f t="shared" si="6"/>
        <v>75</v>
      </c>
      <c r="P91">
        <f t="shared" si="7"/>
        <v>34.6</v>
      </c>
    </row>
    <row r="92" spans="1:17" x14ac:dyDescent="0.2">
      <c r="A92" t="s">
        <v>129</v>
      </c>
      <c r="B92" t="s">
        <v>370</v>
      </c>
      <c r="C92" t="s">
        <v>338</v>
      </c>
      <c r="D92">
        <v>76</v>
      </c>
      <c r="E92">
        <v>30.6</v>
      </c>
      <c r="F92">
        <v>77</v>
      </c>
      <c r="G92">
        <v>29.2</v>
      </c>
      <c r="H92" s="8">
        <f t="shared" si="4"/>
        <v>1.4000000000000021</v>
      </c>
      <c r="J92" s="9"/>
      <c r="K92">
        <f>IF(J92="",0,COUNTIFS(Schedule!$B:$B,B92,Schedule!$A:$A,"&lt;"&amp;J92))</f>
        <v>0</v>
      </c>
      <c r="L92">
        <f t="shared" si="5"/>
        <v>82</v>
      </c>
      <c r="M92" s="2"/>
      <c r="N92" s="2"/>
      <c r="O92">
        <f t="shared" si="6"/>
        <v>76</v>
      </c>
      <c r="P92">
        <f t="shared" si="7"/>
        <v>30.6</v>
      </c>
    </row>
    <row r="93" spans="1:17" x14ac:dyDescent="0.2">
      <c r="A93" t="s">
        <v>82</v>
      </c>
      <c r="B93" t="s">
        <v>342</v>
      </c>
      <c r="C93" t="s">
        <v>349</v>
      </c>
      <c r="D93">
        <v>80</v>
      </c>
      <c r="E93">
        <v>34.700000000000003</v>
      </c>
      <c r="F93">
        <v>82</v>
      </c>
      <c r="G93">
        <v>32.799999999999997</v>
      </c>
      <c r="H93" s="8">
        <f t="shared" si="4"/>
        <v>1.9000000000000057</v>
      </c>
      <c r="J93" s="9"/>
      <c r="K93">
        <f>IF(J93="",0,COUNTIFS(Schedule!$B:$B,B93,Schedule!$A:$A,"&lt;"&amp;J93))</f>
        <v>0</v>
      </c>
      <c r="L93">
        <f t="shared" si="5"/>
        <v>82</v>
      </c>
      <c r="M93" s="2"/>
      <c r="N93" s="2"/>
      <c r="O93">
        <f t="shared" si="6"/>
        <v>80</v>
      </c>
      <c r="P93">
        <f t="shared" si="7"/>
        <v>34.700000000000003</v>
      </c>
    </row>
    <row r="94" spans="1:17" x14ac:dyDescent="0.2">
      <c r="A94" t="s">
        <v>78</v>
      </c>
      <c r="B94" t="s">
        <v>341</v>
      </c>
      <c r="C94" t="s">
        <v>340</v>
      </c>
      <c r="D94">
        <v>75</v>
      </c>
      <c r="E94">
        <v>29.2</v>
      </c>
      <c r="F94">
        <v>56</v>
      </c>
      <c r="G94">
        <v>27.1</v>
      </c>
      <c r="H94" s="8">
        <f t="shared" si="4"/>
        <v>2.0999999999999979</v>
      </c>
      <c r="J94" s="9"/>
      <c r="K94">
        <f>IF(J94="",0,COUNTIFS(Schedule!$B:$B,B94,Schedule!$A:$A,"&lt;"&amp;J94))</f>
        <v>0</v>
      </c>
      <c r="L94">
        <f t="shared" si="5"/>
        <v>82</v>
      </c>
      <c r="M94" s="2"/>
      <c r="N94" s="2"/>
      <c r="O94">
        <f t="shared" si="6"/>
        <v>75</v>
      </c>
      <c r="P94">
        <f t="shared" si="7"/>
        <v>29.2</v>
      </c>
    </row>
    <row r="95" spans="1:17" x14ac:dyDescent="0.2">
      <c r="A95" t="s">
        <v>141</v>
      </c>
      <c r="B95" t="s">
        <v>368</v>
      </c>
      <c r="C95" t="s">
        <v>365</v>
      </c>
      <c r="D95">
        <v>72</v>
      </c>
      <c r="E95">
        <v>28</v>
      </c>
      <c r="F95">
        <v>48</v>
      </c>
      <c r="G95">
        <v>27.2</v>
      </c>
      <c r="H95" s="8">
        <f t="shared" si="4"/>
        <v>0.80000000000000071</v>
      </c>
      <c r="J95" s="9"/>
      <c r="K95">
        <f>IF(J95="",0,COUNTIFS(Schedule!$B:$B,B95,Schedule!$A:$A,"&lt;"&amp;J95))</f>
        <v>0</v>
      </c>
      <c r="L95">
        <f t="shared" si="5"/>
        <v>82</v>
      </c>
      <c r="M95" s="2"/>
      <c r="N95" s="2"/>
      <c r="O95">
        <f t="shared" si="6"/>
        <v>72</v>
      </c>
      <c r="P95">
        <f t="shared" si="7"/>
        <v>28</v>
      </c>
    </row>
    <row r="96" spans="1:17" x14ac:dyDescent="0.2">
      <c r="A96" t="s">
        <v>137</v>
      </c>
      <c r="B96" t="s">
        <v>351</v>
      </c>
      <c r="C96" t="s">
        <v>333</v>
      </c>
      <c r="D96">
        <v>75</v>
      </c>
      <c r="E96">
        <v>28.9</v>
      </c>
      <c r="F96">
        <v>69</v>
      </c>
      <c r="G96">
        <v>22.6</v>
      </c>
      <c r="H96" s="8">
        <f t="shared" si="4"/>
        <v>6.2999999999999972</v>
      </c>
      <c r="J96" s="9"/>
      <c r="K96">
        <f>IF(J96="",0,COUNTIFS(Schedule!$B:$B,B96,Schedule!$A:$A,"&lt;"&amp;J96))</f>
        <v>0</v>
      </c>
      <c r="L96">
        <f t="shared" si="5"/>
        <v>82</v>
      </c>
      <c r="M96" s="2"/>
      <c r="N96" s="2"/>
      <c r="O96">
        <f t="shared" si="6"/>
        <v>75</v>
      </c>
      <c r="P96">
        <f t="shared" si="7"/>
        <v>28.9</v>
      </c>
    </row>
    <row r="97" spans="1:17" x14ac:dyDescent="0.2">
      <c r="A97" t="s">
        <v>180</v>
      </c>
      <c r="B97" t="s">
        <v>339</v>
      </c>
      <c r="C97" t="s">
        <v>330</v>
      </c>
      <c r="D97">
        <v>72</v>
      </c>
      <c r="E97">
        <v>29.4</v>
      </c>
      <c r="F97">
        <v>36</v>
      </c>
      <c r="G97">
        <v>27.9</v>
      </c>
      <c r="H97" s="8">
        <f t="shared" si="4"/>
        <v>1.5</v>
      </c>
      <c r="J97" s="9"/>
      <c r="K97">
        <f>IF(J97="",0,COUNTIFS(Schedule!$B:$B,B97,Schedule!$A:$A,"&lt;"&amp;J97))</f>
        <v>0</v>
      </c>
      <c r="L97">
        <f t="shared" si="5"/>
        <v>82</v>
      </c>
      <c r="M97" s="2"/>
      <c r="N97" s="2"/>
      <c r="O97">
        <f t="shared" si="6"/>
        <v>72</v>
      </c>
      <c r="P97">
        <f t="shared" si="7"/>
        <v>29.4</v>
      </c>
    </row>
    <row r="98" spans="1:17" x14ac:dyDescent="0.2">
      <c r="A98" t="s">
        <v>107</v>
      </c>
      <c r="B98" t="s">
        <v>378</v>
      </c>
      <c r="C98" t="s">
        <v>330</v>
      </c>
      <c r="D98">
        <v>77</v>
      </c>
      <c r="E98">
        <v>29.1</v>
      </c>
      <c r="F98">
        <v>77</v>
      </c>
      <c r="G98">
        <v>26.1</v>
      </c>
      <c r="H98" s="8">
        <f t="shared" si="4"/>
        <v>3</v>
      </c>
      <c r="J98" s="9"/>
      <c r="K98">
        <f>IF(J98="",0,COUNTIFS(Schedule!$B:$B,B98,Schedule!$A:$A,"&lt;"&amp;J98))</f>
        <v>0</v>
      </c>
      <c r="L98">
        <f t="shared" si="5"/>
        <v>82</v>
      </c>
      <c r="M98" s="2"/>
      <c r="N98" s="2"/>
      <c r="O98">
        <f t="shared" si="6"/>
        <v>77</v>
      </c>
      <c r="P98">
        <f t="shared" si="7"/>
        <v>29.1</v>
      </c>
    </row>
    <row r="99" spans="1:17" x14ac:dyDescent="0.2">
      <c r="A99" t="s">
        <v>253</v>
      </c>
      <c r="B99" t="s">
        <v>334</v>
      </c>
      <c r="C99" t="s">
        <v>359</v>
      </c>
      <c r="D99">
        <v>72</v>
      </c>
      <c r="E99">
        <v>25.7</v>
      </c>
      <c r="F99">
        <v>36</v>
      </c>
      <c r="G99">
        <v>23.1</v>
      </c>
      <c r="H99" s="8">
        <f t="shared" si="4"/>
        <v>2.5999999999999979</v>
      </c>
      <c r="I99" t="s">
        <v>327</v>
      </c>
      <c r="J99" s="9">
        <v>46307</v>
      </c>
      <c r="K99">
        <f>IF(J99="",0,COUNTIFS(Schedule!$B:$B,B99,Schedule!$A:$A,"&lt;"&amp;J99))</f>
        <v>0</v>
      </c>
      <c r="L99">
        <f t="shared" si="5"/>
        <v>82</v>
      </c>
      <c r="M99" s="2"/>
      <c r="N99" s="2"/>
      <c r="O99">
        <f t="shared" si="6"/>
        <v>72</v>
      </c>
      <c r="P99">
        <f t="shared" si="7"/>
        <v>25.7</v>
      </c>
      <c r="Q99" t="s">
        <v>407</v>
      </c>
    </row>
    <row r="100" spans="1:17" x14ac:dyDescent="0.2">
      <c r="A100" t="s">
        <v>228</v>
      </c>
      <c r="B100" t="s">
        <v>385</v>
      </c>
      <c r="C100" t="s">
        <v>338</v>
      </c>
      <c r="D100">
        <v>72</v>
      </c>
      <c r="E100">
        <v>26.9</v>
      </c>
      <c r="F100">
        <v>45</v>
      </c>
      <c r="G100">
        <v>26.1</v>
      </c>
      <c r="H100" s="8">
        <f t="shared" si="4"/>
        <v>0.79999999999999716</v>
      </c>
      <c r="J100" s="9"/>
      <c r="K100">
        <f>IF(J100="",0,COUNTIFS(Schedule!$B:$B,B100,Schedule!$A:$A,"&lt;"&amp;J100))</f>
        <v>0</v>
      </c>
      <c r="L100">
        <f t="shared" si="5"/>
        <v>82</v>
      </c>
      <c r="M100" s="2"/>
      <c r="N100" s="2"/>
      <c r="O100">
        <f t="shared" si="6"/>
        <v>72</v>
      </c>
      <c r="P100">
        <f t="shared" si="7"/>
        <v>26.9</v>
      </c>
    </row>
    <row r="101" spans="1:17" x14ac:dyDescent="0.2">
      <c r="A101" t="s">
        <v>220</v>
      </c>
      <c r="B101" t="s">
        <v>396</v>
      </c>
      <c r="C101" t="s">
        <v>338</v>
      </c>
      <c r="D101">
        <v>73</v>
      </c>
      <c r="E101">
        <v>26.4</v>
      </c>
      <c r="F101">
        <v>57</v>
      </c>
      <c r="G101">
        <v>29.7</v>
      </c>
      <c r="H101" s="8">
        <f t="shared" si="4"/>
        <v>-3.3000000000000007</v>
      </c>
      <c r="J101" s="9"/>
      <c r="K101">
        <f>IF(J101="",0,COUNTIFS(Schedule!$B:$B,B101,Schedule!$A:$A,"&lt;"&amp;J101))</f>
        <v>0</v>
      </c>
      <c r="L101">
        <f t="shared" si="5"/>
        <v>82</v>
      </c>
      <c r="M101" s="2"/>
      <c r="N101" s="2"/>
      <c r="O101">
        <f t="shared" si="6"/>
        <v>73</v>
      </c>
      <c r="P101">
        <f t="shared" si="7"/>
        <v>26.4</v>
      </c>
    </row>
    <row r="102" spans="1:17" x14ac:dyDescent="0.2">
      <c r="A102" t="s">
        <v>176</v>
      </c>
      <c r="B102" t="s">
        <v>373</v>
      </c>
      <c r="C102" t="s">
        <v>333</v>
      </c>
      <c r="D102">
        <v>74</v>
      </c>
      <c r="E102">
        <v>27.2</v>
      </c>
      <c r="H102" s="8" t="str">
        <f t="shared" si="4"/>
        <v/>
      </c>
      <c r="J102" s="9"/>
      <c r="K102">
        <f>IF(J102="",0,COUNTIFS(Schedule!$B:$B,B102,Schedule!$A:$A,"&lt;"&amp;J102))</f>
        <v>0</v>
      </c>
      <c r="L102">
        <f t="shared" si="5"/>
        <v>82</v>
      </c>
      <c r="M102" s="2"/>
      <c r="N102" s="2"/>
      <c r="O102">
        <f t="shared" si="6"/>
        <v>74</v>
      </c>
      <c r="P102">
        <f t="shared" si="7"/>
        <v>27.2</v>
      </c>
    </row>
    <row r="103" spans="1:17" x14ac:dyDescent="0.2">
      <c r="A103" t="s">
        <v>126</v>
      </c>
      <c r="B103" t="s">
        <v>334</v>
      </c>
      <c r="C103" t="s">
        <v>335</v>
      </c>
      <c r="D103">
        <v>75</v>
      </c>
      <c r="E103">
        <v>29</v>
      </c>
      <c r="F103">
        <v>69</v>
      </c>
      <c r="G103">
        <v>27.3</v>
      </c>
      <c r="H103" s="8">
        <f t="shared" si="4"/>
        <v>1.6999999999999993</v>
      </c>
      <c r="I103" t="s">
        <v>327</v>
      </c>
      <c r="J103" s="9">
        <v>46307</v>
      </c>
      <c r="K103">
        <f>IF(J103="",0,COUNTIFS(Schedule!$B:$B,B103,Schedule!$A:$A,"&lt;"&amp;J103))</f>
        <v>0</v>
      </c>
      <c r="L103">
        <f t="shared" si="5"/>
        <v>82</v>
      </c>
      <c r="M103" s="2"/>
      <c r="N103" s="2"/>
      <c r="O103">
        <f t="shared" si="6"/>
        <v>75</v>
      </c>
      <c r="P103">
        <f t="shared" si="7"/>
        <v>29</v>
      </c>
      <c r="Q103" t="s">
        <v>408</v>
      </c>
    </row>
    <row r="104" spans="1:17" x14ac:dyDescent="0.2">
      <c r="A104" t="s">
        <v>88</v>
      </c>
      <c r="B104" t="s">
        <v>377</v>
      </c>
      <c r="C104" t="s">
        <v>340</v>
      </c>
      <c r="D104">
        <v>75</v>
      </c>
      <c r="E104">
        <v>30.2</v>
      </c>
      <c r="F104">
        <v>74</v>
      </c>
      <c r="G104">
        <v>31</v>
      </c>
      <c r="H104" s="8">
        <f t="shared" si="4"/>
        <v>-0.80000000000000071</v>
      </c>
      <c r="J104" s="9"/>
      <c r="K104">
        <f>IF(J104="",0,COUNTIFS(Schedule!$B:$B,B104,Schedule!$A:$A,"&lt;"&amp;J104))</f>
        <v>0</v>
      </c>
      <c r="L104">
        <f t="shared" si="5"/>
        <v>82</v>
      </c>
      <c r="M104" s="2"/>
      <c r="N104" s="2"/>
      <c r="O104">
        <f t="shared" si="6"/>
        <v>75</v>
      </c>
      <c r="P104">
        <f t="shared" si="7"/>
        <v>30.2</v>
      </c>
    </row>
    <row r="105" spans="1:17" x14ac:dyDescent="0.2">
      <c r="A105" t="s">
        <v>120</v>
      </c>
      <c r="B105" t="s">
        <v>351</v>
      </c>
      <c r="C105" t="s">
        <v>359</v>
      </c>
      <c r="D105">
        <v>75</v>
      </c>
      <c r="E105">
        <v>30.4</v>
      </c>
      <c r="F105">
        <v>63</v>
      </c>
      <c r="G105">
        <v>27.7</v>
      </c>
      <c r="H105" s="8">
        <f t="shared" si="4"/>
        <v>2.6999999999999993</v>
      </c>
      <c r="I105" t="s">
        <v>327</v>
      </c>
      <c r="J105" s="9">
        <v>46315</v>
      </c>
      <c r="K105">
        <f>IF(J105="",0,COUNTIFS(Schedule!$B:$B,B105,Schedule!$A:$A,"&lt;"&amp;J105))</f>
        <v>0</v>
      </c>
      <c r="L105">
        <f t="shared" si="5"/>
        <v>82</v>
      </c>
      <c r="M105" s="2"/>
      <c r="N105" s="2"/>
      <c r="O105">
        <f t="shared" si="6"/>
        <v>75</v>
      </c>
      <c r="P105">
        <f t="shared" si="7"/>
        <v>30.4</v>
      </c>
      <c r="Q105" t="s">
        <v>409</v>
      </c>
    </row>
    <row r="106" spans="1:17" x14ac:dyDescent="0.2">
      <c r="A106" t="s">
        <v>161</v>
      </c>
      <c r="B106" t="s">
        <v>396</v>
      </c>
      <c r="C106" t="s">
        <v>382</v>
      </c>
      <c r="D106">
        <v>74</v>
      </c>
      <c r="E106">
        <v>27.3</v>
      </c>
      <c r="F106">
        <v>62</v>
      </c>
      <c r="G106">
        <v>25.8</v>
      </c>
      <c r="H106" s="8">
        <f t="shared" si="4"/>
        <v>1.5</v>
      </c>
      <c r="J106" s="9"/>
      <c r="K106">
        <f>IF(J106="",0,COUNTIFS(Schedule!$B:$B,B106,Schedule!$A:$A,"&lt;"&amp;J106))</f>
        <v>0</v>
      </c>
      <c r="L106">
        <f t="shared" si="5"/>
        <v>82</v>
      </c>
      <c r="M106" s="2"/>
      <c r="N106" s="2"/>
      <c r="O106">
        <f t="shared" si="6"/>
        <v>74</v>
      </c>
      <c r="P106">
        <f t="shared" si="7"/>
        <v>27.3</v>
      </c>
    </row>
    <row r="107" spans="1:17" x14ac:dyDescent="0.2">
      <c r="A107" t="s">
        <v>121</v>
      </c>
      <c r="B107" t="s">
        <v>345</v>
      </c>
      <c r="C107" t="s">
        <v>333</v>
      </c>
      <c r="D107">
        <v>79</v>
      </c>
      <c r="E107">
        <v>29.7</v>
      </c>
      <c r="F107">
        <v>82</v>
      </c>
      <c r="G107">
        <v>28.5</v>
      </c>
      <c r="H107" s="8">
        <f t="shared" si="4"/>
        <v>1.1999999999999993</v>
      </c>
      <c r="J107" s="9"/>
      <c r="K107">
        <f>IF(J107="",0,COUNTIFS(Schedule!$B:$B,B107,Schedule!$A:$A,"&lt;"&amp;J107))</f>
        <v>0</v>
      </c>
      <c r="L107">
        <f t="shared" si="5"/>
        <v>82</v>
      </c>
      <c r="M107" s="2"/>
      <c r="N107" s="2"/>
      <c r="O107">
        <f t="shared" si="6"/>
        <v>79</v>
      </c>
      <c r="P107">
        <f t="shared" si="7"/>
        <v>29.7</v>
      </c>
    </row>
    <row r="108" spans="1:17" x14ac:dyDescent="0.2">
      <c r="A108" t="s">
        <v>173</v>
      </c>
      <c r="B108" t="s">
        <v>332</v>
      </c>
      <c r="C108" t="s">
        <v>371</v>
      </c>
      <c r="D108">
        <v>76</v>
      </c>
      <c r="E108">
        <v>29.2</v>
      </c>
      <c r="F108">
        <v>75</v>
      </c>
      <c r="G108">
        <v>29.4</v>
      </c>
      <c r="H108" s="8">
        <f t="shared" si="4"/>
        <v>-0.19999999999999929</v>
      </c>
      <c r="J108" s="9"/>
      <c r="K108">
        <f>IF(J108="",0,COUNTIFS(Schedule!$B:$B,B108,Schedule!$A:$A,"&lt;"&amp;J108))</f>
        <v>0</v>
      </c>
      <c r="L108">
        <f t="shared" si="5"/>
        <v>82</v>
      </c>
      <c r="M108" s="2"/>
      <c r="N108" s="2"/>
      <c r="O108">
        <f t="shared" si="6"/>
        <v>76</v>
      </c>
      <c r="P108">
        <f t="shared" si="7"/>
        <v>29.2</v>
      </c>
    </row>
    <row r="109" spans="1:17" x14ac:dyDescent="0.2">
      <c r="A109" t="s">
        <v>140</v>
      </c>
      <c r="B109" t="s">
        <v>339</v>
      </c>
      <c r="C109" t="s">
        <v>359</v>
      </c>
      <c r="D109">
        <v>73</v>
      </c>
      <c r="E109">
        <v>30.2</v>
      </c>
      <c r="F109">
        <v>54</v>
      </c>
      <c r="G109">
        <v>30.5</v>
      </c>
      <c r="H109" s="8">
        <f t="shared" si="4"/>
        <v>-0.30000000000000071</v>
      </c>
      <c r="J109" s="9"/>
      <c r="K109">
        <f>IF(J109="",0,COUNTIFS(Schedule!$B:$B,B109,Schedule!$A:$A,"&lt;"&amp;J109))</f>
        <v>0</v>
      </c>
      <c r="L109">
        <f t="shared" si="5"/>
        <v>82</v>
      </c>
      <c r="M109" s="2"/>
      <c r="N109" s="2"/>
      <c r="O109">
        <f t="shared" si="6"/>
        <v>73</v>
      </c>
      <c r="P109">
        <f t="shared" si="7"/>
        <v>30.2</v>
      </c>
    </row>
    <row r="110" spans="1:17" x14ac:dyDescent="0.2">
      <c r="A110" t="s">
        <v>254</v>
      </c>
      <c r="B110" t="s">
        <v>364</v>
      </c>
      <c r="C110" t="s">
        <v>371</v>
      </c>
      <c r="D110">
        <v>73</v>
      </c>
      <c r="E110">
        <v>25.2</v>
      </c>
      <c r="F110">
        <v>54</v>
      </c>
      <c r="G110">
        <v>30</v>
      </c>
      <c r="H110" s="8">
        <f t="shared" si="4"/>
        <v>-4.8000000000000007</v>
      </c>
      <c r="J110" s="9"/>
      <c r="K110">
        <f>IF(J110="",0,COUNTIFS(Schedule!$B:$B,B110,Schedule!$A:$A,"&lt;"&amp;J110))</f>
        <v>0</v>
      </c>
      <c r="L110">
        <f t="shared" si="5"/>
        <v>82</v>
      </c>
      <c r="M110" s="2"/>
      <c r="N110" s="2"/>
      <c r="O110">
        <f t="shared" si="6"/>
        <v>73</v>
      </c>
      <c r="P110">
        <f t="shared" si="7"/>
        <v>25.2</v>
      </c>
    </row>
    <row r="111" spans="1:17" x14ac:dyDescent="0.2">
      <c r="A111" t="s">
        <v>146</v>
      </c>
      <c r="B111" t="s">
        <v>348</v>
      </c>
      <c r="C111" t="s">
        <v>365</v>
      </c>
      <c r="D111">
        <v>76</v>
      </c>
      <c r="E111">
        <v>32.299999999999997</v>
      </c>
      <c r="F111">
        <v>77</v>
      </c>
      <c r="G111">
        <v>35.1</v>
      </c>
      <c r="H111" s="8">
        <f t="shared" si="4"/>
        <v>-2.8000000000000043</v>
      </c>
      <c r="J111" s="9"/>
      <c r="K111">
        <f>IF(J111="",0,COUNTIFS(Schedule!$B:$B,B111,Schedule!$A:$A,"&lt;"&amp;J111))</f>
        <v>0</v>
      </c>
      <c r="L111">
        <f t="shared" si="5"/>
        <v>82</v>
      </c>
      <c r="M111" s="2"/>
      <c r="N111" s="2"/>
      <c r="O111">
        <f t="shared" si="6"/>
        <v>76</v>
      </c>
      <c r="P111">
        <f t="shared" si="7"/>
        <v>32.299999999999997</v>
      </c>
    </row>
    <row r="112" spans="1:17" x14ac:dyDescent="0.2">
      <c r="A112" t="s">
        <v>92</v>
      </c>
      <c r="B112" t="s">
        <v>334</v>
      </c>
      <c r="C112" t="s">
        <v>359</v>
      </c>
      <c r="D112">
        <v>76</v>
      </c>
      <c r="E112">
        <v>31.8</v>
      </c>
      <c r="F112">
        <v>73</v>
      </c>
      <c r="G112">
        <v>31.7</v>
      </c>
      <c r="H112" s="8">
        <f t="shared" si="4"/>
        <v>0.10000000000000142</v>
      </c>
      <c r="I112" t="s">
        <v>327</v>
      </c>
      <c r="J112" s="9">
        <v>46307</v>
      </c>
      <c r="K112">
        <f>IF(J112="",0,COUNTIFS(Schedule!$B:$B,B112,Schedule!$A:$A,"&lt;"&amp;J112))</f>
        <v>0</v>
      </c>
      <c r="L112">
        <f t="shared" si="5"/>
        <v>82</v>
      </c>
      <c r="M112" s="2"/>
      <c r="N112" s="2"/>
      <c r="O112">
        <f t="shared" si="6"/>
        <v>76</v>
      </c>
      <c r="P112">
        <f t="shared" si="7"/>
        <v>31.8</v>
      </c>
      <c r="Q112" t="s">
        <v>410</v>
      </c>
    </row>
    <row r="113" spans="1:17" x14ac:dyDescent="0.2">
      <c r="A113" t="s">
        <v>190</v>
      </c>
      <c r="B113" t="s">
        <v>364</v>
      </c>
      <c r="C113" t="s">
        <v>338</v>
      </c>
      <c r="D113">
        <v>75</v>
      </c>
      <c r="E113">
        <v>25.1</v>
      </c>
      <c r="F113">
        <v>72</v>
      </c>
      <c r="G113">
        <v>31.2</v>
      </c>
      <c r="H113" s="8">
        <f t="shared" si="4"/>
        <v>-6.0999999999999979</v>
      </c>
      <c r="J113" s="9"/>
      <c r="K113">
        <f>IF(J113="",0,COUNTIFS(Schedule!$B:$B,B113,Schedule!$A:$A,"&lt;"&amp;J113))</f>
        <v>0</v>
      </c>
      <c r="L113">
        <f t="shared" si="5"/>
        <v>82</v>
      </c>
      <c r="M113" s="2"/>
      <c r="N113" s="2"/>
      <c r="O113">
        <f t="shared" si="6"/>
        <v>75</v>
      </c>
      <c r="P113">
        <f t="shared" si="7"/>
        <v>25.1</v>
      </c>
    </row>
    <row r="114" spans="1:17" x14ac:dyDescent="0.2">
      <c r="A114" t="s">
        <v>192</v>
      </c>
      <c r="B114" t="s">
        <v>362</v>
      </c>
      <c r="C114" t="s">
        <v>359</v>
      </c>
      <c r="D114">
        <v>75</v>
      </c>
      <c r="E114">
        <v>27.9</v>
      </c>
      <c r="F114">
        <v>72</v>
      </c>
      <c r="G114">
        <v>27.6</v>
      </c>
      <c r="H114" s="8">
        <f t="shared" si="4"/>
        <v>0.29999999999999716</v>
      </c>
      <c r="J114" s="9"/>
      <c r="K114">
        <f>IF(J114="",0,COUNTIFS(Schedule!$B:$B,B114,Schedule!$A:$A,"&lt;"&amp;J114))</f>
        <v>0</v>
      </c>
      <c r="L114">
        <f t="shared" si="5"/>
        <v>82</v>
      </c>
      <c r="M114" s="2"/>
      <c r="N114" s="2"/>
      <c r="O114">
        <f t="shared" si="6"/>
        <v>75</v>
      </c>
      <c r="P114">
        <f t="shared" si="7"/>
        <v>27.9</v>
      </c>
    </row>
    <row r="115" spans="1:17" x14ac:dyDescent="0.2">
      <c r="A115" t="s">
        <v>307</v>
      </c>
      <c r="B115" t="s">
        <v>361</v>
      </c>
      <c r="C115" t="s">
        <v>335</v>
      </c>
      <c r="D115">
        <v>18</v>
      </c>
      <c r="E115">
        <v>21.9</v>
      </c>
      <c r="F115">
        <v>50</v>
      </c>
      <c r="G115">
        <v>29.4</v>
      </c>
      <c r="H115" s="8">
        <f t="shared" si="4"/>
        <v>-7.5</v>
      </c>
      <c r="I115" t="s">
        <v>375</v>
      </c>
      <c r="J115" s="9">
        <v>46448</v>
      </c>
      <c r="K115">
        <f>IF(J115="",0,COUNTIFS(Schedule!$B:$B,B115,Schedule!$A:$A,"&lt;"&amp;J115))</f>
        <v>59</v>
      </c>
      <c r="L115">
        <f t="shared" si="5"/>
        <v>23</v>
      </c>
      <c r="M115" s="2"/>
      <c r="N115" s="2"/>
      <c r="O115">
        <f t="shared" si="6"/>
        <v>18</v>
      </c>
      <c r="P115">
        <f t="shared" si="7"/>
        <v>21.9</v>
      </c>
      <c r="Q115" t="s">
        <v>411</v>
      </c>
    </row>
    <row r="116" spans="1:17" x14ac:dyDescent="0.2">
      <c r="A116" t="s">
        <v>186</v>
      </c>
      <c r="B116" t="s">
        <v>357</v>
      </c>
      <c r="C116" t="s">
        <v>367</v>
      </c>
      <c r="D116">
        <v>71</v>
      </c>
      <c r="E116">
        <v>30.4</v>
      </c>
      <c r="F116">
        <v>56</v>
      </c>
      <c r="G116">
        <v>31</v>
      </c>
      <c r="H116" s="8">
        <f t="shared" si="4"/>
        <v>-0.60000000000000142</v>
      </c>
      <c r="J116" s="9"/>
      <c r="K116">
        <f>IF(J116="",0,COUNTIFS(Schedule!$B:$B,B116,Schedule!$A:$A,"&lt;"&amp;J116))</f>
        <v>0</v>
      </c>
      <c r="L116">
        <f t="shared" si="5"/>
        <v>82</v>
      </c>
      <c r="M116" s="2"/>
      <c r="N116" s="2"/>
      <c r="O116">
        <f t="shared" si="6"/>
        <v>71</v>
      </c>
      <c r="P116">
        <f t="shared" si="7"/>
        <v>30.4</v>
      </c>
    </row>
    <row r="117" spans="1:17" x14ac:dyDescent="0.2">
      <c r="A117" t="s">
        <v>135</v>
      </c>
      <c r="B117" t="s">
        <v>358</v>
      </c>
      <c r="C117" t="s">
        <v>333</v>
      </c>
      <c r="D117">
        <v>70</v>
      </c>
      <c r="E117">
        <v>27.5</v>
      </c>
      <c r="F117">
        <v>57</v>
      </c>
      <c r="G117">
        <v>27.6</v>
      </c>
      <c r="H117" s="8">
        <f t="shared" si="4"/>
        <v>-0.10000000000000142</v>
      </c>
      <c r="I117" t="s">
        <v>327</v>
      </c>
      <c r="J117" s="9">
        <v>46308</v>
      </c>
      <c r="K117">
        <f>IF(J117="",0,COUNTIFS(Schedule!$B:$B,B117,Schedule!$A:$A,"&lt;"&amp;J117))</f>
        <v>0</v>
      </c>
      <c r="L117">
        <f t="shared" si="5"/>
        <v>82</v>
      </c>
      <c r="M117" s="2"/>
      <c r="N117" s="2"/>
      <c r="O117">
        <f t="shared" si="6"/>
        <v>70</v>
      </c>
      <c r="P117">
        <f t="shared" si="7"/>
        <v>27.5</v>
      </c>
      <c r="Q117" t="s">
        <v>412</v>
      </c>
    </row>
    <row r="118" spans="1:17" x14ac:dyDescent="0.2">
      <c r="A118" t="s">
        <v>160</v>
      </c>
      <c r="B118" t="s">
        <v>366</v>
      </c>
      <c r="C118" t="s">
        <v>333</v>
      </c>
      <c r="D118">
        <v>75</v>
      </c>
      <c r="E118">
        <v>32.1</v>
      </c>
      <c r="F118">
        <v>57</v>
      </c>
      <c r="G118">
        <v>31.3</v>
      </c>
      <c r="H118" s="8">
        <f t="shared" si="4"/>
        <v>0.80000000000000071</v>
      </c>
      <c r="J118" s="9"/>
      <c r="K118">
        <f>IF(J118="",0,COUNTIFS(Schedule!$B:$B,B118,Schedule!$A:$A,"&lt;"&amp;J118))</f>
        <v>0</v>
      </c>
      <c r="L118">
        <f t="shared" si="5"/>
        <v>82</v>
      </c>
      <c r="M118" s="2"/>
      <c r="N118" s="2"/>
      <c r="O118">
        <f t="shared" si="6"/>
        <v>75</v>
      </c>
      <c r="P118">
        <f t="shared" si="7"/>
        <v>32.1</v>
      </c>
    </row>
    <row r="119" spans="1:17" x14ac:dyDescent="0.2">
      <c r="A119" t="s">
        <v>227</v>
      </c>
      <c r="B119" t="s">
        <v>369</v>
      </c>
      <c r="C119" t="s">
        <v>349</v>
      </c>
      <c r="D119">
        <v>76</v>
      </c>
      <c r="E119">
        <v>26.9</v>
      </c>
      <c r="F119">
        <v>75</v>
      </c>
      <c r="G119">
        <v>28.3</v>
      </c>
      <c r="H119" s="8">
        <f t="shared" si="4"/>
        <v>-1.4000000000000021</v>
      </c>
      <c r="J119" s="9"/>
      <c r="K119">
        <f>IF(J119="",0,COUNTIFS(Schedule!$B:$B,B119,Schedule!$A:$A,"&lt;"&amp;J119))</f>
        <v>0</v>
      </c>
      <c r="L119">
        <f t="shared" si="5"/>
        <v>82</v>
      </c>
      <c r="M119" s="2"/>
      <c r="N119" s="2"/>
      <c r="O119">
        <f t="shared" si="6"/>
        <v>76</v>
      </c>
      <c r="P119">
        <f t="shared" si="7"/>
        <v>26.9</v>
      </c>
    </row>
    <row r="120" spans="1:17" x14ac:dyDescent="0.2">
      <c r="A120" t="s">
        <v>217</v>
      </c>
      <c r="B120" t="s">
        <v>364</v>
      </c>
      <c r="C120" t="s">
        <v>333</v>
      </c>
      <c r="D120">
        <v>78</v>
      </c>
      <c r="E120">
        <v>24.2</v>
      </c>
      <c r="F120">
        <v>82</v>
      </c>
      <c r="G120">
        <v>25.8</v>
      </c>
      <c r="H120" s="8">
        <f t="shared" si="4"/>
        <v>-1.6000000000000014</v>
      </c>
      <c r="J120" s="9"/>
      <c r="K120">
        <f>IF(J120="",0,COUNTIFS(Schedule!$B:$B,B120,Schedule!$A:$A,"&lt;"&amp;J120))</f>
        <v>0</v>
      </c>
      <c r="L120">
        <f t="shared" si="5"/>
        <v>82</v>
      </c>
      <c r="M120" s="2"/>
      <c r="N120" s="2"/>
      <c r="O120">
        <f t="shared" si="6"/>
        <v>78</v>
      </c>
      <c r="P120">
        <f t="shared" si="7"/>
        <v>24.2</v>
      </c>
    </row>
    <row r="121" spans="1:17" x14ac:dyDescent="0.2">
      <c r="A121" t="s">
        <v>166</v>
      </c>
      <c r="B121" t="s">
        <v>351</v>
      </c>
      <c r="C121" t="s">
        <v>371</v>
      </c>
      <c r="D121">
        <v>74</v>
      </c>
      <c r="E121">
        <v>27.8</v>
      </c>
      <c r="F121">
        <v>67</v>
      </c>
      <c r="G121">
        <v>30.5</v>
      </c>
      <c r="H121" s="8">
        <f t="shared" si="4"/>
        <v>-2.6999999999999993</v>
      </c>
      <c r="J121" s="9"/>
      <c r="K121">
        <f>IF(J121="",0,COUNTIFS(Schedule!$B:$B,B121,Schedule!$A:$A,"&lt;"&amp;J121))</f>
        <v>0</v>
      </c>
      <c r="L121">
        <f t="shared" si="5"/>
        <v>82</v>
      </c>
      <c r="M121" s="2"/>
      <c r="N121" s="2"/>
      <c r="O121">
        <f t="shared" si="6"/>
        <v>74</v>
      </c>
      <c r="P121">
        <f t="shared" si="7"/>
        <v>27.8</v>
      </c>
    </row>
    <row r="122" spans="1:17" x14ac:dyDescent="0.2">
      <c r="A122" t="s">
        <v>155</v>
      </c>
      <c r="B122" t="s">
        <v>369</v>
      </c>
      <c r="C122" t="s">
        <v>333</v>
      </c>
      <c r="D122">
        <v>74</v>
      </c>
      <c r="E122">
        <v>26</v>
      </c>
      <c r="F122">
        <v>74</v>
      </c>
      <c r="G122">
        <v>32.1</v>
      </c>
      <c r="H122" s="8">
        <f t="shared" si="4"/>
        <v>-6.1000000000000014</v>
      </c>
      <c r="J122" s="9"/>
      <c r="K122">
        <f>IF(J122="",0,COUNTIFS(Schedule!$B:$B,B122,Schedule!$A:$A,"&lt;"&amp;J122))</f>
        <v>0</v>
      </c>
      <c r="L122">
        <f t="shared" si="5"/>
        <v>82</v>
      </c>
      <c r="M122" s="2"/>
      <c r="N122" s="2"/>
      <c r="O122">
        <f t="shared" si="6"/>
        <v>74</v>
      </c>
      <c r="P122">
        <f t="shared" si="7"/>
        <v>26</v>
      </c>
    </row>
    <row r="123" spans="1:17" x14ac:dyDescent="0.2">
      <c r="A123" t="s">
        <v>116</v>
      </c>
      <c r="B123" t="s">
        <v>385</v>
      </c>
      <c r="C123" t="s">
        <v>338</v>
      </c>
      <c r="D123">
        <v>75</v>
      </c>
      <c r="E123">
        <v>34.200000000000003</v>
      </c>
      <c r="F123">
        <v>23</v>
      </c>
      <c r="G123">
        <v>34.5</v>
      </c>
      <c r="H123" s="8">
        <f t="shared" si="4"/>
        <v>-0.29999999999999716</v>
      </c>
      <c r="J123" s="9"/>
      <c r="K123">
        <f>IF(J123="",0,COUNTIFS(Schedule!$B:$B,B123,Schedule!$A:$A,"&lt;"&amp;J123))</f>
        <v>0</v>
      </c>
      <c r="L123">
        <f t="shared" si="5"/>
        <v>82</v>
      </c>
      <c r="M123" s="2"/>
      <c r="N123" s="2"/>
      <c r="O123">
        <f t="shared" si="6"/>
        <v>75</v>
      </c>
      <c r="P123">
        <f t="shared" si="7"/>
        <v>34.200000000000003</v>
      </c>
    </row>
    <row r="124" spans="1:17" x14ac:dyDescent="0.2">
      <c r="A124" t="s">
        <v>250</v>
      </c>
      <c r="B124" t="s">
        <v>343</v>
      </c>
      <c r="C124" t="s">
        <v>333</v>
      </c>
      <c r="D124">
        <v>72</v>
      </c>
      <c r="E124">
        <v>23.7</v>
      </c>
      <c r="F124">
        <v>55</v>
      </c>
      <c r="G124">
        <v>24.9</v>
      </c>
      <c r="H124" s="8">
        <f t="shared" si="4"/>
        <v>-1.1999999999999993</v>
      </c>
      <c r="I124" t="s">
        <v>327</v>
      </c>
      <c r="J124" s="9">
        <v>46311</v>
      </c>
      <c r="K124">
        <f>IF(J124="",0,COUNTIFS(Schedule!$B:$B,B124,Schedule!$A:$A,"&lt;"&amp;J124))</f>
        <v>0</v>
      </c>
      <c r="L124">
        <f t="shared" si="5"/>
        <v>82</v>
      </c>
      <c r="M124" s="2"/>
      <c r="N124" s="2"/>
      <c r="O124">
        <f t="shared" si="6"/>
        <v>72</v>
      </c>
      <c r="P124">
        <f t="shared" si="7"/>
        <v>23.7</v>
      </c>
      <c r="Q124" t="s">
        <v>413</v>
      </c>
    </row>
    <row r="125" spans="1:17" x14ac:dyDescent="0.2">
      <c r="A125" t="s">
        <v>118</v>
      </c>
      <c r="B125" t="s">
        <v>348</v>
      </c>
      <c r="C125" t="s">
        <v>333</v>
      </c>
      <c r="D125">
        <v>73</v>
      </c>
      <c r="E125">
        <v>32.5</v>
      </c>
      <c r="H125" s="8" t="str">
        <f t="shared" si="4"/>
        <v/>
      </c>
      <c r="I125" t="s">
        <v>327</v>
      </c>
      <c r="J125" s="9">
        <v>46310</v>
      </c>
      <c r="K125">
        <f>IF(J125="",0,COUNTIFS(Schedule!$B:$B,B125,Schedule!$A:$A,"&lt;"&amp;J125))</f>
        <v>0</v>
      </c>
      <c r="L125">
        <f t="shared" si="5"/>
        <v>82</v>
      </c>
      <c r="M125" s="2"/>
      <c r="N125" s="2"/>
      <c r="O125">
        <f t="shared" si="6"/>
        <v>73</v>
      </c>
      <c r="P125">
        <f t="shared" si="7"/>
        <v>32.5</v>
      </c>
      <c r="Q125" t="s">
        <v>414</v>
      </c>
    </row>
    <row r="126" spans="1:17" x14ac:dyDescent="0.2">
      <c r="A126" t="s">
        <v>145</v>
      </c>
      <c r="B126" t="s">
        <v>341</v>
      </c>
      <c r="C126" t="s">
        <v>338</v>
      </c>
      <c r="D126">
        <v>75</v>
      </c>
      <c r="E126">
        <v>29.3</v>
      </c>
      <c r="F126">
        <v>54</v>
      </c>
      <c r="G126">
        <v>29.6</v>
      </c>
      <c r="H126" s="8">
        <f t="shared" si="4"/>
        <v>-0.30000000000000071</v>
      </c>
      <c r="J126" s="9"/>
      <c r="K126">
        <f>IF(J126="",0,COUNTIFS(Schedule!$B:$B,B126,Schedule!$A:$A,"&lt;"&amp;J126))</f>
        <v>0</v>
      </c>
      <c r="L126">
        <f t="shared" si="5"/>
        <v>82</v>
      </c>
      <c r="M126" s="2"/>
      <c r="N126" s="2"/>
      <c r="O126">
        <f t="shared" si="6"/>
        <v>75</v>
      </c>
      <c r="P126">
        <f t="shared" si="7"/>
        <v>29.3</v>
      </c>
    </row>
    <row r="127" spans="1:17" x14ac:dyDescent="0.2">
      <c r="A127" t="s">
        <v>165</v>
      </c>
      <c r="B127" t="s">
        <v>373</v>
      </c>
      <c r="C127" t="s">
        <v>338</v>
      </c>
      <c r="D127">
        <v>75</v>
      </c>
      <c r="E127">
        <v>30.3</v>
      </c>
      <c r="F127">
        <v>68</v>
      </c>
      <c r="G127">
        <v>28.3</v>
      </c>
      <c r="H127" s="8">
        <f t="shared" si="4"/>
        <v>2</v>
      </c>
      <c r="J127" s="9"/>
      <c r="K127">
        <f>IF(J127="",0,COUNTIFS(Schedule!$B:$B,B127,Schedule!$A:$A,"&lt;"&amp;J127))</f>
        <v>0</v>
      </c>
      <c r="L127">
        <f t="shared" si="5"/>
        <v>82</v>
      </c>
      <c r="M127" s="2"/>
      <c r="N127" s="2"/>
      <c r="O127">
        <f t="shared" si="6"/>
        <v>75</v>
      </c>
      <c r="P127">
        <f t="shared" si="7"/>
        <v>30.3</v>
      </c>
    </row>
    <row r="128" spans="1:17" x14ac:dyDescent="0.2">
      <c r="A128" t="s">
        <v>233</v>
      </c>
      <c r="B128" t="s">
        <v>329</v>
      </c>
      <c r="C128" t="s">
        <v>371</v>
      </c>
      <c r="D128">
        <v>74</v>
      </c>
      <c r="E128">
        <v>23.6</v>
      </c>
      <c r="F128">
        <v>69</v>
      </c>
      <c r="G128">
        <v>21.7</v>
      </c>
      <c r="H128" s="8">
        <f t="shared" si="4"/>
        <v>1.9000000000000021</v>
      </c>
      <c r="I128" t="s">
        <v>327</v>
      </c>
      <c r="J128" s="9">
        <v>46309</v>
      </c>
      <c r="K128">
        <f>IF(J128="",0,COUNTIFS(Schedule!$B:$B,B128,Schedule!$A:$A,"&lt;"&amp;J128))</f>
        <v>0</v>
      </c>
      <c r="L128">
        <f t="shared" si="5"/>
        <v>82</v>
      </c>
      <c r="M128" s="2"/>
      <c r="N128" s="2"/>
      <c r="O128">
        <f t="shared" si="6"/>
        <v>74</v>
      </c>
      <c r="P128">
        <f t="shared" si="7"/>
        <v>23.6</v>
      </c>
      <c r="Q128" t="s">
        <v>415</v>
      </c>
    </row>
    <row r="129" spans="1:17" x14ac:dyDescent="0.2">
      <c r="A129" t="s">
        <v>177</v>
      </c>
      <c r="B129" t="s">
        <v>366</v>
      </c>
      <c r="C129" t="s">
        <v>349</v>
      </c>
      <c r="D129">
        <v>71</v>
      </c>
      <c r="E129">
        <v>27.9</v>
      </c>
      <c r="F129">
        <v>45</v>
      </c>
      <c r="G129">
        <v>29.7</v>
      </c>
      <c r="H129" s="8">
        <f t="shared" si="4"/>
        <v>-1.8000000000000007</v>
      </c>
      <c r="J129" s="9"/>
      <c r="K129">
        <f>IF(J129="",0,COUNTIFS(Schedule!$B:$B,B129,Schedule!$A:$A,"&lt;"&amp;J129))</f>
        <v>0</v>
      </c>
      <c r="L129">
        <f t="shared" si="5"/>
        <v>82</v>
      </c>
      <c r="M129" s="2"/>
      <c r="N129" s="2"/>
      <c r="O129">
        <f t="shared" si="6"/>
        <v>71</v>
      </c>
      <c r="P129">
        <f t="shared" si="7"/>
        <v>27.9</v>
      </c>
    </row>
    <row r="130" spans="1:17" x14ac:dyDescent="0.2">
      <c r="A130" t="s">
        <v>230</v>
      </c>
      <c r="B130" t="s">
        <v>385</v>
      </c>
      <c r="C130" t="s">
        <v>333</v>
      </c>
      <c r="D130">
        <v>73</v>
      </c>
      <c r="E130">
        <v>23.1</v>
      </c>
      <c r="F130">
        <v>62</v>
      </c>
      <c r="G130">
        <v>22</v>
      </c>
      <c r="H130" s="8">
        <f t="shared" ref="H130:H193" si="8">IF(G130="","",E130-G130)</f>
        <v>1.1000000000000014</v>
      </c>
      <c r="I130" t="s">
        <v>327</v>
      </c>
      <c r="J130" s="9">
        <v>46308</v>
      </c>
      <c r="K130">
        <f>IF(J130="",0,COUNTIFS(Schedule!$B:$B,B130,Schedule!$A:$A,"&lt;"&amp;J130))</f>
        <v>0</v>
      </c>
      <c r="L130">
        <f t="shared" ref="L130:L193" si="9">82-K130</f>
        <v>82</v>
      </c>
      <c r="M130" s="2"/>
      <c r="N130" s="2"/>
      <c r="O130">
        <f t="shared" ref="O130:O193" si="10">IF(M130&lt;&gt;"",M130,MIN(D130,L130))</f>
        <v>73</v>
      </c>
      <c r="P130">
        <f t="shared" ref="P130:P193" si="11">IF(N130&lt;&gt;"",N130,E130)</f>
        <v>23.1</v>
      </c>
      <c r="Q130" t="s">
        <v>416</v>
      </c>
    </row>
    <row r="131" spans="1:17" x14ac:dyDescent="0.2">
      <c r="A131" t="s">
        <v>242</v>
      </c>
      <c r="B131" t="s">
        <v>373</v>
      </c>
      <c r="C131" t="s">
        <v>382</v>
      </c>
      <c r="D131">
        <v>66</v>
      </c>
      <c r="E131">
        <v>23.8</v>
      </c>
      <c r="F131">
        <v>6</v>
      </c>
      <c r="G131">
        <v>20.2</v>
      </c>
      <c r="H131" s="8">
        <f t="shared" si="8"/>
        <v>3.6000000000000014</v>
      </c>
      <c r="I131" t="s">
        <v>327</v>
      </c>
      <c r="J131" s="9">
        <v>46309</v>
      </c>
      <c r="K131">
        <f>IF(J131="",0,COUNTIFS(Schedule!$B:$B,B131,Schedule!$A:$A,"&lt;"&amp;J131))</f>
        <v>0</v>
      </c>
      <c r="L131">
        <f t="shared" si="9"/>
        <v>82</v>
      </c>
      <c r="M131" s="2"/>
      <c r="N131" s="2"/>
      <c r="O131">
        <f t="shared" si="10"/>
        <v>66</v>
      </c>
      <c r="P131">
        <f t="shared" si="11"/>
        <v>23.8</v>
      </c>
      <c r="Q131" t="s">
        <v>417</v>
      </c>
    </row>
    <row r="132" spans="1:17" x14ac:dyDescent="0.2">
      <c r="A132" t="s">
        <v>198</v>
      </c>
      <c r="B132" t="s">
        <v>329</v>
      </c>
      <c r="C132" t="s">
        <v>330</v>
      </c>
      <c r="D132">
        <v>72</v>
      </c>
      <c r="E132">
        <v>22.6</v>
      </c>
      <c r="F132">
        <v>67</v>
      </c>
      <c r="G132">
        <v>24.2</v>
      </c>
      <c r="H132" s="8">
        <f t="shared" si="8"/>
        <v>-1.5999999999999979</v>
      </c>
      <c r="J132" s="9"/>
      <c r="K132">
        <f>IF(J132="",0,COUNTIFS(Schedule!$B:$B,B132,Schedule!$A:$A,"&lt;"&amp;J132))</f>
        <v>0</v>
      </c>
      <c r="L132">
        <f t="shared" si="9"/>
        <v>82</v>
      </c>
      <c r="M132" s="2"/>
      <c r="N132" s="2"/>
      <c r="O132">
        <f t="shared" si="10"/>
        <v>72</v>
      </c>
      <c r="P132">
        <f t="shared" si="11"/>
        <v>22.6</v>
      </c>
    </row>
    <row r="133" spans="1:17" x14ac:dyDescent="0.2">
      <c r="A133" t="s">
        <v>142</v>
      </c>
      <c r="B133" t="s">
        <v>369</v>
      </c>
      <c r="C133" t="s">
        <v>340</v>
      </c>
      <c r="D133">
        <v>75</v>
      </c>
      <c r="E133">
        <v>27.8</v>
      </c>
      <c r="F133">
        <v>71</v>
      </c>
      <c r="G133">
        <v>26.9</v>
      </c>
      <c r="H133" s="8">
        <f t="shared" si="8"/>
        <v>0.90000000000000213</v>
      </c>
      <c r="J133" s="9"/>
      <c r="K133">
        <f>IF(J133="",0,COUNTIFS(Schedule!$B:$B,B133,Schedule!$A:$A,"&lt;"&amp;J133))</f>
        <v>0</v>
      </c>
      <c r="L133">
        <f t="shared" si="9"/>
        <v>82</v>
      </c>
      <c r="M133" s="2"/>
      <c r="N133" s="2"/>
      <c r="O133">
        <f t="shared" si="10"/>
        <v>75</v>
      </c>
      <c r="P133">
        <f t="shared" si="11"/>
        <v>27.8</v>
      </c>
    </row>
    <row r="134" spans="1:17" x14ac:dyDescent="0.2">
      <c r="A134" t="s">
        <v>216</v>
      </c>
      <c r="B134" t="s">
        <v>377</v>
      </c>
      <c r="C134" t="s">
        <v>333</v>
      </c>
      <c r="D134">
        <v>75</v>
      </c>
      <c r="E134">
        <v>25.4</v>
      </c>
      <c r="H134" s="8" t="str">
        <f t="shared" si="8"/>
        <v/>
      </c>
      <c r="J134" s="9"/>
      <c r="K134">
        <f>IF(J134="",0,COUNTIFS(Schedule!$B:$B,B134,Schedule!$A:$A,"&lt;"&amp;J134))</f>
        <v>0</v>
      </c>
      <c r="L134">
        <f t="shared" si="9"/>
        <v>82</v>
      </c>
      <c r="M134" s="2"/>
      <c r="N134" s="2"/>
      <c r="O134">
        <f t="shared" si="10"/>
        <v>75</v>
      </c>
      <c r="P134">
        <f t="shared" si="11"/>
        <v>25.4</v>
      </c>
    </row>
    <row r="135" spans="1:17" x14ac:dyDescent="0.2">
      <c r="A135" t="s">
        <v>182</v>
      </c>
      <c r="B135" t="s">
        <v>368</v>
      </c>
      <c r="C135" t="s">
        <v>349</v>
      </c>
      <c r="D135">
        <v>72</v>
      </c>
      <c r="E135">
        <v>28.5</v>
      </c>
      <c r="F135">
        <v>48</v>
      </c>
      <c r="G135">
        <v>29</v>
      </c>
      <c r="H135" s="8">
        <f t="shared" si="8"/>
        <v>-0.5</v>
      </c>
      <c r="J135" s="9"/>
      <c r="K135">
        <f>IF(J135="",0,COUNTIFS(Schedule!$B:$B,B135,Schedule!$A:$A,"&lt;"&amp;J135))</f>
        <v>0</v>
      </c>
      <c r="L135">
        <f t="shared" si="9"/>
        <v>82</v>
      </c>
      <c r="M135" s="2"/>
      <c r="N135" s="2"/>
      <c r="O135">
        <f t="shared" si="10"/>
        <v>72</v>
      </c>
      <c r="P135">
        <f t="shared" si="11"/>
        <v>28.5</v>
      </c>
    </row>
    <row r="136" spans="1:17" x14ac:dyDescent="0.2">
      <c r="A136" t="s">
        <v>100</v>
      </c>
      <c r="B136" t="s">
        <v>342</v>
      </c>
      <c r="C136" t="s">
        <v>382</v>
      </c>
      <c r="D136">
        <v>73</v>
      </c>
      <c r="E136">
        <v>32.700000000000003</v>
      </c>
      <c r="F136">
        <v>66</v>
      </c>
      <c r="G136">
        <v>30.2</v>
      </c>
      <c r="H136" s="8">
        <f t="shared" si="8"/>
        <v>2.5000000000000036</v>
      </c>
      <c r="J136" s="9"/>
      <c r="K136">
        <f>IF(J136="",0,COUNTIFS(Schedule!$B:$B,B136,Schedule!$A:$A,"&lt;"&amp;J136))</f>
        <v>0</v>
      </c>
      <c r="L136">
        <f t="shared" si="9"/>
        <v>82</v>
      </c>
      <c r="M136" s="2"/>
      <c r="N136" s="2"/>
      <c r="O136">
        <f t="shared" si="10"/>
        <v>73</v>
      </c>
      <c r="P136">
        <f t="shared" si="11"/>
        <v>32.700000000000003</v>
      </c>
    </row>
    <row r="137" spans="1:17" x14ac:dyDescent="0.2">
      <c r="A137" t="s">
        <v>179</v>
      </c>
      <c r="B137" t="s">
        <v>357</v>
      </c>
      <c r="C137" t="s">
        <v>371</v>
      </c>
      <c r="D137">
        <v>78</v>
      </c>
      <c r="E137">
        <v>30.8</v>
      </c>
      <c r="F137">
        <v>77</v>
      </c>
      <c r="G137">
        <v>29.1</v>
      </c>
      <c r="H137" s="8">
        <f t="shared" si="8"/>
        <v>1.6999999999999993</v>
      </c>
      <c r="J137" s="9"/>
      <c r="K137">
        <f>IF(J137="",0,COUNTIFS(Schedule!$B:$B,B137,Schedule!$A:$A,"&lt;"&amp;J137))</f>
        <v>0</v>
      </c>
      <c r="L137">
        <f t="shared" si="9"/>
        <v>82</v>
      </c>
      <c r="M137" s="2"/>
      <c r="N137" s="2"/>
      <c r="O137">
        <f t="shared" si="10"/>
        <v>78</v>
      </c>
      <c r="P137">
        <f t="shared" si="11"/>
        <v>30.8</v>
      </c>
    </row>
    <row r="138" spans="1:17" x14ac:dyDescent="0.2">
      <c r="A138" t="s">
        <v>174</v>
      </c>
      <c r="B138" t="s">
        <v>339</v>
      </c>
      <c r="C138" t="s">
        <v>349</v>
      </c>
      <c r="D138">
        <v>72</v>
      </c>
      <c r="E138">
        <v>30.4</v>
      </c>
      <c r="F138">
        <v>44</v>
      </c>
      <c r="G138">
        <v>31.8</v>
      </c>
      <c r="H138" s="8">
        <f t="shared" si="8"/>
        <v>-1.4000000000000021</v>
      </c>
      <c r="J138" s="9"/>
      <c r="K138">
        <f>IF(J138="",0,COUNTIFS(Schedule!$B:$B,B138,Schedule!$A:$A,"&lt;"&amp;J138))</f>
        <v>0</v>
      </c>
      <c r="L138">
        <f t="shared" si="9"/>
        <v>82</v>
      </c>
      <c r="M138" s="2"/>
      <c r="N138" s="2"/>
      <c r="O138">
        <f t="shared" si="10"/>
        <v>72</v>
      </c>
      <c r="P138">
        <f t="shared" si="11"/>
        <v>30.4</v>
      </c>
    </row>
    <row r="139" spans="1:17" x14ac:dyDescent="0.2">
      <c r="A139" t="s">
        <v>131</v>
      </c>
      <c r="B139" t="s">
        <v>353</v>
      </c>
      <c r="C139" t="s">
        <v>340</v>
      </c>
      <c r="D139">
        <v>72</v>
      </c>
      <c r="E139">
        <v>27.2</v>
      </c>
      <c r="F139">
        <v>46</v>
      </c>
      <c r="G139">
        <v>25</v>
      </c>
      <c r="H139" s="8">
        <f t="shared" si="8"/>
        <v>2.1999999999999993</v>
      </c>
      <c r="J139" s="9"/>
      <c r="K139">
        <f>IF(J139="",0,COUNTIFS(Schedule!$B:$B,B139,Schedule!$A:$A,"&lt;"&amp;J139))</f>
        <v>0</v>
      </c>
      <c r="L139">
        <f t="shared" si="9"/>
        <v>82</v>
      </c>
      <c r="M139" s="2"/>
      <c r="N139" s="2"/>
      <c r="O139">
        <f t="shared" si="10"/>
        <v>72</v>
      </c>
      <c r="P139">
        <f t="shared" si="11"/>
        <v>27.2</v>
      </c>
    </row>
    <row r="140" spans="1:17" x14ac:dyDescent="0.2">
      <c r="A140" t="s">
        <v>213</v>
      </c>
      <c r="B140" t="s">
        <v>378</v>
      </c>
      <c r="C140" t="s">
        <v>335</v>
      </c>
      <c r="D140">
        <v>71</v>
      </c>
      <c r="E140">
        <v>23</v>
      </c>
      <c r="F140">
        <v>51</v>
      </c>
      <c r="G140">
        <v>28.8</v>
      </c>
      <c r="H140" s="8">
        <f t="shared" si="8"/>
        <v>-5.8000000000000007</v>
      </c>
      <c r="I140" t="s">
        <v>327</v>
      </c>
      <c r="J140" s="9">
        <v>46309</v>
      </c>
      <c r="K140">
        <f>IF(J140="",0,COUNTIFS(Schedule!$B:$B,B140,Schedule!$A:$A,"&lt;"&amp;J140))</f>
        <v>0</v>
      </c>
      <c r="L140">
        <f t="shared" si="9"/>
        <v>82</v>
      </c>
      <c r="M140" s="2"/>
      <c r="N140" s="2"/>
      <c r="O140">
        <f t="shared" si="10"/>
        <v>71</v>
      </c>
      <c r="P140">
        <f t="shared" si="11"/>
        <v>23</v>
      </c>
      <c r="Q140" t="s">
        <v>418</v>
      </c>
    </row>
    <row r="141" spans="1:17" x14ac:dyDescent="0.2">
      <c r="A141" t="s">
        <v>175</v>
      </c>
      <c r="B141" t="s">
        <v>379</v>
      </c>
      <c r="C141" t="s">
        <v>333</v>
      </c>
      <c r="D141">
        <v>75</v>
      </c>
      <c r="E141">
        <v>28.6</v>
      </c>
      <c r="F141">
        <v>52</v>
      </c>
      <c r="G141">
        <v>25.2</v>
      </c>
      <c r="H141" s="8">
        <f t="shared" si="8"/>
        <v>3.4000000000000021</v>
      </c>
      <c r="J141" s="9"/>
      <c r="K141">
        <f>IF(J141="",0,COUNTIFS(Schedule!$B:$B,B141,Schedule!$A:$A,"&lt;"&amp;J141))</f>
        <v>0</v>
      </c>
      <c r="L141">
        <f t="shared" si="9"/>
        <v>82</v>
      </c>
      <c r="M141" s="2"/>
      <c r="N141" s="2"/>
      <c r="O141">
        <f t="shared" si="10"/>
        <v>75</v>
      </c>
      <c r="P141">
        <f t="shared" si="11"/>
        <v>28.6</v>
      </c>
    </row>
    <row r="142" spans="1:17" x14ac:dyDescent="0.2">
      <c r="A142" t="s">
        <v>268</v>
      </c>
      <c r="B142" t="s">
        <v>361</v>
      </c>
      <c r="C142" t="s">
        <v>333</v>
      </c>
      <c r="D142">
        <v>72</v>
      </c>
      <c r="E142">
        <v>23.6</v>
      </c>
      <c r="F142">
        <v>30</v>
      </c>
      <c r="G142">
        <v>24.9</v>
      </c>
      <c r="H142" s="8">
        <f t="shared" si="8"/>
        <v>-1.2999999999999972</v>
      </c>
      <c r="J142" s="9"/>
      <c r="K142">
        <f>IF(J142="",0,COUNTIFS(Schedule!$B:$B,B142,Schedule!$A:$A,"&lt;"&amp;J142))</f>
        <v>0</v>
      </c>
      <c r="L142">
        <f t="shared" si="9"/>
        <v>82</v>
      </c>
      <c r="M142" s="2"/>
      <c r="N142" s="2"/>
      <c r="O142">
        <f t="shared" si="10"/>
        <v>72</v>
      </c>
      <c r="P142">
        <f t="shared" si="11"/>
        <v>23.6</v>
      </c>
    </row>
    <row r="143" spans="1:17" x14ac:dyDescent="0.2">
      <c r="A143" t="s">
        <v>80</v>
      </c>
      <c r="B143" t="s">
        <v>377</v>
      </c>
      <c r="C143" t="s">
        <v>335</v>
      </c>
      <c r="D143">
        <v>77</v>
      </c>
      <c r="E143">
        <v>32.9</v>
      </c>
      <c r="F143">
        <v>76</v>
      </c>
      <c r="G143">
        <v>33.200000000000003</v>
      </c>
      <c r="H143" s="8">
        <f t="shared" si="8"/>
        <v>-0.30000000000000426</v>
      </c>
      <c r="J143" s="9"/>
      <c r="K143">
        <f>IF(J143="",0,COUNTIFS(Schedule!$B:$B,B143,Schedule!$A:$A,"&lt;"&amp;J143))</f>
        <v>0</v>
      </c>
      <c r="L143">
        <f t="shared" si="9"/>
        <v>82</v>
      </c>
      <c r="M143" s="2"/>
      <c r="N143" s="2"/>
      <c r="O143">
        <f t="shared" si="10"/>
        <v>77</v>
      </c>
      <c r="P143">
        <f t="shared" si="11"/>
        <v>32.9</v>
      </c>
    </row>
    <row r="144" spans="1:17" x14ac:dyDescent="0.2">
      <c r="A144" t="s">
        <v>202</v>
      </c>
      <c r="B144" t="s">
        <v>358</v>
      </c>
      <c r="C144" t="s">
        <v>395</v>
      </c>
      <c r="D144">
        <v>74</v>
      </c>
      <c r="E144">
        <v>25.9</v>
      </c>
      <c r="F144">
        <v>64</v>
      </c>
      <c r="G144">
        <v>29.8</v>
      </c>
      <c r="H144" s="8">
        <f t="shared" si="8"/>
        <v>-3.9000000000000021</v>
      </c>
      <c r="I144" t="s">
        <v>327</v>
      </c>
      <c r="J144" s="9">
        <v>46308</v>
      </c>
      <c r="K144">
        <f>IF(J144="",0,COUNTIFS(Schedule!$B:$B,B144,Schedule!$A:$A,"&lt;"&amp;J144))</f>
        <v>0</v>
      </c>
      <c r="L144">
        <f t="shared" si="9"/>
        <v>82</v>
      </c>
      <c r="M144" s="2"/>
      <c r="N144" s="2"/>
      <c r="O144">
        <f t="shared" si="10"/>
        <v>74</v>
      </c>
      <c r="P144">
        <f t="shared" si="11"/>
        <v>25.9</v>
      </c>
      <c r="Q144" t="s">
        <v>419</v>
      </c>
    </row>
    <row r="145" spans="1:17" x14ac:dyDescent="0.2">
      <c r="A145" t="s">
        <v>280</v>
      </c>
      <c r="B145" t="s">
        <v>369</v>
      </c>
      <c r="C145" t="s">
        <v>338</v>
      </c>
      <c r="D145">
        <v>73</v>
      </c>
      <c r="E145">
        <v>24.5</v>
      </c>
      <c r="F145">
        <v>69</v>
      </c>
      <c r="G145">
        <v>26.2</v>
      </c>
      <c r="H145" s="8">
        <f t="shared" si="8"/>
        <v>-1.6999999999999993</v>
      </c>
      <c r="J145" s="9"/>
      <c r="K145">
        <f>IF(J145="",0,COUNTIFS(Schedule!$B:$B,B145,Schedule!$A:$A,"&lt;"&amp;J145))</f>
        <v>0</v>
      </c>
      <c r="L145">
        <f t="shared" si="9"/>
        <v>82</v>
      </c>
      <c r="M145" s="2"/>
      <c r="N145" s="2"/>
      <c r="O145">
        <f t="shared" si="10"/>
        <v>73</v>
      </c>
      <c r="P145">
        <f t="shared" si="11"/>
        <v>24.5</v>
      </c>
    </row>
    <row r="146" spans="1:17" x14ac:dyDescent="0.2">
      <c r="A146" t="s">
        <v>167</v>
      </c>
      <c r="B146" t="s">
        <v>370</v>
      </c>
      <c r="C146" t="s">
        <v>340</v>
      </c>
      <c r="D146">
        <v>74</v>
      </c>
      <c r="E146">
        <v>27.4</v>
      </c>
      <c r="F146">
        <v>69</v>
      </c>
      <c r="G146">
        <v>27.8</v>
      </c>
      <c r="H146" s="8">
        <f t="shared" si="8"/>
        <v>-0.40000000000000213</v>
      </c>
      <c r="I146" t="s">
        <v>327</v>
      </c>
      <c r="J146" s="9">
        <v>46316</v>
      </c>
      <c r="K146">
        <f>IF(J146="",0,COUNTIFS(Schedule!$B:$B,B146,Schedule!$A:$A,"&lt;"&amp;J146))</f>
        <v>0</v>
      </c>
      <c r="L146">
        <f t="shared" si="9"/>
        <v>82</v>
      </c>
      <c r="M146" s="2"/>
      <c r="N146" s="2"/>
      <c r="O146">
        <f t="shared" si="10"/>
        <v>74</v>
      </c>
      <c r="P146">
        <f t="shared" si="11"/>
        <v>27.4</v>
      </c>
      <c r="Q146" t="s">
        <v>420</v>
      </c>
    </row>
    <row r="147" spans="1:17" x14ac:dyDescent="0.2">
      <c r="A147" t="s">
        <v>208</v>
      </c>
      <c r="B147" t="s">
        <v>355</v>
      </c>
      <c r="C147" t="s">
        <v>371</v>
      </c>
      <c r="D147">
        <v>77</v>
      </c>
      <c r="E147">
        <v>25.6</v>
      </c>
      <c r="F147">
        <v>77</v>
      </c>
      <c r="G147">
        <v>27.4</v>
      </c>
      <c r="H147" s="8">
        <f t="shared" si="8"/>
        <v>-1.7999999999999972</v>
      </c>
      <c r="J147" s="9"/>
      <c r="K147">
        <f>IF(J147="",0,COUNTIFS(Schedule!$B:$B,B147,Schedule!$A:$A,"&lt;"&amp;J147))</f>
        <v>0</v>
      </c>
      <c r="L147">
        <f t="shared" si="9"/>
        <v>82</v>
      </c>
      <c r="M147" s="2"/>
      <c r="N147" s="2"/>
      <c r="O147">
        <f t="shared" si="10"/>
        <v>77</v>
      </c>
      <c r="P147">
        <f t="shared" si="11"/>
        <v>25.6</v>
      </c>
    </row>
    <row r="148" spans="1:17" x14ac:dyDescent="0.2">
      <c r="A148" t="s">
        <v>212</v>
      </c>
      <c r="B148" t="s">
        <v>366</v>
      </c>
      <c r="C148" t="s">
        <v>349</v>
      </c>
      <c r="D148">
        <v>73</v>
      </c>
      <c r="E148">
        <v>25.6</v>
      </c>
      <c r="F148">
        <v>50</v>
      </c>
      <c r="G148">
        <v>31.5</v>
      </c>
      <c r="H148" s="8">
        <f t="shared" si="8"/>
        <v>-5.8999999999999986</v>
      </c>
      <c r="J148" s="9"/>
      <c r="K148">
        <f>IF(J148="",0,COUNTIFS(Schedule!$B:$B,B148,Schedule!$A:$A,"&lt;"&amp;J148))</f>
        <v>0</v>
      </c>
      <c r="L148">
        <f t="shared" si="9"/>
        <v>82</v>
      </c>
      <c r="M148" s="2"/>
      <c r="N148" s="2"/>
      <c r="O148">
        <f t="shared" si="10"/>
        <v>73</v>
      </c>
      <c r="P148">
        <f t="shared" si="11"/>
        <v>25.6</v>
      </c>
    </row>
    <row r="149" spans="1:17" x14ac:dyDescent="0.2">
      <c r="A149" t="s">
        <v>143</v>
      </c>
      <c r="B149" t="s">
        <v>396</v>
      </c>
      <c r="C149" t="s">
        <v>340</v>
      </c>
      <c r="D149">
        <v>70</v>
      </c>
      <c r="E149">
        <v>25.9</v>
      </c>
      <c r="F149">
        <v>11</v>
      </c>
      <c r="G149">
        <v>25.8</v>
      </c>
      <c r="H149" s="8">
        <f t="shared" si="8"/>
        <v>9.9999999999997868E-2</v>
      </c>
      <c r="J149" s="9"/>
      <c r="K149">
        <f>IF(J149="",0,COUNTIFS(Schedule!$B:$B,B149,Schedule!$A:$A,"&lt;"&amp;J149))</f>
        <v>0</v>
      </c>
      <c r="L149">
        <f t="shared" si="9"/>
        <v>82</v>
      </c>
      <c r="M149" s="2"/>
      <c r="N149" s="2"/>
      <c r="O149">
        <f t="shared" si="10"/>
        <v>70</v>
      </c>
      <c r="P149">
        <f t="shared" si="11"/>
        <v>25.9</v>
      </c>
    </row>
    <row r="150" spans="1:17" x14ac:dyDescent="0.2">
      <c r="A150" t="s">
        <v>164</v>
      </c>
      <c r="B150" t="s">
        <v>358</v>
      </c>
      <c r="C150" t="s">
        <v>340</v>
      </c>
      <c r="D150">
        <v>75</v>
      </c>
      <c r="E150">
        <v>22.6</v>
      </c>
      <c r="F150">
        <v>64</v>
      </c>
      <c r="G150">
        <v>28.4</v>
      </c>
      <c r="H150" s="8">
        <f t="shared" si="8"/>
        <v>-5.7999999999999972</v>
      </c>
      <c r="J150" s="9"/>
      <c r="K150">
        <f>IF(J150="",0,COUNTIFS(Schedule!$B:$B,B150,Schedule!$A:$A,"&lt;"&amp;J150))</f>
        <v>0</v>
      </c>
      <c r="L150">
        <f t="shared" si="9"/>
        <v>82</v>
      </c>
      <c r="M150" s="2"/>
      <c r="N150" s="2"/>
      <c r="O150">
        <f t="shared" si="10"/>
        <v>75</v>
      </c>
      <c r="P150">
        <f t="shared" si="11"/>
        <v>22.6</v>
      </c>
    </row>
    <row r="151" spans="1:17" x14ac:dyDescent="0.2">
      <c r="A151" t="s">
        <v>197</v>
      </c>
      <c r="B151" t="s">
        <v>345</v>
      </c>
      <c r="C151" t="s">
        <v>333</v>
      </c>
      <c r="D151">
        <v>72</v>
      </c>
      <c r="E151">
        <v>21.9</v>
      </c>
      <c r="F151">
        <v>49</v>
      </c>
      <c r="G151">
        <v>23</v>
      </c>
      <c r="H151" s="8">
        <f t="shared" si="8"/>
        <v>-1.1000000000000014</v>
      </c>
      <c r="J151" s="9"/>
      <c r="K151">
        <f>IF(J151="",0,COUNTIFS(Schedule!$B:$B,B151,Schedule!$A:$A,"&lt;"&amp;J151))</f>
        <v>0</v>
      </c>
      <c r="L151">
        <f t="shared" si="9"/>
        <v>82</v>
      </c>
      <c r="M151" s="2"/>
      <c r="N151" s="2"/>
      <c r="O151">
        <f t="shared" si="10"/>
        <v>72</v>
      </c>
      <c r="P151">
        <f t="shared" si="11"/>
        <v>21.9</v>
      </c>
    </row>
    <row r="152" spans="1:17" x14ac:dyDescent="0.2">
      <c r="A152" t="s">
        <v>83</v>
      </c>
      <c r="B152" t="s">
        <v>332</v>
      </c>
      <c r="C152" t="s">
        <v>340</v>
      </c>
      <c r="D152">
        <v>72</v>
      </c>
      <c r="E152">
        <v>30.7</v>
      </c>
      <c r="F152">
        <v>5</v>
      </c>
      <c r="G152">
        <v>30.8</v>
      </c>
      <c r="H152" s="8">
        <f t="shared" si="8"/>
        <v>-0.10000000000000142</v>
      </c>
      <c r="I152" t="s">
        <v>327</v>
      </c>
      <c r="J152" s="9">
        <v>46308</v>
      </c>
      <c r="K152">
        <f>IF(J152="",0,COUNTIFS(Schedule!$B:$B,B152,Schedule!$A:$A,"&lt;"&amp;J152))</f>
        <v>0</v>
      </c>
      <c r="L152">
        <f t="shared" si="9"/>
        <v>82</v>
      </c>
      <c r="M152" s="2"/>
      <c r="N152" s="2"/>
      <c r="O152">
        <f t="shared" si="10"/>
        <v>72</v>
      </c>
      <c r="P152">
        <f t="shared" si="11"/>
        <v>30.7</v>
      </c>
      <c r="Q152" t="s">
        <v>421</v>
      </c>
    </row>
    <row r="153" spans="1:17" x14ac:dyDescent="0.2">
      <c r="A153" t="s">
        <v>238</v>
      </c>
      <c r="B153" t="s">
        <v>329</v>
      </c>
      <c r="C153" t="s">
        <v>371</v>
      </c>
      <c r="D153">
        <v>79</v>
      </c>
      <c r="E153">
        <v>25.1</v>
      </c>
      <c r="F153">
        <v>80</v>
      </c>
      <c r="G153">
        <v>26.6</v>
      </c>
      <c r="H153" s="8">
        <f t="shared" si="8"/>
        <v>-1.5</v>
      </c>
      <c r="J153" s="9"/>
      <c r="K153">
        <f>IF(J153="",0,COUNTIFS(Schedule!$B:$B,B153,Schedule!$A:$A,"&lt;"&amp;J153))</f>
        <v>0</v>
      </c>
      <c r="L153">
        <f t="shared" si="9"/>
        <v>82</v>
      </c>
      <c r="M153" s="2"/>
      <c r="N153" s="2"/>
      <c r="O153">
        <f t="shared" si="10"/>
        <v>79</v>
      </c>
      <c r="P153">
        <f t="shared" si="11"/>
        <v>25.1</v>
      </c>
    </row>
    <row r="154" spans="1:17" x14ac:dyDescent="0.2">
      <c r="A154" t="s">
        <v>260</v>
      </c>
      <c r="B154" t="s">
        <v>362</v>
      </c>
      <c r="C154" t="s">
        <v>349</v>
      </c>
      <c r="D154">
        <v>75</v>
      </c>
      <c r="E154">
        <v>19.8</v>
      </c>
      <c r="F154">
        <v>75</v>
      </c>
      <c r="G154">
        <v>23.5</v>
      </c>
      <c r="H154" s="8">
        <f t="shared" si="8"/>
        <v>-3.6999999999999993</v>
      </c>
      <c r="I154" t="s">
        <v>327</v>
      </c>
      <c r="J154" s="9">
        <v>46307</v>
      </c>
      <c r="K154">
        <f>IF(J154="",0,COUNTIFS(Schedule!$B:$B,B154,Schedule!$A:$A,"&lt;"&amp;J154))</f>
        <v>0</v>
      </c>
      <c r="L154">
        <f t="shared" si="9"/>
        <v>82</v>
      </c>
      <c r="M154" s="2"/>
      <c r="N154" s="2"/>
      <c r="O154">
        <f t="shared" si="10"/>
        <v>75</v>
      </c>
      <c r="P154">
        <f t="shared" si="11"/>
        <v>19.8</v>
      </c>
      <c r="Q154" t="s">
        <v>422</v>
      </c>
    </row>
    <row r="155" spans="1:17" x14ac:dyDescent="0.2">
      <c r="A155" t="s">
        <v>157</v>
      </c>
      <c r="B155" t="s">
        <v>364</v>
      </c>
      <c r="C155" t="s">
        <v>365</v>
      </c>
      <c r="D155">
        <v>77</v>
      </c>
      <c r="E155">
        <v>24.9</v>
      </c>
      <c r="F155">
        <v>81</v>
      </c>
      <c r="G155">
        <v>25</v>
      </c>
      <c r="H155" s="8">
        <f t="shared" si="8"/>
        <v>-0.10000000000000142</v>
      </c>
      <c r="J155" s="9"/>
      <c r="K155">
        <f>IF(J155="",0,COUNTIFS(Schedule!$B:$B,B155,Schedule!$A:$A,"&lt;"&amp;J155))</f>
        <v>0</v>
      </c>
      <c r="L155">
        <f t="shared" si="9"/>
        <v>82</v>
      </c>
      <c r="M155" s="2"/>
      <c r="N155" s="2"/>
      <c r="O155">
        <f t="shared" si="10"/>
        <v>77</v>
      </c>
      <c r="P155">
        <f t="shared" si="11"/>
        <v>24.9</v>
      </c>
    </row>
    <row r="156" spans="1:17" x14ac:dyDescent="0.2">
      <c r="A156" t="s">
        <v>106</v>
      </c>
      <c r="B156" t="s">
        <v>334</v>
      </c>
      <c r="C156" t="s">
        <v>340</v>
      </c>
      <c r="D156">
        <v>75</v>
      </c>
      <c r="E156">
        <v>32.1</v>
      </c>
      <c r="F156">
        <v>76</v>
      </c>
      <c r="G156">
        <v>31.3</v>
      </c>
      <c r="H156" s="8">
        <f t="shared" si="8"/>
        <v>0.80000000000000071</v>
      </c>
      <c r="I156" t="s">
        <v>327</v>
      </c>
      <c r="J156" s="9">
        <v>46307</v>
      </c>
      <c r="K156">
        <f>IF(J156="",0,COUNTIFS(Schedule!$B:$B,B156,Schedule!$A:$A,"&lt;"&amp;J156))</f>
        <v>0</v>
      </c>
      <c r="L156">
        <f t="shared" si="9"/>
        <v>82</v>
      </c>
      <c r="M156" s="2"/>
      <c r="N156" s="2"/>
      <c r="O156">
        <f t="shared" si="10"/>
        <v>75</v>
      </c>
      <c r="P156">
        <f t="shared" si="11"/>
        <v>32.1</v>
      </c>
      <c r="Q156" t="s">
        <v>423</v>
      </c>
    </row>
    <row r="157" spans="1:17" x14ac:dyDescent="0.2">
      <c r="A157" t="s">
        <v>181</v>
      </c>
      <c r="B157" t="s">
        <v>369</v>
      </c>
      <c r="C157" t="s">
        <v>333</v>
      </c>
      <c r="D157">
        <v>72</v>
      </c>
      <c r="E157">
        <v>22.5</v>
      </c>
      <c r="F157">
        <v>38</v>
      </c>
      <c r="G157">
        <v>33.200000000000003</v>
      </c>
      <c r="H157" s="8">
        <f t="shared" si="8"/>
        <v>-10.700000000000003</v>
      </c>
      <c r="J157" s="9"/>
      <c r="K157">
        <f>IF(J157="",0,COUNTIFS(Schedule!$B:$B,B157,Schedule!$A:$A,"&lt;"&amp;J157))</f>
        <v>0</v>
      </c>
      <c r="L157">
        <f t="shared" si="9"/>
        <v>82</v>
      </c>
      <c r="M157" s="2"/>
      <c r="N157" s="2"/>
      <c r="O157">
        <f t="shared" si="10"/>
        <v>72</v>
      </c>
      <c r="P157">
        <f t="shared" si="11"/>
        <v>22.5</v>
      </c>
    </row>
    <row r="158" spans="1:17" x14ac:dyDescent="0.2">
      <c r="A158" t="s">
        <v>249</v>
      </c>
      <c r="B158" t="s">
        <v>351</v>
      </c>
      <c r="C158" t="s">
        <v>359</v>
      </c>
      <c r="D158">
        <v>78</v>
      </c>
      <c r="E158">
        <v>20.9</v>
      </c>
      <c r="F158">
        <v>82</v>
      </c>
      <c r="G158">
        <v>23.3</v>
      </c>
      <c r="H158" s="8">
        <f t="shared" si="8"/>
        <v>-2.4000000000000021</v>
      </c>
      <c r="J158" s="9"/>
      <c r="K158">
        <f>IF(J158="",0,COUNTIFS(Schedule!$B:$B,B158,Schedule!$A:$A,"&lt;"&amp;J158))</f>
        <v>0</v>
      </c>
      <c r="L158">
        <f t="shared" si="9"/>
        <v>82</v>
      </c>
      <c r="M158" s="2"/>
      <c r="N158" s="2"/>
      <c r="O158">
        <f t="shared" si="10"/>
        <v>78</v>
      </c>
      <c r="P158">
        <f t="shared" si="11"/>
        <v>20.9</v>
      </c>
    </row>
    <row r="159" spans="1:17" x14ac:dyDescent="0.2">
      <c r="A159" t="s">
        <v>295</v>
      </c>
      <c r="B159" t="s">
        <v>364</v>
      </c>
      <c r="C159" t="s">
        <v>333</v>
      </c>
      <c r="D159">
        <v>47</v>
      </c>
      <c r="E159">
        <v>19.600000000000001</v>
      </c>
      <c r="F159">
        <v>39</v>
      </c>
      <c r="G159">
        <v>23.9</v>
      </c>
      <c r="H159" s="8">
        <f t="shared" si="8"/>
        <v>-4.2999999999999972</v>
      </c>
      <c r="J159" s="9"/>
      <c r="K159">
        <f>IF(J159="",0,COUNTIFS(Schedule!$B:$B,B159,Schedule!$A:$A,"&lt;"&amp;J159))</f>
        <v>0</v>
      </c>
      <c r="L159">
        <f t="shared" si="9"/>
        <v>82</v>
      </c>
      <c r="M159" s="2"/>
      <c r="N159" s="2"/>
      <c r="O159">
        <f t="shared" si="10"/>
        <v>47</v>
      </c>
      <c r="P159">
        <f t="shared" si="11"/>
        <v>19.600000000000001</v>
      </c>
    </row>
    <row r="160" spans="1:17" x14ac:dyDescent="0.2">
      <c r="A160" t="s">
        <v>232</v>
      </c>
      <c r="B160" t="s">
        <v>341</v>
      </c>
      <c r="C160" t="s">
        <v>349</v>
      </c>
      <c r="D160">
        <v>70</v>
      </c>
      <c r="E160">
        <v>23.5</v>
      </c>
      <c r="F160">
        <v>66</v>
      </c>
      <c r="G160">
        <v>26.9</v>
      </c>
      <c r="H160" s="8">
        <f t="shared" si="8"/>
        <v>-3.3999999999999986</v>
      </c>
      <c r="J160" s="9"/>
      <c r="K160">
        <f>IF(J160="",0,COUNTIFS(Schedule!$B:$B,B160,Schedule!$A:$A,"&lt;"&amp;J160))</f>
        <v>0</v>
      </c>
      <c r="L160">
        <f t="shared" si="9"/>
        <v>82</v>
      </c>
      <c r="M160" s="2"/>
      <c r="N160" s="2"/>
      <c r="O160">
        <f t="shared" si="10"/>
        <v>70</v>
      </c>
      <c r="P160">
        <f t="shared" si="11"/>
        <v>23.5</v>
      </c>
    </row>
    <row r="161" spans="1:17" x14ac:dyDescent="0.2">
      <c r="A161" t="s">
        <v>147</v>
      </c>
      <c r="B161" t="s">
        <v>361</v>
      </c>
      <c r="C161" t="s">
        <v>359</v>
      </c>
      <c r="D161">
        <v>77</v>
      </c>
      <c r="E161">
        <v>30.9</v>
      </c>
      <c r="F161">
        <v>82</v>
      </c>
      <c r="G161">
        <v>33.299999999999997</v>
      </c>
      <c r="H161" s="8">
        <f t="shared" si="8"/>
        <v>-2.3999999999999986</v>
      </c>
      <c r="J161" s="9"/>
      <c r="K161">
        <f>IF(J161="",0,COUNTIFS(Schedule!$B:$B,B161,Schedule!$A:$A,"&lt;"&amp;J161))</f>
        <v>0</v>
      </c>
      <c r="L161">
        <f t="shared" si="9"/>
        <v>82</v>
      </c>
      <c r="M161" s="2"/>
      <c r="N161" s="2"/>
      <c r="O161">
        <f t="shared" si="10"/>
        <v>77</v>
      </c>
      <c r="P161">
        <f t="shared" si="11"/>
        <v>30.9</v>
      </c>
    </row>
    <row r="162" spans="1:17" x14ac:dyDescent="0.2">
      <c r="A162" t="s">
        <v>259</v>
      </c>
      <c r="B162" t="s">
        <v>396</v>
      </c>
      <c r="C162" t="s">
        <v>382</v>
      </c>
      <c r="D162">
        <v>75</v>
      </c>
      <c r="E162">
        <v>25.5</v>
      </c>
      <c r="F162">
        <v>69</v>
      </c>
      <c r="G162">
        <v>26.4</v>
      </c>
      <c r="H162" s="8">
        <f t="shared" si="8"/>
        <v>-0.89999999999999858</v>
      </c>
      <c r="J162" s="9"/>
      <c r="K162">
        <f>IF(J162="",0,COUNTIFS(Schedule!$B:$B,B162,Schedule!$A:$A,"&lt;"&amp;J162))</f>
        <v>0</v>
      </c>
      <c r="L162">
        <f t="shared" si="9"/>
        <v>82</v>
      </c>
      <c r="M162" s="2"/>
      <c r="N162" s="2"/>
      <c r="O162">
        <f t="shared" si="10"/>
        <v>75</v>
      </c>
      <c r="P162">
        <f t="shared" si="11"/>
        <v>25.5</v>
      </c>
    </row>
    <row r="163" spans="1:17" x14ac:dyDescent="0.2">
      <c r="A163" t="s">
        <v>188</v>
      </c>
      <c r="B163" t="s">
        <v>357</v>
      </c>
      <c r="C163" t="s">
        <v>365</v>
      </c>
      <c r="D163">
        <v>75</v>
      </c>
      <c r="E163">
        <v>25.4</v>
      </c>
      <c r="H163" s="8" t="str">
        <f t="shared" si="8"/>
        <v/>
      </c>
      <c r="I163" t="s">
        <v>327</v>
      </c>
      <c r="J163" s="9">
        <v>46309</v>
      </c>
      <c r="K163">
        <f>IF(J163="",0,COUNTIFS(Schedule!$B:$B,B163,Schedule!$A:$A,"&lt;"&amp;J163))</f>
        <v>0</v>
      </c>
      <c r="L163">
        <f t="shared" si="9"/>
        <v>82</v>
      </c>
      <c r="M163" s="2"/>
      <c r="N163" s="2"/>
      <c r="O163">
        <f t="shared" si="10"/>
        <v>75</v>
      </c>
      <c r="P163">
        <f t="shared" si="11"/>
        <v>25.4</v>
      </c>
      <c r="Q163" t="s">
        <v>424</v>
      </c>
    </row>
    <row r="164" spans="1:17" x14ac:dyDescent="0.2">
      <c r="A164" t="s">
        <v>296</v>
      </c>
      <c r="B164" t="s">
        <v>346</v>
      </c>
      <c r="C164" t="s">
        <v>340</v>
      </c>
      <c r="D164">
        <v>29</v>
      </c>
      <c r="E164">
        <v>20.8</v>
      </c>
      <c r="F164">
        <v>60</v>
      </c>
      <c r="G164">
        <v>23.6</v>
      </c>
      <c r="H164" s="8">
        <f t="shared" si="8"/>
        <v>-2.8000000000000007</v>
      </c>
      <c r="I164" t="s">
        <v>375</v>
      </c>
      <c r="J164" s="9">
        <v>46421</v>
      </c>
      <c r="K164">
        <f>IF(J164="",0,COUNTIFS(Schedule!$B:$B,B164,Schedule!$A:$A,"&lt;"&amp;J164))</f>
        <v>47</v>
      </c>
      <c r="L164">
        <f t="shared" si="9"/>
        <v>35</v>
      </c>
      <c r="M164" s="2"/>
      <c r="N164" s="2"/>
      <c r="O164">
        <f t="shared" si="10"/>
        <v>29</v>
      </c>
      <c r="P164">
        <f t="shared" si="11"/>
        <v>20.8</v>
      </c>
      <c r="Q164" t="s">
        <v>425</v>
      </c>
    </row>
    <row r="165" spans="1:17" x14ac:dyDescent="0.2">
      <c r="A165" t="s">
        <v>244</v>
      </c>
      <c r="B165" t="s">
        <v>357</v>
      </c>
      <c r="C165" t="s">
        <v>349</v>
      </c>
      <c r="D165">
        <v>74</v>
      </c>
      <c r="E165">
        <v>22.7</v>
      </c>
      <c r="F165">
        <v>74</v>
      </c>
      <c r="G165">
        <v>29.5</v>
      </c>
      <c r="H165" s="8">
        <f t="shared" si="8"/>
        <v>-6.8000000000000007</v>
      </c>
      <c r="J165" s="9"/>
      <c r="K165">
        <f>IF(J165="",0,COUNTIFS(Schedule!$B:$B,B165,Schedule!$A:$A,"&lt;"&amp;J165))</f>
        <v>0</v>
      </c>
      <c r="L165">
        <f t="shared" si="9"/>
        <v>82</v>
      </c>
      <c r="M165" s="2"/>
      <c r="N165" s="2"/>
      <c r="O165">
        <f t="shared" si="10"/>
        <v>74</v>
      </c>
      <c r="P165">
        <f t="shared" si="11"/>
        <v>22.7</v>
      </c>
    </row>
    <row r="166" spans="1:17" x14ac:dyDescent="0.2">
      <c r="A166" t="s">
        <v>207</v>
      </c>
      <c r="B166" t="s">
        <v>361</v>
      </c>
      <c r="C166" t="s">
        <v>333</v>
      </c>
      <c r="D166">
        <v>73</v>
      </c>
      <c r="E166">
        <v>25.7</v>
      </c>
      <c r="F166">
        <v>53</v>
      </c>
      <c r="G166">
        <v>29.4</v>
      </c>
      <c r="H166" s="8">
        <f t="shared" si="8"/>
        <v>-3.6999999999999993</v>
      </c>
      <c r="J166" s="9"/>
      <c r="K166">
        <f>IF(J166="",0,COUNTIFS(Schedule!$B:$B,B166,Schedule!$A:$A,"&lt;"&amp;J166))</f>
        <v>0</v>
      </c>
      <c r="L166">
        <f t="shared" si="9"/>
        <v>82</v>
      </c>
      <c r="M166" s="2"/>
      <c r="N166" s="2"/>
      <c r="O166">
        <f t="shared" si="10"/>
        <v>73</v>
      </c>
      <c r="P166">
        <f t="shared" si="11"/>
        <v>25.7</v>
      </c>
    </row>
    <row r="167" spans="1:17" x14ac:dyDescent="0.2">
      <c r="A167" t="s">
        <v>185</v>
      </c>
      <c r="B167" t="s">
        <v>345</v>
      </c>
      <c r="C167" t="s">
        <v>359</v>
      </c>
      <c r="D167">
        <v>75</v>
      </c>
      <c r="E167">
        <v>25</v>
      </c>
      <c r="H167" s="8" t="str">
        <f t="shared" si="8"/>
        <v/>
      </c>
      <c r="J167" s="9"/>
      <c r="K167">
        <f>IF(J167="",0,COUNTIFS(Schedule!$B:$B,B167,Schedule!$A:$A,"&lt;"&amp;J167))</f>
        <v>0</v>
      </c>
      <c r="L167">
        <f t="shared" si="9"/>
        <v>82</v>
      </c>
      <c r="M167" s="2"/>
      <c r="N167" s="2"/>
      <c r="O167">
        <f t="shared" si="10"/>
        <v>75</v>
      </c>
      <c r="P167">
        <f t="shared" si="11"/>
        <v>25</v>
      </c>
    </row>
    <row r="168" spans="1:17" x14ac:dyDescent="0.2">
      <c r="A168" t="s">
        <v>128</v>
      </c>
      <c r="B168" t="s">
        <v>369</v>
      </c>
      <c r="C168" t="s">
        <v>340</v>
      </c>
      <c r="D168">
        <v>75</v>
      </c>
      <c r="E168">
        <v>23.4</v>
      </c>
      <c r="F168">
        <v>77</v>
      </c>
      <c r="G168">
        <v>22.1</v>
      </c>
      <c r="H168" s="8">
        <f t="shared" si="8"/>
        <v>1.2999999999999972</v>
      </c>
      <c r="J168" s="9"/>
      <c r="K168">
        <f>IF(J168="",0,COUNTIFS(Schedule!$B:$B,B168,Schedule!$A:$A,"&lt;"&amp;J168))</f>
        <v>0</v>
      </c>
      <c r="L168">
        <f t="shared" si="9"/>
        <v>82</v>
      </c>
      <c r="M168" s="2"/>
      <c r="N168" s="2"/>
      <c r="O168">
        <f t="shared" si="10"/>
        <v>75</v>
      </c>
      <c r="P168">
        <f t="shared" si="11"/>
        <v>23.4</v>
      </c>
    </row>
    <row r="169" spans="1:17" x14ac:dyDescent="0.2">
      <c r="A169" t="s">
        <v>297</v>
      </c>
      <c r="B169" t="s">
        <v>345</v>
      </c>
      <c r="C169" t="s">
        <v>349</v>
      </c>
      <c r="D169">
        <v>36</v>
      </c>
      <c r="E169">
        <v>22.7</v>
      </c>
      <c r="F169">
        <v>60</v>
      </c>
      <c r="G169">
        <v>25.7</v>
      </c>
      <c r="H169" s="8">
        <f t="shared" si="8"/>
        <v>-3</v>
      </c>
      <c r="I169" t="s">
        <v>375</v>
      </c>
      <c r="J169" s="9">
        <v>46357</v>
      </c>
      <c r="K169">
        <f>IF(J169="",0,COUNTIFS(Schedule!$B:$B,B169,Schedule!$A:$A,"&lt;"&amp;J169))</f>
        <v>20</v>
      </c>
      <c r="L169">
        <f t="shared" si="9"/>
        <v>62</v>
      </c>
      <c r="M169" s="2"/>
      <c r="N169" s="2"/>
      <c r="O169">
        <f t="shared" si="10"/>
        <v>36</v>
      </c>
      <c r="P169">
        <f t="shared" si="11"/>
        <v>22.7</v>
      </c>
      <c r="Q169" t="s">
        <v>426</v>
      </c>
    </row>
    <row r="170" spans="1:17" x14ac:dyDescent="0.2">
      <c r="A170" t="s">
        <v>270</v>
      </c>
      <c r="B170" t="s">
        <v>325</v>
      </c>
      <c r="C170" t="s">
        <v>333</v>
      </c>
      <c r="D170">
        <v>74</v>
      </c>
      <c r="E170">
        <v>20.3</v>
      </c>
      <c r="F170">
        <v>67</v>
      </c>
      <c r="G170">
        <v>17.3</v>
      </c>
      <c r="H170" s="8">
        <f t="shared" si="8"/>
        <v>3</v>
      </c>
      <c r="I170" t="s">
        <v>327</v>
      </c>
      <c r="J170" s="9">
        <v>46308</v>
      </c>
      <c r="K170">
        <f>IF(J170="",0,COUNTIFS(Schedule!$B:$B,B170,Schedule!$A:$A,"&lt;"&amp;J170))</f>
        <v>0</v>
      </c>
      <c r="L170">
        <f t="shared" si="9"/>
        <v>82</v>
      </c>
      <c r="M170" s="2"/>
      <c r="N170" s="2"/>
      <c r="O170">
        <f t="shared" si="10"/>
        <v>74</v>
      </c>
      <c r="P170">
        <f t="shared" si="11"/>
        <v>20.3</v>
      </c>
      <c r="Q170" t="s">
        <v>427</v>
      </c>
    </row>
    <row r="171" spans="1:17" x14ac:dyDescent="0.2">
      <c r="A171" t="s">
        <v>159</v>
      </c>
      <c r="B171" t="s">
        <v>348</v>
      </c>
      <c r="C171" t="s">
        <v>333</v>
      </c>
      <c r="D171">
        <v>77</v>
      </c>
      <c r="E171">
        <v>21.4</v>
      </c>
      <c r="F171">
        <v>82</v>
      </c>
      <c r="G171">
        <v>26.2</v>
      </c>
      <c r="H171" s="8">
        <f t="shared" si="8"/>
        <v>-4.8000000000000007</v>
      </c>
      <c r="J171" s="9"/>
      <c r="K171">
        <f>IF(J171="",0,COUNTIFS(Schedule!$B:$B,B171,Schedule!$A:$A,"&lt;"&amp;J171))</f>
        <v>0</v>
      </c>
      <c r="L171">
        <f t="shared" si="9"/>
        <v>82</v>
      </c>
      <c r="M171" s="2"/>
      <c r="N171" s="2"/>
      <c r="O171">
        <f t="shared" si="10"/>
        <v>77</v>
      </c>
      <c r="P171">
        <f t="shared" si="11"/>
        <v>21.4</v>
      </c>
    </row>
    <row r="172" spans="1:17" x14ac:dyDescent="0.2">
      <c r="A172" t="s">
        <v>184</v>
      </c>
      <c r="B172" t="s">
        <v>358</v>
      </c>
      <c r="C172" t="s">
        <v>340</v>
      </c>
      <c r="D172">
        <v>75</v>
      </c>
      <c r="E172">
        <v>26.9</v>
      </c>
      <c r="F172">
        <v>78</v>
      </c>
      <c r="G172">
        <v>29.3</v>
      </c>
      <c r="H172" s="8">
        <f t="shared" si="8"/>
        <v>-2.4000000000000021</v>
      </c>
      <c r="J172" s="9"/>
      <c r="K172">
        <f>IF(J172="",0,COUNTIFS(Schedule!$B:$B,B172,Schedule!$A:$A,"&lt;"&amp;J172))</f>
        <v>0</v>
      </c>
      <c r="L172">
        <f t="shared" si="9"/>
        <v>82</v>
      </c>
      <c r="M172" s="2"/>
      <c r="N172" s="2"/>
      <c r="O172">
        <f t="shared" si="10"/>
        <v>75</v>
      </c>
      <c r="P172">
        <f t="shared" si="11"/>
        <v>26.9</v>
      </c>
    </row>
    <row r="173" spans="1:17" x14ac:dyDescent="0.2">
      <c r="A173" t="s">
        <v>203</v>
      </c>
      <c r="B173" t="s">
        <v>355</v>
      </c>
      <c r="C173" t="s">
        <v>382</v>
      </c>
      <c r="D173">
        <v>75</v>
      </c>
      <c r="E173">
        <v>21.7</v>
      </c>
      <c r="F173">
        <v>71</v>
      </c>
      <c r="G173">
        <v>21.2</v>
      </c>
      <c r="H173" s="8">
        <f t="shared" si="8"/>
        <v>0.5</v>
      </c>
      <c r="J173" s="9"/>
      <c r="K173">
        <f>IF(J173="",0,COUNTIFS(Schedule!$B:$B,B173,Schedule!$A:$A,"&lt;"&amp;J173))</f>
        <v>0</v>
      </c>
      <c r="L173">
        <f t="shared" si="9"/>
        <v>82</v>
      </c>
      <c r="M173" s="2"/>
      <c r="N173" s="2"/>
      <c r="O173">
        <f t="shared" si="10"/>
        <v>75</v>
      </c>
      <c r="P173">
        <f t="shared" si="11"/>
        <v>21.7</v>
      </c>
    </row>
    <row r="174" spans="1:17" x14ac:dyDescent="0.2">
      <c r="A174" t="s">
        <v>108</v>
      </c>
      <c r="B174" t="s">
        <v>361</v>
      </c>
      <c r="C174" t="s">
        <v>340</v>
      </c>
      <c r="D174">
        <v>76</v>
      </c>
      <c r="E174">
        <v>25.1</v>
      </c>
      <c r="F174">
        <v>77</v>
      </c>
      <c r="G174">
        <v>27.2</v>
      </c>
      <c r="H174" s="8">
        <f t="shared" si="8"/>
        <v>-2.0999999999999979</v>
      </c>
      <c r="J174" s="9"/>
      <c r="K174">
        <f>IF(J174="",0,COUNTIFS(Schedule!$B:$B,B174,Schedule!$A:$A,"&lt;"&amp;J174))</f>
        <v>0</v>
      </c>
      <c r="L174">
        <f t="shared" si="9"/>
        <v>82</v>
      </c>
      <c r="M174" s="2"/>
      <c r="N174" s="2"/>
      <c r="O174">
        <f t="shared" si="10"/>
        <v>76</v>
      </c>
      <c r="P174">
        <f t="shared" si="11"/>
        <v>25.1</v>
      </c>
    </row>
    <row r="175" spans="1:17" x14ac:dyDescent="0.2">
      <c r="A175" t="s">
        <v>237</v>
      </c>
      <c r="B175" t="s">
        <v>368</v>
      </c>
      <c r="C175" t="s">
        <v>340</v>
      </c>
      <c r="D175">
        <v>71</v>
      </c>
      <c r="E175">
        <v>22.5</v>
      </c>
      <c r="F175">
        <v>72</v>
      </c>
      <c r="G175">
        <v>27.2</v>
      </c>
      <c r="H175" s="8">
        <f t="shared" si="8"/>
        <v>-4.6999999999999993</v>
      </c>
      <c r="J175" s="9"/>
      <c r="K175">
        <f>IF(J175="",0,COUNTIFS(Schedule!$B:$B,B175,Schedule!$A:$A,"&lt;"&amp;J175))</f>
        <v>0</v>
      </c>
      <c r="L175">
        <f t="shared" si="9"/>
        <v>82</v>
      </c>
      <c r="M175" s="2"/>
      <c r="N175" s="2"/>
      <c r="O175">
        <f t="shared" si="10"/>
        <v>71</v>
      </c>
      <c r="P175">
        <f t="shared" si="11"/>
        <v>22.5</v>
      </c>
    </row>
    <row r="176" spans="1:17" x14ac:dyDescent="0.2">
      <c r="A176" t="s">
        <v>251</v>
      </c>
      <c r="B176" t="s">
        <v>325</v>
      </c>
      <c r="C176" t="s">
        <v>333</v>
      </c>
      <c r="D176">
        <v>67</v>
      </c>
      <c r="E176">
        <v>19.600000000000001</v>
      </c>
      <c r="F176">
        <v>57</v>
      </c>
      <c r="G176">
        <v>25.8</v>
      </c>
      <c r="H176" s="8">
        <f t="shared" si="8"/>
        <v>-6.1999999999999993</v>
      </c>
      <c r="I176" t="s">
        <v>327</v>
      </c>
      <c r="J176" s="9">
        <v>46308</v>
      </c>
      <c r="K176">
        <f>IF(J176="",0,COUNTIFS(Schedule!$B:$B,B176,Schedule!$A:$A,"&lt;"&amp;J176))</f>
        <v>0</v>
      </c>
      <c r="L176">
        <f t="shared" si="9"/>
        <v>82</v>
      </c>
      <c r="M176" s="2"/>
      <c r="N176" s="2"/>
      <c r="O176">
        <f t="shared" si="10"/>
        <v>67</v>
      </c>
      <c r="P176">
        <f t="shared" si="11"/>
        <v>19.600000000000001</v>
      </c>
      <c r="Q176" t="s">
        <v>428</v>
      </c>
    </row>
    <row r="177" spans="1:17" x14ac:dyDescent="0.2">
      <c r="A177" t="s">
        <v>219</v>
      </c>
      <c r="B177" t="s">
        <v>370</v>
      </c>
      <c r="C177" t="s">
        <v>330</v>
      </c>
      <c r="D177">
        <v>72</v>
      </c>
      <c r="E177">
        <v>20.8</v>
      </c>
      <c r="F177">
        <v>53</v>
      </c>
      <c r="G177">
        <v>20.7</v>
      </c>
      <c r="H177" s="8">
        <f t="shared" si="8"/>
        <v>0.10000000000000142</v>
      </c>
      <c r="J177" s="9"/>
      <c r="K177">
        <f>IF(J177="",0,COUNTIFS(Schedule!$B:$B,B177,Schedule!$A:$A,"&lt;"&amp;J177))</f>
        <v>0</v>
      </c>
      <c r="L177">
        <f t="shared" si="9"/>
        <v>82</v>
      </c>
      <c r="M177" s="2"/>
      <c r="N177" s="2"/>
      <c r="O177">
        <f t="shared" si="10"/>
        <v>72</v>
      </c>
      <c r="P177">
        <f t="shared" si="11"/>
        <v>20.8</v>
      </c>
    </row>
    <row r="178" spans="1:17" x14ac:dyDescent="0.2">
      <c r="A178" t="s">
        <v>236</v>
      </c>
      <c r="B178" t="s">
        <v>357</v>
      </c>
      <c r="C178" t="s">
        <v>359</v>
      </c>
      <c r="D178">
        <v>72</v>
      </c>
      <c r="E178">
        <v>21.9</v>
      </c>
      <c r="F178">
        <v>43</v>
      </c>
      <c r="G178">
        <v>27.9</v>
      </c>
      <c r="H178" s="8">
        <f t="shared" si="8"/>
        <v>-6</v>
      </c>
      <c r="I178" t="s">
        <v>327</v>
      </c>
      <c r="J178" s="9">
        <v>46309</v>
      </c>
      <c r="K178">
        <f>IF(J178="",0,COUNTIFS(Schedule!$B:$B,B178,Schedule!$A:$A,"&lt;"&amp;J178))</f>
        <v>0</v>
      </c>
      <c r="L178">
        <f t="shared" si="9"/>
        <v>82</v>
      </c>
      <c r="M178" s="2"/>
      <c r="N178" s="2"/>
      <c r="O178">
        <f t="shared" si="10"/>
        <v>72</v>
      </c>
      <c r="P178">
        <f t="shared" si="11"/>
        <v>21.9</v>
      </c>
      <c r="Q178" t="s">
        <v>429</v>
      </c>
    </row>
    <row r="179" spans="1:17" x14ac:dyDescent="0.2">
      <c r="A179" t="s">
        <v>122</v>
      </c>
      <c r="B179" t="s">
        <v>355</v>
      </c>
      <c r="C179" t="s">
        <v>349</v>
      </c>
      <c r="D179">
        <v>74</v>
      </c>
      <c r="E179">
        <v>26.1</v>
      </c>
      <c r="F179">
        <v>73</v>
      </c>
      <c r="G179">
        <v>26</v>
      </c>
      <c r="H179" s="8">
        <f t="shared" si="8"/>
        <v>0.10000000000000142</v>
      </c>
      <c r="J179" s="9"/>
      <c r="K179">
        <f>IF(J179="",0,COUNTIFS(Schedule!$B:$B,B179,Schedule!$A:$A,"&lt;"&amp;J179))</f>
        <v>0</v>
      </c>
      <c r="L179">
        <f t="shared" si="9"/>
        <v>82</v>
      </c>
      <c r="M179" s="2"/>
      <c r="N179" s="2"/>
      <c r="O179">
        <f t="shared" si="10"/>
        <v>74</v>
      </c>
      <c r="P179">
        <f t="shared" si="11"/>
        <v>26.1</v>
      </c>
    </row>
    <row r="180" spans="1:17" x14ac:dyDescent="0.2">
      <c r="A180" t="s">
        <v>153</v>
      </c>
      <c r="B180" t="s">
        <v>346</v>
      </c>
      <c r="C180" t="s">
        <v>333</v>
      </c>
      <c r="D180">
        <v>76</v>
      </c>
      <c r="E180">
        <v>22.9</v>
      </c>
      <c r="F180">
        <v>80</v>
      </c>
      <c r="G180">
        <v>28.5</v>
      </c>
      <c r="H180" s="8">
        <f t="shared" si="8"/>
        <v>-5.6000000000000014</v>
      </c>
      <c r="J180" s="9"/>
      <c r="K180">
        <f>IF(J180="",0,COUNTIFS(Schedule!$B:$B,B180,Schedule!$A:$A,"&lt;"&amp;J180))</f>
        <v>0</v>
      </c>
      <c r="L180">
        <f t="shared" si="9"/>
        <v>82</v>
      </c>
      <c r="M180" s="2"/>
      <c r="N180" s="2"/>
      <c r="O180">
        <f t="shared" si="10"/>
        <v>76</v>
      </c>
      <c r="P180">
        <f t="shared" si="11"/>
        <v>22.9</v>
      </c>
    </row>
    <row r="181" spans="1:17" x14ac:dyDescent="0.2">
      <c r="A181" t="s">
        <v>204</v>
      </c>
      <c r="B181" t="s">
        <v>373</v>
      </c>
      <c r="C181" t="s">
        <v>338</v>
      </c>
      <c r="D181">
        <v>73</v>
      </c>
      <c r="E181">
        <v>25.4</v>
      </c>
      <c r="F181">
        <v>50</v>
      </c>
      <c r="G181">
        <v>27</v>
      </c>
      <c r="H181" s="8">
        <f t="shared" si="8"/>
        <v>-1.6000000000000014</v>
      </c>
      <c r="J181" s="9"/>
      <c r="K181">
        <f>IF(J181="",0,COUNTIFS(Schedule!$B:$B,B181,Schedule!$A:$A,"&lt;"&amp;J181))</f>
        <v>0</v>
      </c>
      <c r="L181">
        <f t="shared" si="9"/>
        <v>82</v>
      </c>
      <c r="M181" s="2"/>
      <c r="N181" s="2"/>
      <c r="O181">
        <f t="shared" si="10"/>
        <v>73</v>
      </c>
      <c r="P181">
        <f t="shared" si="11"/>
        <v>25.4</v>
      </c>
    </row>
    <row r="182" spans="1:17" x14ac:dyDescent="0.2">
      <c r="A182" t="s">
        <v>247</v>
      </c>
      <c r="B182" t="s">
        <v>366</v>
      </c>
      <c r="C182" t="s">
        <v>359</v>
      </c>
      <c r="D182">
        <v>71</v>
      </c>
      <c r="E182">
        <v>18.399999999999999</v>
      </c>
      <c r="F182">
        <v>24</v>
      </c>
      <c r="G182">
        <v>17.7</v>
      </c>
      <c r="H182" s="8">
        <f t="shared" si="8"/>
        <v>0.69999999999999929</v>
      </c>
      <c r="J182" s="9"/>
      <c r="K182">
        <f>IF(J182="",0,COUNTIFS(Schedule!$B:$B,B182,Schedule!$A:$A,"&lt;"&amp;J182))</f>
        <v>0</v>
      </c>
      <c r="L182">
        <f t="shared" si="9"/>
        <v>82</v>
      </c>
      <c r="M182" s="2"/>
      <c r="N182" s="2"/>
      <c r="O182">
        <f t="shared" si="10"/>
        <v>71</v>
      </c>
      <c r="P182">
        <f t="shared" si="11"/>
        <v>18.399999999999999</v>
      </c>
    </row>
    <row r="183" spans="1:17" x14ac:dyDescent="0.2">
      <c r="A183" t="s">
        <v>150</v>
      </c>
      <c r="B183" t="s">
        <v>325</v>
      </c>
      <c r="C183" t="s">
        <v>340</v>
      </c>
      <c r="D183">
        <v>71</v>
      </c>
      <c r="E183">
        <v>25.2</v>
      </c>
      <c r="F183">
        <v>47</v>
      </c>
      <c r="G183">
        <v>24.2</v>
      </c>
      <c r="H183" s="8">
        <f t="shared" si="8"/>
        <v>1</v>
      </c>
      <c r="I183" t="s">
        <v>327</v>
      </c>
      <c r="J183" s="9">
        <v>46308</v>
      </c>
      <c r="K183">
        <f>IF(J183="",0,COUNTIFS(Schedule!$B:$B,B183,Schedule!$A:$A,"&lt;"&amp;J183))</f>
        <v>0</v>
      </c>
      <c r="L183">
        <f t="shared" si="9"/>
        <v>82</v>
      </c>
      <c r="M183" s="2"/>
      <c r="N183" s="2"/>
      <c r="O183">
        <f t="shared" si="10"/>
        <v>71</v>
      </c>
      <c r="P183">
        <f t="shared" si="11"/>
        <v>25.2</v>
      </c>
      <c r="Q183" t="s">
        <v>430</v>
      </c>
    </row>
    <row r="184" spans="1:17" x14ac:dyDescent="0.2">
      <c r="A184" t="s">
        <v>239</v>
      </c>
      <c r="B184" t="s">
        <v>341</v>
      </c>
      <c r="C184" t="s">
        <v>382</v>
      </c>
      <c r="D184">
        <v>70</v>
      </c>
      <c r="E184">
        <v>22.6</v>
      </c>
      <c r="F184">
        <v>52</v>
      </c>
      <c r="G184">
        <v>26.5</v>
      </c>
      <c r="H184" s="8">
        <f t="shared" si="8"/>
        <v>-3.8999999999999986</v>
      </c>
      <c r="J184" s="9"/>
      <c r="K184">
        <f>IF(J184="",0,COUNTIFS(Schedule!$B:$B,B184,Schedule!$A:$A,"&lt;"&amp;J184))</f>
        <v>0</v>
      </c>
      <c r="L184">
        <f t="shared" si="9"/>
        <v>82</v>
      </c>
      <c r="M184" s="2"/>
      <c r="N184" s="2"/>
      <c r="O184">
        <f t="shared" si="10"/>
        <v>70</v>
      </c>
      <c r="P184">
        <f t="shared" si="11"/>
        <v>22.6</v>
      </c>
    </row>
    <row r="185" spans="1:17" x14ac:dyDescent="0.2">
      <c r="A185" t="s">
        <v>218</v>
      </c>
      <c r="B185" t="s">
        <v>396</v>
      </c>
      <c r="C185" t="s">
        <v>333</v>
      </c>
      <c r="D185">
        <v>71</v>
      </c>
      <c r="E185">
        <v>20.9</v>
      </c>
      <c r="F185">
        <v>10</v>
      </c>
      <c r="G185">
        <v>21.2</v>
      </c>
      <c r="H185" s="8">
        <f t="shared" si="8"/>
        <v>-0.30000000000000071</v>
      </c>
      <c r="J185" s="9"/>
      <c r="K185">
        <f>IF(J185="",0,COUNTIFS(Schedule!$B:$B,B185,Schedule!$A:$A,"&lt;"&amp;J185))</f>
        <v>0</v>
      </c>
      <c r="L185">
        <f t="shared" si="9"/>
        <v>82</v>
      </c>
      <c r="M185" s="2"/>
      <c r="N185" s="2"/>
      <c r="O185">
        <f t="shared" si="10"/>
        <v>71</v>
      </c>
      <c r="P185">
        <f t="shared" si="11"/>
        <v>20.9</v>
      </c>
    </row>
    <row r="186" spans="1:17" x14ac:dyDescent="0.2">
      <c r="A186" t="s">
        <v>274</v>
      </c>
      <c r="B186" t="s">
        <v>378</v>
      </c>
      <c r="C186" t="s">
        <v>333</v>
      </c>
      <c r="D186">
        <v>75</v>
      </c>
      <c r="E186">
        <v>21.9</v>
      </c>
      <c r="F186">
        <v>70</v>
      </c>
      <c r="G186">
        <v>24.2</v>
      </c>
      <c r="H186" s="8">
        <f t="shared" si="8"/>
        <v>-2.3000000000000007</v>
      </c>
      <c r="J186" s="9"/>
      <c r="K186">
        <f>IF(J186="",0,COUNTIFS(Schedule!$B:$B,B186,Schedule!$A:$A,"&lt;"&amp;J186))</f>
        <v>0</v>
      </c>
      <c r="L186">
        <f t="shared" si="9"/>
        <v>82</v>
      </c>
      <c r="M186" s="2"/>
      <c r="N186" s="2"/>
      <c r="O186">
        <f t="shared" si="10"/>
        <v>75</v>
      </c>
      <c r="P186">
        <f t="shared" si="11"/>
        <v>21.9</v>
      </c>
    </row>
    <row r="187" spans="1:17" x14ac:dyDescent="0.2">
      <c r="A187" t="s">
        <v>226</v>
      </c>
      <c r="B187" t="s">
        <v>370</v>
      </c>
      <c r="C187" t="s">
        <v>333</v>
      </c>
      <c r="D187">
        <v>73</v>
      </c>
      <c r="E187">
        <v>20.2</v>
      </c>
      <c r="F187">
        <v>65</v>
      </c>
      <c r="G187">
        <v>27</v>
      </c>
      <c r="H187" s="8">
        <f t="shared" si="8"/>
        <v>-6.8000000000000007</v>
      </c>
      <c r="I187" t="s">
        <v>327</v>
      </c>
      <c r="J187" s="9">
        <v>46306</v>
      </c>
      <c r="K187">
        <f>IF(J187="",0,COUNTIFS(Schedule!$B:$B,B187,Schedule!$A:$A,"&lt;"&amp;J187))</f>
        <v>0</v>
      </c>
      <c r="L187">
        <f t="shared" si="9"/>
        <v>82</v>
      </c>
      <c r="M187" s="2"/>
      <c r="N187" s="2"/>
      <c r="O187">
        <f t="shared" si="10"/>
        <v>73</v>
      </c>
      <c r="P187">
        <f t="shared" si="11"/>
        <v>20.2</v>
      </c>
      <c r="Q187" t="s">
        <v>431</v>
      </c>
    </row>
    <row r="188" spans="1:17" x14ac:dyDescent="0.2">
      <c r="A188" t="s">
        <v>211</v>
      </c>
      <c r="B188" t="s">
        <v>337</v>
      </c>
      <c r="C188" t="s">
        <v>338</v>
      </c>
      <c r="D188">
        <v>78</v>
      </c>
      <c r="E188">
        <v>24.1</v>
      </c>
      <c r="F188">
        <v>78</v>
      </c>
      <c r="G188">
        <v>24.8</v>
      </c>
      <c r="H188" s="8">
        <f t="shared" si="8"/>
        <v>-0.69999999999999929</v>
      </c>
      <c r="J188" s="9"/>
      <c r="K188">
        <f>IF(J188="",0,COUNTIFS(Schedule!$B:$B,B188,Schedule!$A:$A,"&lt;"&amp;J188))</f>
        <v>0</v>
      </c>
      <c r="L188">
        <f t="shared" si="9"/>
        <v>82</v>
      </c>
      <c r="M188" s="2"/>
      <c r="N188" s="2"/>
      <c r="O188">
        <f t="shared" si="10"/>
        <v>78</v>
      </c>
      <c r="P188">
        <f t="shared" si="11"/>
        <v>24.1</v>
      </c>
    </row>
    <row r="189" spans="1:17" x14ac:dyDescent="0.2">
      <c r="A189" t="s">
        <v>235</v>
      </c>
      <c r="B189" t="s">
        <v>362</v>
      </c>
      <c r="C189" t="s">
        <v>340</v>
      </c>
      <c r="D189">
        <v>68</v>
      </c>
      <c r="E189">
        <v>22.9</v>
      </c>
      <c r="F189">
        <v>41</v>
      </c>
      <c r="G189">
        <v>26.4</v>
      </c>
      <c r="H189" s="8">
        <f t="shared" si="8"/>
        <v>-3.5</v>
      </c>
      <c r="I189" t="s">
        <v>375</v>
      </c>
      <c r="J189" s="9">
        <v>46330</v>
      </c>
      <c r="K189">
        <f>IF(J189="",0,COUNTIFS(Schedule!$B:$B,B189,Schedule!$A:$A,"&lt;"&amp;J189))</f>
        <v>7</v>
      </c>
      <c r="L189">
        <f t="shared" si="9"/>
        <v>75</v>
      </c>
      <c r="M189" s="2"/>
      <c r="N189" s="2"/>
      <c r="O189">
        <f t="shared" si="10"/>
        <v>68</v>
      </c>
      <c r="P189">
        <f t="shared" si="11"/>
        <v>22.9</v>
      </c>
      <c r="Q189" t="s">
        <v>432</v>
      </c>
    </row>
    <row r="190" spans="1:17" x14ac:dyDescent="0.2">
      <c r="A190" t="s">
        <v>240</v>
      </c>
      <c r="B190" t="s">
        <v>368</v>
      </c>
      <c r="C190" t="s">
        <v>371</v>
      </c>
      <c r="D190">
        <v>73</v>
      </c>
      <c r="E190">
        <v>23.1</v>
      </c>
      <c r="F190">
        <v>56</v>
      </c>
      <c r="G190">
        <v>26.2</v>
      </c>
      <c r="H190" s="8">
        <f t="shared" si="8"/>
        <v>-3.0999999999999979</v>
      </c>
      <c r="J190" s="9"/>
      <c r="K190">
        <f>IF(J190="",0,COUNTIFS(Schedule!$B:$B,B190,Schedule!$A:$A,"&lt;"&amp;J190))</f>
        <v>0</v>
      </c>
      <c r="L190">
        <f t="shared" si="9"/>
        <v>82</v>
      </c>
      <c r="M190" s="2"/>
      <c r="N190" s="2"/>
      <c r="O190">
        <f t="shared" si="10"/>
        <v>73</v>
      </c>
      <c r="P190">
        <f t="shared" si="11"/>
        <v>23.1</v>
      </c>
    </row>
    <row r="191" spans="1:17" x14ac:dyDescent="0.2">
      <c r="A191" t="s">
        <v>162</v>
      </c>
      <c r="B191" t="s">
        <v>373</v>
      </c>
      <c r="C191" t="s">
        <v>340</v>
      </c>
      <c r="D191">
        <v>75</v>
      </c>
      <c r="E191">
        <v>23.5</v>
      </c>
      <c r="F191">
        <v>75</v>
      </c>
      <c r="G191">
        <v>21.8</v>
      </c>
      <c r="H191" s="8">
        <f t="shared" si="8"/>
        <v>1.6999999999999993</v>
      </c>
      <c r="J191" s="9"/>
      <c r="K191">
        <f>IF(J191="",0,COUNTIFS(Schedule!$B:$B,B191,Schedule!$A:$A,"&lt;"&amp;J191))</f>
        <v>0</v>
      </c>
      <c r="L191">
        <f t="shared" si="9"/>
        <v>82</v>
      </c>
      <c r="M191" s="2"/>
      <c r="N191" s="2"/>
      <c r="O191">
        <f t="shared" si="10"/>
        <v>75</v>
      </c>
      <c r="P191">
        <f t="shared" si="11"/>
        <v>23.5</v>
      </c>
    </row>
    <row r="192" spans="1:17" x14ac:dyDescent="0.2">
      <c r="A192" t="s">
        <v>255</v>
      </c>
      <c r="B192" t="s">
        <v>379</v>
      </c>
      <c r="C192" t="s">
        <v>365</v>
      </c>
      <c r="D192">
        <v>75</v>
      </c>
      <c r="E192">
        <v>20.9</v>
      </c>
      <c r="F192">
        <v>57</v>
      </c>
      <c r="G192">
        <v>20.8</v>
      </c>
      <c r="H192" s="8">
        <f t="shared" si="8"/>
        <v>9.9999999999997868E-2</v>
      </c>
      <c r="J192" s="9"/>
      <c r="K192">
        <f>IF(J192="",0,COUNTIFS(Schedule!$B:$B,B192,Schedule!$A:$A,"&lt;"&amp;J192))</f>
        <v>0</v>
      </c>
      <c r="L192">
        <f t="shared" si="9"/>
        <v>82</v>
      </c>
      <c r="M192" s="2"/>
      <c r="N192" s="2"/>
      <c r="O192">
        <f t="shared" si="10"/>
        <v>75</v>
      </c>
      <c r="P192">
        <f t="shared" si="11"/>
        <v>20.9</v>
      </c>
    </row>
    <row r="193" spans="1:17" x14ac:dyDescent="0.2">
      <c r="A193" t="s">
        <v>229</v>
      </c>
      <c r="B193" t="s">
        <v>362</v>
      </c>
      <c r="C193" t="s">
        <v>365</v>
      </c>
      <c r="D193">
        <v>76</v>
      </c>
      <c r="E193">
        <v>19.899999999999999</v>
      </c>
      <c r="F193">
        <v>77</v>
      </c>
      <c r="G193">
        <v>23.4</v>
      </c>
      <c r="H193" s="8">
        <f t="shared" si="8"/>
        <v>-3.5</v>
      </c>
      <c r="I193" t="s">
        <v>327</v>
      </c>
      <c r="J193" s="9">
        <v>46316</v>
      </c>
      <c r="K193">
        <f>IF(J193="",0,COUNTIFS(Schedule!$B:$B,B193,Schedule!$A:$A,"&lt;"&amp;J193))</f>
        <v>0</v>
      </c>
      <c r="L193">
        <f t="shared" si="9"/>
        <v>82</v>
      </c>
      <c r="M193" s="2"/>
      <c r="N193" s="2"/>
      <c r="O193">
        <f t="shared" si="10"/>
        <v>76</v>
      </c>
      <c r="P193">
        <f t="shared" si="11"/>
        <v>19.899999999999999</v>
      </c>
      <c r="Q193" t="s">
        <v>433</v>
      </c>
    </row>
    <row r="194" spans="1:17" x14ac:dyDescent="0.2">
      <c r="A194" t="s">
        <v>171</v>
      </c>
      <c r="B194" t="s">
        <v>357</v>
      </c>
      <c r="C194" t="s">
        <v>340</v>
      </c>
      <c r="D194">
        <v>73</v>
      </c>
      <c r="E194">
        <v>19.2</v>
      </c>
      <c r="F194">
        <v>55</v>
      </c>
      <c r="G194">
        <v>21.7</v>
      </c>
      <c r="H194" s="8">
        <f t="shared" ref="H194:H257" si="12">IF(G194="","",E194-G194)</f>
        <v>-2.5</v>
      </c>
      <c r="J194" s="9"/>
      <c r="K194">
        <f>IF(J194="",0,COUNTIFS(Schedule!$B:$B,B194,Schedule!$A:$A,"&lt;"&amp;J194))</f>
        <v>0</v>
      </c>
      <c r="L194">
        <f t="shared" ref="L194:L257" si="13">82-K194</f>
        <v>82</v>
      </c>
      <c r="M194" s="2"/>
      <c r="N194" s="2"/>
      <c r="O194">
        <f t="shared" ref="O194:O257" si="14">IF(M194&lt;&gt;"",M194,MIN(D194,L194))</f>
        <v>73</v>
      </c>
      <c r="P194">
        <f t="shared" ref="P194:P257" si="15">IF(N194&lt;&gt;"",N194,E194)</f>
        <v>19.2</v>
      </c>
    </row>
    <row r="195" spans="1:17" x14ac:dyDescent="0.2">
      <c r="A195" t="s">
        <v>225</v>
      </c>
      <c r="B195" t="s">
        <v>355</v>
      </c>
      <c r="C195" t="s">
        <v>371</v>
      </c>
      <c r="D195">
        <v>74</v>
      </c>
      <c r="E195">
        <v>22.2</v>
      </c>
      <c r="F195">
        <v>69</v>
      </c>
      <c r="G195">
        <v>22.4</v>
      </c>
      <c r="H195" s="8">
        <f t="shared" si="12"/>
        <v>-0.19999999999999929</v>
      </c>
      <c r="J195" s="9"/>
      <c r="K195">
        <f>IF(J195="",0,COUNTIFS(Schedule!$B:$B,B195,Schedule!$A:$A,"&lt;"&amp;J195))</f>
        <v>0</v>
      </c>
      <c r="L195">
        <f t="shared" si="13"/>
        <v>82</v>
      </c>
      <c r="M195" s="2"/>
      <c r="N195" s="2"/>
      <c r="O195">
        <f t="shared" si="14"/>
        <v>74</v>
      </c>
      <c r="P195">
        <f t="shared" si="15"/>
        <v>22.2</v>
      </c>
    </row>
    <row r="196" spans="1:17" x14ac:dyDescent="0.2">
      <c r="A196" t="s">
        <v>200</v>
      </c>
      <c r="B196" t="s">
        <v>348</v>
      </c>
      <c r="C196" t="s">
        <v>349</v>
      </c>
      <c r="D196">
        <v>72</v>
      </c>
      <c r="E196">
        <v>22</v>
      </c>
      <c r="F196">
        <v>60</v>
      </c>
      <c r="G196">
        <v>25.8</v>
      </c>
      <c r="H196" s="8">
        <f t="shared" si="12"/>
        <v>-3.8000000000000007</v>
      </c>
      <c r="J196" s="9"/>
      <c r="K196">
        <f>IF(J196="",0,COUNTIFS(Schedule!$B:$B,B196,Schedule!$A:$A,"&lt;"&amp;J196))</f>
        <v>0</v>
      </c>
      <c r="L196">
        <f t="shared" si="13"/>
        <v>82</v>
      </c>
      <c r="M196" s="2"/>
      <c r="N196" s="2"/>
      <c r="O196">
        <f t="shared" si="14"/>
        <v>72</v>
      </c>
      <c r="P196">
        <f t="shared" si="15"/>
        <v>22</v>
      </c>
    </row>
    <row r="197" spans="1:17" x14ac:dyDescent="0.2">
      <c r="A197" t="s">
        <v>156</v>
      </c>
      <c r="B197" t="s">
        <v>337</v>
      </c>
      <c r="C197" t="s">
        <v>340</v>
      </c>
      <c r="D197">
        <v>75</v>
      </c>
      <c r="E197">
        <v>21.9</v>
      </c>
      <c r="F197">
        <v>76</v>
      </c>
      <c r="G197">
        <v>25.3</v>
      </c>
      <c r="H197" s="8">
        <f t="shared" si="12"/>
        <v>-3.4000000000000021</v>
      </c>
      <c r="J197" s="9"/>
      <c r="K197">
        <f>IF(J197="",0,COUNTIFS(Schedule!$B:$B,B197,Schedule!$A:$A,"&lt;"&amp;J197))</f>
        <v>0</v>
      </c>
      <c r="L197">
        <f t="shared" si="13"/>
        <v>82</v>
      </c>
      <c r="M197" s="2"/>
      <c r="N197" s="2"/>
      <c r="O197">
        <f t="shared" si="14"/>
        <v>75</v>
      </c>
      <c r="P197">
        <f t="shared" si="15"/>
        <v>21.9</v>
      </c>
    </row>
    <row r="198" spans="1:17" x14ac:dyDescent="0.2">
      <c r="A198" t="s">
        <v>187</v>
      </c>
      <c r="B198" t="s">
        <v>351</v>
      </c>
      <c r="C198" t="s">
        <v>349</v>
      </c>
      <c r="D198">
        <v>80</v>
      </c>
      <c r="E198">
        <v>23.4</v>
      </c>
      <c r="F198">
        <v>82</v>
      </c>
      <c r="G198">
        <v>27.6</v>
      </c>
      <c r="H198" s="8">
        <f t="shared" si="12"/>
        <v>-4.2000000000000028</v>
      </c>
      <c r="J198" s="9"/>
      <c r="K198">
        <f>IF(J198="",0,COUNTIFS(Schedule!$B:$B,B198,Schedule!$A:$A,"&lt;"&amp;J198))</f>
        <v>0</v>
      </c>
      <c r="L198">
        <f t="shared" si="13"/>
        <v>82</v>
      </c>
      <c r="M198" s="2"/>
      <c r="N198" s="2"/>
      <c r="O198">
        <f t="shared" si="14"/>
        <v>80</v>
      </c>
      <c r="P198">
        <f t="shared" si="15"/>
        <v>23.4</v>
      </c>
    </row>
    <row r="199" spans="1:17" x14ac:dyDescent="0.2">
      <c r="A199" t="s">
        <v>272</v>
      </c>
      <c r="B199" t="s">
        <v>362</v>
      </c>
      <c r="C199" t="s">
        <v>333</v>
      </c>
      <c r="D199">
        <v>73</v>
      </c>
      <c r="E199">
        <v>22.8</v>
      </c>
      <c r="F199">
        <v>59</v>
      </c>
      <c r="G199">
        <v>25.7</v>
      </c>
      <c r="H199" s="8">
        <f t="shared" si="12"/>
        <v>-2.8999999999999986</v>
      </c>
      <c r="J199" s="9"/>
      <c r="K199">
        <f>IF(J199="",0,COUNTIFS(Schedule!$B:$B,B199,Schedule!$A:$A,"&lt;"&amp;J199))</f>
        <v>0</v>
      </c>
      <c r="L199">
        <f t="shared" si="13"/>
        <v>82</v>
      </c>
      <c r="M199" s="2"/>
      <c r="N199" s="2"/>
      <c r="O199">
        <f t="shared" si="14"/>
        <v>73</v>
      </c>
      <c r="P199">
        <f t="shared" si="15"/>
        <v>22.8</v>
      </c>
    </row>
    <row r="200" spans="1:17" x14ac:dyDescent="0.2">
      <c r="A200" t="s">
        <v>221</v>
      </c>
      <c r="B200" t="s">
        <v>377</v>
      </c>
      <c r="C200" t="s">
        <v>371</v>
      </c>
      <c r="D200">
        <v>75</v>
      </c>
      <c r="E200">
        <v>27.9</v>
      </c>
      <c r="F200">
        <v>69</v>
      </c>
      <c r="G200">
        <v>26.8</v>
      </c>
      <c r="H200" s="8">
        <f t="shared" si="12"/>
        <v>1.0999999999999979</v>
      </c>
      <c r="J200" s="9"/>
      <c r="K200">
        <f>IF(J200="",0,COUNTIFS(Schedule!$B:$B,B200,Schedule!$A:$A,"&lt;"&amp;J200))</f>
        <v>0</v>
      </c>
      <c r="L200">
        <f t="shared" si="13"/>
        <v>82</v>
      </c>
      <c r="M200" s="2"/>
      <c r="N200" s="2"/>
      <c r="O200">
        <f t="shared" si="14"/>
        <v>75</v>
      </c>
      <c r="P200">
        <f t="shared" si="15"/>
        <v>27.9</v>
      </c>
    </row>
    <row r="201" spans="1:17" x14ac:dyDescent="0.2">
      <c r="A201" t="s">
        <v>148</v>
      </c>
      <c r="B201" t="s">
        <v>357</v>
      </c>
      <c r="C201" t="s">
        <v>340</v>
      </c>
      <c r="D201">
        <v>72</v>
      </c>
      <c r="E201">
        <v>23.3</v>
      </c>
      <c r="F201">
        <v>7</v>
      </c>
      <c r="G201">
        <v>16.399999999999999</v>
      </c>
      <c r="H201" s="8">
        <f t="shared" si="12"/>
        <v>6.9000000000000021</v>
      </c>
      <c r="I201" t="s">
        <v>327</v>
      </c>
      <c r="J201" s="9">
        <v>46309</v>
      </c>
      <c r="K201">
        <f>IF(J201="",0,COUNTIFS(Schedule!$B:$B,B201,Schedule!$A:$A,"&lt;"&amp;J201))</f>
        <v>0</v>
      </c>
      <c r="L201">
        <f t="shared" si="13"/>
        <v>82</v>
      </c>
      <c r="M201" s="2"/>
      <c r="N201" s="2"/>
      <c r="O201">
        <f t="shared" si="14"/>
        <v>72</v>
      </c>
      <c r="P201">
        <f t="shared" si="15"/>
        <v>23.3</v>
      </c>
      <c r="Q201" t="s">
        <v>434</v>
      </c>
    </row>
    <row r="202" spans="1:17" x14ac:dyDescent="0.2">
      <c r="A202" t="s">
        <v>205</v>
      </c>
      <c r="B202" t="s">
        <v>329</v>
      </c>
      <c r="C202" t="s">
        <v>326</v>
      </c>
      <c r="D202">
        <v>75</v>
      </c>
      <c r="E202">
        <v>27.9</v>
      </c>
      <c r="F202">
        <v>70</v>
      </c>
      <c r="G202">
        <v>28.6</v>
      </c>
      <c r="H202" s="8">
        <f t="shared" si="12"/>
        <v>-0.70000000000000284</v>
      </c>
      <c r="I202" t="s">
        <v>327</v>
      </c>
      <c r="J202" s="9">
        <v>46309</v>
      </c>
      <c r="K202">
        <f>IF(J202="",0,COUNTIFS(Schedule!$B:$B,B202,Schedule!$A:$A,"&lt;"&amp;J202))</f>
        <v>0</v>
      </c>
      <c r="L202">
        <f t="shared" si="13"/>
        <v>82</v>
      </c>
      <c r="M202" s="2"/>
      <c r="N202" s="2"/>
      <c r="O202">
        <f t="shared" si="14"/>
        <v>75</v>
      </c>
      <c r="P202">
        <f t="shared" si="15"/>
        <v>27.9</v>
      </c>
      <c r="Q202" t="s">
        <v>435</v>
      </c>
    </row>
    <row r="203" spans="1:17" x14ac:dyDescent="0.2">
      <c r="A203" t="s">
        <v>193</v>
      </c>
      <c r="B203" t="s">
        <v>379</v>
      </c>
      <c r="C203" t="s">
        <v>340</v>
      </c>
      <c r="D203">
        <v>74</v>
      </c>
      <c r="E203">
        <v>20.3</v>
      </c>
      <c r="F203">
        <v>62</v>
      </c>
      <c r="G203">
        <v>18.7</v>
      </c>
      <c r="H203" s="8">
        <f t="shared" si="12"/>
        <v>1.6000000000000014</v>
      </c>
      <c r="I203" t="s">
        <v>327</v>
      </c>
      <c r="J203" s="9">
        <v>46307</v>
      </c>
      <c r="K203">
        <f>IF(J203="",0,COUNTIFS(Schedule!$B:$B,B203,Schedule!$A:$A,"&lt;"&amp;J203))</f>
        <v>0</v>
      </c>
      <c r="L203">
        <f t="shared" si="13"/>
        <v>82</v>
      </c>
      <c r="M203" s="2"/>
      <c r="N203" s="2"/>
      <c r="O203">
        <f t="shared" si="14"/>
        <v>74</v>
      </c>
      <c r="P203">
        <f t="shared" si="15"/>
        <v>20.3</v>
      </c>
      <c r="Q203" t="s">
        <v>436</v>
      </c>
    </row>
    <row r="204" spans="1:17" x14ac:dyDescent="0.2">
      <c r="A204" t="s">
        <v>199</v>
      </c>
      <c r="B204" t="s">
        <v>364</v>
      </c>
      <c r="C204" t="s">
        <v>349</v>
      </c>
      <c r="D204">
        <v>71</v>
      </c>
      <c r="E204">
        <v>28.1</v>
      </c>
      <c r="F204">
        <v>56</v>
      </c>
      <c r="G204">
        <v>28.4</v>
      </c>
      <c r="H204" s="8">
        <f t="shared" si="12"/>
        <v>-0.29999999999999716</v>
      </c>
      <c r="J204" s="9"/>
      <c r="K204">
        <f>IF(J204="",0,COUNTIFS(Schedule!$B:$B,B204,Schedule!$A:$A,"&lt;"&amp;J204))</f>
        <v>0</v>
      </c>
      <c r="L204">
        <f t="shared" si="13"/>
        <v>82</v>
      </c>
      <c r="M204" s="2"/>
      <c r="N204" s="2"/>
      <c r="O204">
        <f t="shared" si="14"/>
        <v>71</v>
      </c>
      <c r="P204">
        <f t="shared" si="15"/>
        <v>28.1</v>
      </c>
    </row>
    <row r="205" spans="1:17" x14ac:dyDescent="0.2">
      <c r="A205" t="s">
        <v>287</v>
      </c>
      <c r="B205" t="s">
        <v>368</v>
      </c>
      <c r="C205" t="s">
        <v>349</v>
      </c>
      <c r="D205">
        <v>66</v>
      </c>
      <c r="E205">
        <v>18.5</v>
      </c>
      <c r="F205">
        <v>63</v>
      </c>
      <c r="G205">
        <v>22.8</v>
      </c>
      <c r="H205" s="8">
        <f t="shared" si="12"/>
        <v>-4.3000000000000007</v>
      </c>
      <c r="I205" t="s">
        <v>327</v>
      </c>
      <c r="J205" s="9">
        <v>46307</v>
      </c>
      <c r="K205">
        <f>IF(J205="",0,COUNTIFS(Schedule!$B:$B,B205,Schedule!$A:$A,"&lt;"&amp;J205))</f>
        <v>0</v>
      </c>
      <c r="L205">
        <f t="shared" si="13"/>
        <v>82</v>
      </c>
      <c r="M205" s="2"/>
      <c r="N205" s="2"/>
      <c r="O205">
        <f t="shared" si="14"/>
        <v>66</v>
      </c>
      <c r="P205">
        <f t="shared" si="15"/>
        <v>18.5</v>
      </c>
      <c r="Q205" t="s">
        <v>437</v>
      </c>
    </row>
    <row r="206" spans="1:17" x14ac:dyDescent="0.2">
      <c r="A206" t="s">
        <v>243</v>
      </c>
      <c r="B206" t="s">
        <v>366</v>
      </c>
      <c r="C206" t="s">
        <v>326</v>
      </c>
      <c r="D206">
        <v>74</v>
      </c>
      <c r="E206">
        <v>16.3</v>
      </c>
      <c r="F206">
        <v>56</v>
      </c>
      <c r="G206">
        <v>17.2</v>
      </c>
      <c r="H206" s="8">
        <f t="shared" si="12"/>
        <v>-0.89999999999999858</v>
      </c>
      <c r="I206" t="s">
        <v>327</v>
      </c>
      <c r="J206" s="9">
        <v>46308</v>
      </c>
      <c r="K206">
        <f>IF(J206="",0,COUNTIFS(Schedule!$B:$B,B206,Schedule!$A:$A,"&lt;"&amp;J206))</f>
        <v>0</v>
      </c>
      <c r="L206">
        <f t="shared" si="13"/>
        <v>82</v>
      </c>
      <c r="M206" s="2"/>
      <c r="N206" s="2"/>
      <c r="O206">
        <f t="shared" si="14"/>
        <v>74</v>
      </c>
      <c r="P206">
        <f t="shared" si="15"/>
        <v>16.3</v>
      </c>
      <c r="Q206" t="s">
        <v>438</v>
      </c>
    </row>
    <row r="207" spans="1:17" x14ac:dyDescent="0.2">
      <c r="A207" t="s">
        <v>275</v>
      </c>
      <c r="B207" t="s">
        <v>377</v>
      </c>
      <c r="C207" t="s">
        <v>371</v>
      </c>
      <c r="D207">
        <v>75</v>
      </c>
      <c r="E207">
        <v>17.600000000000001</v>
      </c>
      <c r="F207">
        <v>65</v>
      </c>
      <c r="G207">
        <v>21.8</v>
      </c>
      <c r="H207" s="8">
        <f t="shared" si="12"/>
        <v>-4.1999999999999993</v>
      </c>
      <c r="J207" s="9"/>
      <c r="K207">
        <f>IF(J207="",0,COUNTIFS(Schedule!$B:$B,B207,Schedule!$A:$A,"&lt;"&amp;J207))</f>
        <v>0</v>
      </c>
      <c r="L207">
        <f t="shared" si="13"/>
        <v>82</v>
      </c>
      <c r="M207" s="2"/>
      <c r="N207" s="2"/>
      <c r="O207">
        <f t="shared" si="14"/>
        <v>75</v>
      </c>
      <c r="P207">
        <f t="shared" si="15"/>
        <v>17.600000000000001</v>
      </c>
    </row>
    <row r="208" spans="1:17" x14ac:dyDescent="0.2">
      <c r="A208" t="s">
        <v>189</v>
      </c>
      <c r="B208" t="s">
        <v>345</v>
      </c>
      <c r="C208" t="s">
        <v>330</v>
      </c>
      <c r="D208">
        <v>72</v>
      </c>
      <c r="E208">
        <v>26.9</v>
      </c>
      <c r="F208">
        <v>68</v>
      </c>
      <c r="G208">
        <v>27.5</v>
      </c>
      <c r="H208" s="8">
        <f t="shared" si="12"/>
        <v>-0.60000000000000142</v>
      </c>
      <c r="J208" s="9"/>
      <c r="K208">
        <f>IF(J208="",0,COUNTIFS(Schedule!$B:$B,B208,Schedule!$A:$A,"&lt;"&amp;J208))</f>
        <v>0</v>
      </c>
      <c r="L208">
        <f t="shared" si="13"/>
        <v>82</v>
      </c>
      <c r="M208" s="2"/>
      <c r="N208" s="2"/>
      <c r="O208">
        <f t="shared" si="14"/>
        <v>72</v>
      </c>
      <c r="P208">
        <f t="shared" si="15"/>
        <v>26.9</v>
      </c>
    </row>
    <row r="209" spans="1:17" x14ac:dyDescent="0.2">
      <c r="A209" t="s">
        <v>252</v>
      </c>
      <c r="B209" t="s">
        <v>373</v>
      </c>
      <c r="C209" t="s">
        <v>359</v>
      </c>
      <c r="D209">
        <v>70</v>
      </c>
      <c r="E209">
        <v>22.3</v>
      </c>
      <c r="F209">
        <v>12</v>
      </c>
      <c r="G209">
        <v>24</v>
      </c>
      <c r="H209" s="8">
        <f t="shared" si="12"/>
        <v>-1.6999999999999993</v>
      </c>
      <c r="I209" t="s">
        <v>375</v>
      </c>
      <c r="J209" s="9">
        <v>46328</v>
      </c>
      <c r="K209">
        <f>IF(J209="",0,COUNTIFS(Schedule!$B:$B,B209,Schedule!$A:$A,"&lt;"&amp;J209))</f>
        <v>6</v>
      </c>
      <c r="L209">
        <f t="shared" si="13"/>
        <v>76</v>
      </c>
      <c r="M209" s="2"/>
      <c r="N209" s="2"/>
      <c r="O209">
        <f t="shared" si="14"/>
        <v>70</v>
      </c>
      <c r="P209">
        <f t="shared" si="15"/>
        <v>22.3</v>
      </c>
      <c r="Q209" t="s">
        <v>439</v>
      </c>
    </row>
    <row r="210" spans="1:17" x14ac:dyDescent="0.2">
      <c r="A210" t="s">
        <v>124</v>
      </c>
      <c r="B210" t="s">
        <v>325</v>
      </c>
      <c r="C210" t="s">
        <v>335</v>
      </c>
      <c r="D210">
        <v>77</v>
      </c>
      <c r="E210">
        <v>26.3</v>
      </c>
      <c r="F210">
        <v>77</v>
      </c>
      <c r="G210">
        <v>26.6</v>
      </c>
      <c r="H210" s="8">
        <f t="shared" si="12"/>
        <v>-0.30000000000000071</v>
      </c>
      <c r="I210" t="s">
        <v>327</v>
      </c>
      <c r="J210" s="9">
        <v>46308</v>
      </c>
      <c r="K210">
        <f>IF(J210="",0,COUNTIFS(Schedule!$B:$B,B210,Schedule!$A:$A,"&lt;"&amp;J210))</f>
        <v>0</v>
      </c>
      <c r="L210">
        <f t="shared" si="13"/>
        <v>82</v>
      </c>
      <c r="M210" s="2"/>
      <c r="N210" s="2"/>
      <c r="O210">
        <f t="shared" si="14"/>
        <v>77</v>
      </c>
      <c r="P210">
        <f t="shared" si="15"/>
        <v>26.3</v>
      </c>
      <c r="Q210" t="s">
        <v>440</v>
      </c>
    </row>
    <row r="211" spans="1:17" x14ac:dyDescent="0.2">
      <c r="A211" t="s">
        <v>191</v>
      </c>
      <c r="B211" t="s">
        <v>345</v>
      </c>
      <c r="C211" t="s">
        <v>330</v>
      </c>
      <c r="D211">
        <v>68</v>
      </c>
      <c r="E211">
        <v>23.9</v>
      </c>
      <c r="F211">
        <v>45</v>
      </c>
      <c r="G211">
        <v>21.5</v>
      </c>
      <c r="H211" s="8">
        <f t="shared" si="12"/>
        <v>2.3999999999999986</v>
      </c>
      <c r="J211" s="9"/>
      <c r="K211">
        <f>IF(J211="",0,COUNTIFS(Schedule!$B:$B,B211,Schedule!$A:$A,"&lt;"&amp;J211))</f>
        <v>0</v>
      </c>
      <c r="L211">
        <f t="shared" si="13"/>
        <v>82</v>
      </c>
      <c r="M211" s="2"/>
      <c r="N211" s="2"/>
      <c r="O211">
        <f t="shared" si="14"/>
        <v>68</v>
      </c>
      <c r="P211">
        <f t="shared" si="15"/>
        <v>23.9</v>
      </c>
    </row>
    <row r="212" spans="1:17" x14ac:dyDescent="0.2">
      <c r="A212" t="s">
        <v>245</v>
      </c>
      <c r="B212" t="s">
        <v>385</v>
      </c>
      <c r="C212" t="s">
        <v>330</v>
      </c>
      <c r="D212">
        <v>75</v>
      </c>
      <c r="E212">
        <v>21</v>
      </c>
      <c r="F212">
        <v>73</v>
      </c>
      <c r="G212">
        <v>23.9</v>
      </c>
      <c r="H212" s="8">
        <f t="shared" si="12"/>
        <v>-2.8999999999999986</v>
      </c>
      <c r="J212" s="9"/>
      <c r="K212">
        <f>IF(J212="",0,COUNTIFS(Schedule!$B:$B,B212,Schedule!$A:$A,"&lt;"&amp;J212))</f>
        <v>0</v>
      </c>
      <c r="L212">
        <f t="shared" si="13"/>
        <v>82</v>
      </c>
      <c r="M212" s="2"/>
      <c r="N212" s="2"/>
      <c r="O212">
        <f t="shared" si="14"/>
        <v>75</v>
      </c>
      <c r="P212">
        <f t="shared" si="15"/>
        <v>21</v>
      </c>
    </row>
    <row r="213" spans="1:17" x14ac:dyDescent="0.2">
      <c r="A213" t="s">
        <v>285</v>
      </c>
      <c r="B213" t="s">
        <v>379</v>
      </c>
      <c r="C213" t="s">
        <v>365</v>
      </c>
      <c r="D213">
        <v>74</v>
      </c>
      <c r="E213">
        <v>19.2</v>
      </c>
      <c r="F213">
        <v>66</v>
      </c>
      <c r="G213">
        <v>27</v>
      </c>
      <c r="H213" s="8">
        <f t="shared" si="12"/>
        <v>-7.8000000000000007</v>
      </c>
      <c r="J213" s="9"/>
      <c r="K213">
        <f>IF(J213="",0,COUNTIFS(Schedule!$B:$B,B213,Schedule!$A:$A,"&lt;"&amp;J213))</f>
        <v>0</v>
      </c>
      <c r="L213">
        <f t="shared" si="13"/>
        <v>82</v>
      </c>
      <c r="M213" s="2"/>
      <c r="N213" s="2"/>
      <c r="O213">
        <f t="shared" si="14"/>
        <v>74</v>
      </c>
      <c r="P213">
        <f t="shared" si="15"/>
        <v>19.2</v>
      </c>
    </row>
    <row r="214" spans="1:17" x14ac:dyDescent="0.2">
      <c r="A214" t="s">
        <v>279</v>
      </c>
      <c r="B214" t="s">
        <v>368</v>
      </c>
      <c r="C214" t="s">
        <v>333</v>
      </c>
      <c r="D214">
        <v>80</v>
      </c>
      <c r="E214">
        <v>23.6</v>
      </c>
      <c r="F214">
        <v>82</v>
      </c>
      <c r="G214">
        <v>27.7</v>
      </c>
      <c r="H214" s="8">
        <f t="shared" si="12"/>
        <v>-4.0999999999999979</v>
      </c>
      <c r="J214" s="9"/>
      <c r="K214">
        <f>IF(J214="",0,COUNTIFS(Schedule!$B:$B,B214,Schedule!$A:$A,"&lt;"&amp;J214))</f>
        <v>0</v>
      </c>
      <c r="L214">
        <f t="shared" si="13"/>
        <v>82</v>
      </c>
      <c r="M214" s="2"/>
      <c r="N214" s="2"/>
      <c r="O214">
        <f t="shared" si="14"/>
        <v>80</v>
      </c>
      <c r="P214">
        <f t="shared" si="15"/>
        <v>23.6</v>
      </c>
    </row>
    <row r="215" spans="1:17" x14ac:dyDescent="0.2">
      <c r="A215" t="s">
        <v>276</v>
      </c>
      <c r="B215" t="s">
        <v>339</v>
      </c>
      <c r="C215" t="s">
        <v>330</v>
      </c>
      <c r="D215">
        <v>70</v>
      </c>
      <c r="E215">
        <v>15.3</v>
      </c>
      <c r="F215">
        <v>60</v>
      </c>
      <c r="G215">
        <v>20</v>
      </c>
      <c r="H215" s="8">
        <f t="shared" si="12"/>
        <v>-4.6999999999999993</v>
      </c>
      <c r="J215" s="9"/>
      <c r="K215">
        <f>IF(J215="",0,COUNTIFS(Schedule!$B:$B,B215,Schedule!$A:$A,"&lt;"&amp;J215))</f>
        <v>0</v>
      </c>
      <c r="L215">
        <f t="shared" si="13"/>
        <v>82</v>
      </c>
      <c r="M215" s="2"/>
      <c r="N215" s="2"/>
      <c r="O215">
        <f t="shared" si="14"/>
        <v>70</v>
      </c>
      <c r="P215">
        <f t="shared" si="15"/>
        <v>15.3</v>
      </c>
    </row>
    <row r="216" spans="1:17" x14ac:dyDescent="0.2">
      <c r="A216" t="s">
        <v>224</v>
      </c>
      <c r="B216" t="s">
        <v>364</v>
      </c>
      <c r="C216" t="s">
        <v>340</v>
      </c>
      <c r="D216">
        <v>73</v>
      </c>
      <c r="E216">
        <v>25.1</v>
      </c>
      <c r="F216">
        <v>66</v>
      </c>
      <c r="G216">
        <v>19.7</v>
      </c>
      <c r="H216" s="8">
        <f t="shared" si="12"/>
        <v>5.4000000000000021</v>
      </c>
      <c r="J216" s="9"/>
      <c r="K216">
        <f>IF(J216="",0,COUNTIFS(Schedule!$B:$B,B216,Schedule!$A:$A,"&lt;"&amp;J216))</f>
        <v>0</v>
      </c>
      <c r="L216">
        <f t="shared" si="13"/>
        <v>82</v>
      </c>
      <c r="M216" s="2"/>
      <c r="N216" s="2"/>
      <c r="O216">
        <f t="shared" si="14"/>
        <v>73</v>
      </c>
      <c r="P216">
        <f t="shared" si="15"/>
        <v>25.1</v>
      </c>
    </row>
    <row r="217" spans="1:17" x14ac:dyDescent="0.2">
      <c r="A217" t="s">
        <v>223</v>
      </c>
      <c r="B217" t="s">
        <v>378</v>
      </c>
      <c r="C217" t="s">
        <v>338</v>
      </c>
      <c r="D217">
        <v>77</v>
      </c>
      <c r="E217">
        <v>22.3</v>
      </c>
      <c r="F217">
        <v>78</v>
      </c>
      <c r="G217">
        <v>28.4</v>
      </c>
      <c r="H217" s="8">
        <f t="shared" si="12"/>
        <v>-6.0999999999999979</v>
      </c>
      <c r="J217" s="9"/>
      <c r="K217">
        <f>IF(J217="",0,COUNTIFS(Schedule!$B:$B,B217,Schedule!$A:$A,"&lt;"&amp;J217))</f>
        <v>0</v>
      </c>
      <c r="L217">
        <f t="shared" si="13"/>
        <v>82</v>
      </c>
      <c r="M217" s="2"/>
      <c r="N217" s="2"/>
      <c r="O217">
        <f t="shared" si="14"/>
        <v>77</v>
      </c>
      <c r="P217">
        <f t="shared" si="15"/>
        <v>22.3</v>
      </c>
    </row>
    <row r="218" spans="1:17" x14ac:dyDescent="0.2">
      <c r="A218" t="s">
        <v>231</v>
      </c>
      <c r="B218" t="s">
        <v>346</v>
      </c>
      <c r="C218" t="s">
        <v>335</v>
      </c>
      <c r="D218">
        <v>76</v>
      </c>
      <c r="E218">
        <v>21.2</v>
      </c>
      <c r="F218">
        <v>78</v>
      </c>
      <c r="G218">
        <v>21.6</v>
      </c>
      <c r="H218" s="8">
        <f t="shared" si="12"/>
        <v>-0.40000000000000213</v>
      </c>
      <c r="J218" s="9"/>
      <c r="K218">
        <f>IF(J218="",0,COUNTIFS(Schedule!$B:$B,B218,Schedule!$A:$A,"&lt;"&amp;J218))</f>
        <v>0</v>
      </c>
      <c r="L218">
        <f t="shared" si="13"/>
        <v>82</v>
      </c>
      <c r="M218" s="2"/>
      <c r="N218" s="2"/>
      <c r="O218">
        <f t="shared" si="14"/>
        <v>76</v>
      </c>
      <c r="P218">
        <f t="shared" si="15"/>
        <v>21.2</v>
      </c>
    </row>
    <row r="219" spans="1:17" x14ac:dyDescent="0.2">
      <c r="A219" t="s">
        <v>222</v>
      </c>
      <c r="B219" t="s">
        <v>353</v>
      </c>
      <c r="C219" t="s">
        <v>365</v>
      </c>
      <c r="D219">
        <v>72</v>
      </c>
      <c r="E219">
        <v>19.899999999999999</v>
      </c>
      <c r="F219">
        <v>57</v>
      </c>
      <c r="G219">
        <v>21.9</v>
      </c>
      <c r="H219" s="8">
        <f t="shared" si="12"/>
        <v>-2</v>
      </c>
      <c r="J219" s="9"/>
      <c r="K219">
        <f>IF(J219="",0,COUNTIFS(Schedule!$B:$B,B219,Schedule!$A:$A,"&lt;"&amp;J219))</f>
        <v>0</v>
      </c>
      <c r="L219">
        <f t="shared" si="13"/>
        <v>82</v>
      </c>
      <c r="M219" s="2"/>
      <c r="N219" s="2"/>
      <c r="O219">
        <f t="shared" si="14"/>
        <v>72</v>
      </c>
      <c r="P219">
        <f t="shared" si="15"/>
        <v>19.899999999999999</v>
      </c>
    </row>
    <row r="220" spans="1:17" x14ac:dyDescent="0.2">
      <c r="A220" t="s">
        <v>262</v>
      </c>
      <c r="B220" t="s">
        <v>369</v>
      </c>
      <c r="C220" t="s">
        <v>359</v>
      </c>
      <c r="D220">
        <v>74</v>
      </c>
      <c r="E220">
        <v>21.5</v>
      </c>
      <c r="H220" s="8" t="str">
        <f t="shared" si="12"/>
        <v/>
      </c>
      <c r="I220" t="s">
        <v>327</v>
      </c>
      <c r="J220" s="9">
        <v>46309</v>
      </c>
      <c r="K220">
        <f>IF(J220="",0,COUNTIFS(Schedule!$B:$B,B220,Schedule!$A:$A,"&lt;"&amp;J220))</f>
        <v>0</v>
      </c>
      <c r="L220">
        <f t="shared" si="13"/>
        <v>82</v>
      </c>
      <c r="M220" s="2"/>
      <c r="N220" s="2"/>
      <c r="O220">
        <f t="shared" si="14"/>
        <v>74</v>
      </c>
      <c r="P220">
        <f t="shared" si="15"/>
        <v>21.5</v>
      </c>
      <c r="Q220" t="s">
        <v>441</v>
      </c>
    </row>
    <row r="221" spans="1:17" x14ac:dyDescent="0.2">
      <c r="A221" t="s">
        <v>214</v>
      </c>
      <c r="B221" t="s">
        <v>332</v>
      </c>
      <c r="C221" t="s">
        <v>338</v>
      </c>
      <c r="D221">
        <v>78</v>
      </c>
      <c r="E221">
        <v>24.7</v>
      </c>
      <c r="F221">
        <v>82</v>
      </c>
      <c r="G221">
        <v>25.1</v>
      </c>
      <c r="H221" s="8">
        <f t="shared" si="12"/>
        <v>-0.40000000000000213</v>
      </c>
      <c r="J221" s="9"/>
      <c r="K221">
        <f>IF(J221="",0,COUNTIFS(Schedule!$B:$B,B221,Schedule!$A:$A,"&lt;"&amp;J221))</f>
        <v>0</v>
      </c>
      <c r="L221">
        <f t="shared" si="13"/>
        <v>82</v>
      </c>
      <c r="M221" s="2"/>
      <c r="N221" s="2"/>
      <c r="O221">
        <f t="shared" si="14"/>
        <v>78</v>
      </c>
      <c r="P221">
        <f t="shared" si="15"/>
        <v>24.7</v>
      </c>
    </row>
    <row r="222" spans="1:17" x14ac:dyDescent="0.2">
      <c r="A222" t="s">
        <v>292</v>
      </c>
      <c r="B222" t="s">
        <v>368</v>
      </c>
      <c r="C222" t="s">
        <v>330</v>
      </c>
      <c r="D222">
        <v>67</v>
      </c>
      <c r="E222">
        <v>12.1</v>
      </c>
      <c r="F222">
        <v>49</v>
      </c>
      <c r="G222">
        <v>13.7</v>
      </c>
      <c r="H222" s="8">
        <f t="shared" si="12"/>
        <v>-1.5999999999999996</v>
      </c>
      <c r="I222" t="s">
        <v>375</v>
      </c>
      <c r="J222" s="9">
        <v>46328</v>
      </c>
      <c r="K222">
        <f>IF(J222="",0,COUNTIFS(Schedule!$B:$B,B222,Schedule!$A:$A,"&lt;"&amp;J222))</f>
        <v>6</v>
      </c>
      <c r="L222">
        <f t="shared" si="13"/>
        <v>76</v>
      </c>
      <c r="M222" s="2"/>
      <c r="N222" s="2"/>
      <c r="O222">
        <f t="shared" si="14"/>
        <v>67</v>
      </c>
      <c r="P222">
        <f t="shared" si="15"/>
        <v>12.1</v>
      </c>
      <c r="Q222" t="s">
        <v>442</v>
      </c>
    </row>
    <row r="223" spans="1:17" x14ac:dyDescent="0.2">
      <c r="A223" t="s">
        <v>248</v>
      </c>
      <c r="B223" t="s">
        <v>396</v>
      </c>
      <c r="C223" t="s">
        <v>365</v>
      </c>
      <c r="D223">
        <v>74</v>
      </c>
      <c r="E223">
        <v>19.7</v>
      </c>
      <c r="F223">
        <v>58</v>
      </c>
      <c r="G223">
        <v>22.7</v>
      </c>
      <c r="H223" s="8">
        <f t="shared" si="12"/>
        <v>-3</v>
      </c>
      <c r="I223" t="s">
        <v>375</v>
      </c>
      <c r="J223" s="9">
        <v>46318</v>
      </c>
      <c r="K223">
        <f>IF(J223="",0,COUNTIFS(Schedule!$B:$B,B223,Schedule!$A:$A,"&lt;"&amp;J223))</f>
        <v>1</v>
      </c>
      <c r="L223">
        <f t="shared" si="13"/>
        <v>81</v>
      </c>
      <c r="M223" s="2"/>
      <c r="N223" s="2"/>
      <c r="O223">
        <f t="shared" si="14"/>
        <v>74</v>
      </c>
      <c r="P223">
        <f t="shared" si="15"/>
        <v>19.7</v>
      </c>
      <c r="Q223" t="s">
        <v>443</v>
      </c>
    </row>
    <row r="224" spans="1:17" x14ac:dyDescent="0.2">
      <c r="A224" t="s">
        <v>263</v>
      </c>
      <c r="B224" t="s">
        <v>378</v>
      </c>
      <c r="C224" t="s">
        <v>387</v>
      </c>
      <c r="D224">
        <v>75</v>
      </c>
      <c r="E224">
        <v>20.399999999999999</v>
      </c>
      <c r="H224" s="8" t="str">
        <f t="shared" si="12"/>
        <v/>
      </c>
      <c r="J224" s="9"/>
      <c r="K224">
        <f>IF(J224="",0,COUNTIFS(Schedule!$B:$B,B224,Schedule!$A:$A,"&lt;"&amp;J224))</f>
        <v>0</v>
      </c>
      <c r="L224">
        <f t="shared" si="13"/>
        <v>82</v>
      </c>
      <c r="M224" s="2"/>
      <c r="N224" s="2"/>
      <c r="O224">
        <f t="shared" si="14"/>
        <v>75</v>
      </c>
      <c r="P224">
        <f t="shared" si="15"/>
        <v>20.399999999999999</v>
      </c>
    </row>
    <row r="225" spans="1:16" x14ac:dyDescent="0.2">
      <c r="A225" t="s">
        <v>301</v>
      </c>
      <c r="B225" t="s">
        <v>329</v>
      </c>
      <c r="C225" t="s">
        <v>365</v>
      </c>
      <c r="D225">
        <v>50</v>
      </c>
      <c r="E225">
        <v>17.100000000000001</v>
      </c>
      <c r="F225">
        <v>47</v>
      </c>
      <c r="G225">
        <v>17.2</v>
      </c>
      <c r="H225" s="8">
        <f t="shared" si="12"/>
        <v>-9.9999999999997868E-2</v>
      </c>
      <c r="J225" s="9"/>
      <c r="K225">
        <f>IF(J225="",0,COUNTIFS(Schedule!$B:$B,B225,Schedule!$A:$A,"&lt;"&amp;J225))</f>
        <v>0</v>
      </c>
      <c r="L225">
        <f t="shared" si="13"/>
        <v>82</v>
      </c>
      <c r="M225" s="2"/>
      <c r="N225" s="2"/>
      <c r="O225">
        <f t="shared" si="14"/>
        <v>50</v>
      </c>
      <c r="P225">
        <f t="shared" si="15"/>
        <v>17.100000000000001</v>
      </c>
    </row>
    <row r="226" spans="1:16" x14ac:dyDescent="0.2">
      <c r="A226" t="s">
        <v>267</v>
      </c>
      <c r="B226" t="s">
        <v>358</v>
      </c>
      <c r="C226" t="s">
        <v>338</v>
      </c>
      <c r="D226">
        <v>78</v>
      </c>
      <c r="E226">
        <v>19.100000000000001</v>
      </c>
      <c r="F226">
        <v>77</v>
      </c>
      <c r="G226">
        <v>24.7</v>
      </c>
      <c r="H226" s="8">
        <f t="shared" si="12"/>
        <v>-5.5999999999999979</v>
      </c>
      <c r="J226" s="9"/>
      <c r="K226">
        <f>IF(J226="",0,COUNTIFS(Schedule!$B:$B,B226,Schedule!$A:$A,"&lt;"&amp;J226))</f>
        <v>0</v>
      </c>
      <c r="L226">
        <f t="shared" si="13"/>
        <v>82</v>
      </c>
      <c r="M226" s="2"/>
      <c r="N226" s="2"/>
      <c r="O226">
        <f t="shared" si="14"/>
        <v>78</v>
      </c>
      <c r="P226">
        <f t="shared" si="15"/>
        <v>19.100000000000001</v>
      </c>
    </row>
    <row r="227" spans="1:16" x14ac:dyDescent="0.2">
      <c r="A227" t="s">
        <v>196</v>
      </c>
      <c r="B227" t="s">
        <v>378</v>
      </c>
      <c r="C227" t="s">
        <v>330</v>
      </c>
      <c r="D227">
        <v>74</v>
      </c>
      <c r="E227">
        <v>24.4</v>
      </c>
      <c r="F227">
        <v>73</v>
      </c>
      <c r="G227">
        <v>26</v>
      </c>
      <c r="H227" s="8">
        <f t="shared" si="12"/>
        <v>-1.6000000000000014</v>
      </c>
      <c r="J227" s="9"/>
      <c r="K227">
        <f>IF(J227="",0,COUNTIFS(Schedule!$B:$B,B227,Schedule!$A:$A,"&lt;"&amp;J227))</f>
        <v>0</v>
      </c>
      <c r="L227">
        <f t="shared" si="13"/>
        <v>82</v>
      </c>
      <c r="M227" s="2"/>
      <c r="N227" s="2"/>
      <c r="O227">
        <f t="shared" si="14"/>
        <v>74</v>
      </c>
      <c r="P227">
        <f t="shared" si="15"/>
        <v>24.4</v>
      </c>
    </row>
    <row r="228" spans="1:16" x14ac:dyDescent="0.2">
      <c r="A228" t="s">
        <v>241</v>
      </c>
      <c r="B228" t="s">
        <v>373</v>
      </c>
      <c r="C228" t="s">
        <v>330</v>
      </c>
      <c r="D228">
        <v>73</v>
      </c>
      <c r="E228">
        <v>17.5</v>
      </c>
      <c r="F228">
        <v>55</v>
      </c>
      <c r="G228">
        <v>16.5</v>
      </c>
      <c r="H228" s="8">
        <f t="shared" si="12"/>
        <v>1</v>
      </c>
      <c r="J228" s="9"/>
      <c r="K228">
        <f>IF(J228="",0,COUNTIFS(Schedule!$B:$B,B228,Schedule!$A:$A,"&lt;"&amp;J228))</f>
        <v>0</v>
      </c>
      <c r="L228">
        <f t="shared" si="13"/>
        <v>82</v>
      </c>
      <c r="M228" s="2"/>
      <c r="N228" s="2"/>
      <c r="O228">
        <f t="shared" si="14"/>
        <v>73</v>
      </c>
      <c r="P228">
        <f t="shared" si="15"/>
        <v>17.5</v>
      </c>
    </row>
    <row r="229" spans="1:16" x14ac:dyDescent="0.2">
      <c r="A229" t="s">
        <v>265</v>
      </c>
      <c r="B229" t="s">
        <v>342</v>
      </c>
      <c r="C229" t="s">
        <v>326</v>
      </c>
      <c r="D229">
        <v>72</v>
      </c>
      <c r="E229">
        <v>17.600000000000001</v>
      </c>
      <c r="F229">
        <v>69</v>
      </c>
      <c r="G229">
        <v>19.899999999999999</v>
      </c>
      <c r="H229" s="8">
        <f t="shared" si="12"/>
        <v>-2.2999999999999972</v>
      </c>
      <c r="J229" s="9"/>
      <c r="K229">
        <f>IF(J229="",0,COUNTIFS(Schedule!$B:$B,B229,Schedule!$A:$A,"&lt;"&amp;J229))</f>
        <v>0</v>
      </c>
      <c r="L229">
        <f t="shared" si="13"/>
        <v>82</v>
      </c>
      <c r="M229" s="2"/>
      <c r="N229" s="2"/>
      <c r="O229">
        <f t="shared" si="14"/>
        <v>72</v>
      </c>
      <c r="P229">
        <f t="shared" si="15"/>
        <v>17.600000000000001</v>
      </c>
    </row>
    <row r="230" spans="1:16" x14ac:dyDescent="0.2">
      <c r="A230" t="s">
        <v>291</v>
      </c>
      <c r="B230" t="s">
        <v>366</v>
      </c>
      <c r="C230" t="s">
        <v>359</v>
      </c>
      <c r="D230">
        <v>71</v>
      </c>
      <c r="E230">
        <v>16.600000000000001</v>
      </c>
      <c r="F230">
        <v>76</v>
      </c>
      <c r="G230">
        <v>25.7</v>
      </c>
      <c r="H230" s="8">
        <f t="shared" si="12"/>
        <v>-9.0999999999999979</v>
      </c>
      <c r="J230" s="9"/>
      <c r="K230">
        <f>IF(J230="",0,COUNTIFS(Schedule!$B:$B,B230,Schedule!$A:$A,"&lt;"&amp;J230))</f>
        <v>0</v>
      </c>
      <c r="L230">
        <f t="shared" si="13"/>
        <v>82</v>
      </c>
      <c r="M230" s="2"/>
      <c r="N230" s="2"/>
      <c r="O230">
        <f t="shared" si="14"/>
        <v>71</v>
      </c>
      <c r="P230">
        <f t="shared" si="15"/>
        <v>16.600000000000001</v>
      </c>
    </row>
    <row r="231" spans="1:16" x14ac:dyDescent="0.2">
      <c r="A231" t="s">
        <v>269</v>
      </c>
      <c r="B231" t="s">
        <v>345</v>
      </c>
      <c r="C231" t="s">
        <v>338</v>
      </c>
      <c r="D231">
        <v>73</v>
      </c>
      <c r="E231">
        <v>19.399999999999999</v>
      </c>
      <c r="F231">
        <v>68</v>
      </c>
      <c r="G231">
        <v>20.5</v>
      </c>
      <c r="H231" s="8">
        <f t="shared" si="12"/>
        <v>-1.1000000000000014</v>
      </c>
      <c r="J231" s="9"/>
      <c r="K231">
        <f>IF(J231="",0,COUNTIFS(Schedule!$B:$B,B231,Schedule!$A:$A,"&lt;"&amp;J231))</f>
        <v>0</v>
      </c>
      <c r="L231">
        <f t="shared" si="13"/>
        <v>82</v>
      </c>
      <c r="M231" s="2"/>
      <c r="N231" s="2"/>
      <c r="O231">
        <f t="shared" si="14"/>
        <v>73</v>
      </c>
      <c r="P231">
        <f t="shared" si="15"/>
        <v>19.399999999999999</v>
      </c>
    </row>
    <row r="232" spans="1:16" x14ac:dyDescent="0.2">
      <c r="A232" t="s">
        <v>273</v>
      </c>
      <c r="B232" t="s">
        <v>355</v>
      </c>
      <c r="C232" t="s">
        <v>359</v>
      </c>
      <c r="D232">
        <v>79</v>
      </c>
      <c r="E232">
        <v>16.600000000000001</v>
      </c>
      <c r="H232" s="8" t="str">
        <f t="shared" si="12"/>
        <v/>
      </c>
      <c r="J232" s="9"/>
      <c r="K232">
        <f>IF(J232="",0,COUNTIFS(Schedule!$B:$B,B232,Schedule!$A:$A,"&lt;"&amp;J232))</f>
        <v>0</v>
      </c>
      <c r="L232">
        <f t="shared" si="13"/>
        <v>82</v>
      </c>
      <c r="M232" s="2"/>
      <c r="N232" s="2"/>
      <c r="O232">
        <f t="shared" si="14"/>
        <v>79</v>
      </c>
      <c r="P232">
        <f t="shared" si="15"/>
        <v>16.600000000000001</v>
      </c>
    </row>
    <row r="233" spans="1:16" x14ac:dyDescent="0.2">
      <c r="A233" t="s">
        <v>209</v>
      </c>
      <c r="B233" t="s">
        <v>346</v>
      </c>
      <c r="C233" t="s">
        <v>365</v>
      </c>
      <c r="D233">
        <v>79</v>
      </c>
      <c r="E233">
        <v>23.7</v>
      </c>
      <c r="F233">
        <v>82</v>
      </c>
      <c r="G233">
        <v>22</v>
      </c>
      <c r="H233" s="8">
        <f t="shared" si="12"/>
        <v>1.6999999999999993</v>
      </c>
      <c r="J233" s="9"/>
      <c r="K233">
        <f>IF(J233="",0,COUNTIFS(Schedule!$B:$B,B233,Schedule!$A:$A,"&lt;"&amp;J233))</f>
        <v>0</v>
      </c>
      <c r="L233">
        <f t="shared" si="13"/>
        <v>82</v>
      </c>
      <c r="M233" s="2"/>
      <c r="N233" s="2"/>
      <c r="O233">
        <f t="shared" si="14"/>
        <v>79</v>
      </c>
      <c r="P233">
        <f t="shared" si="15"/>
        <v>23.7</v>
      </c>
    </row>
    <row r="234" spans="1:16" x14ac:dyDescent="0.2">
      <c r="A234" t="s">
        <v>290</v>
      </c>
      <c r="B234" t="s">
        <v>370</v>
      </c>
      <c r="C234" t="s">
        <v>359</v>
      </c>
      <c r="D234">
        <v>75</v>
      </c>
      <c r="E234">
        <v>20.6</v>
      </c>
      <c r="F234">
        <v>72</v>
      </c>
      <c r="G234">
        <v>20.5</v>
      </c>
      <c r="H234" s="8">
        <f t="shared" si="12"/>
        <v>0.10000000000000142</v>
      </c>
      <c r="J234" s="9"/>
      <c r="K234">
        <f>IF(J234="",0,COUNTIFS(Schedule!$B:$B,B234,Schedule!$A:$A,"&lt;"&amp;J234))</f>
        <v>0</v>
      </c>
      <c r="L234">
        <f t="shared" si="13"/>
        <v>82</v>
      </c>
      <c r="M234" s="2"/>
      <c r="N234" s="2"/>
      <c r="O234">
        <f t="shared" si="14"/>
        <v>75</v>
      </c>
      <c r="P234">
        <f t="shared" si="15"/>
        <v>20.6</v>
      </c>
    </row>
    <row r="235" spans="1:16" x14ac:dyDescent="0.2">
      <c r="A235" t="s">
        <v>261</v>
      </c>
      <c r="B235" t="s">
        <v>353</v>
      </c>
      <c r="C235" t="s">
        <v>326</v>
      </c>
      <c r="D235">
        <v>80</v>
      </c>
      <c r="E235">
        <v>21.1</v>
      </c>
      <c r="F235">
        <v>82</v>
      </c>
      <c r="G235">
        <v>22.6</v>
      </c>
      <c r="H235" s="8">
        <f t="shared" si="12"/>
        <v>-1.5</v>
      </c>
      <c r="J235" s="9"/>
      <c r="K235">
        <f>IF(J235="",0,COUNTIFS(Schedule!$B:$B,B235,Schedule!$A:$A,"&lt;"&amp;J235))</f>
        <v>0</v>
      </c>
      <c r="L235">
        <f t="shared" si="13"/>
        <v>82</v>
      </c>
      <c r="M235" s="2"/>
      <c r="N235" s="2"/>
      <c r="O235">
        <f t="shared" si="14"/>
        <v>80</v>
      </c>
      <c r="P235">
        <f t="shared" si="15"/>
        <v>21.1</v>
      </c>
    </row>
    <row r="236" spans="1:16" x14ac:dyDescent="0.2">
      <c r="A236" t="s">
        <v>257</v>
      </c>
      <c r="B236" t="s">
        <v>337</v>
      </c>
      <c r="C236" t="s">
        <v>371</v>
      </c>
      <c r="D236">
        <v>75</v>
      </c>
      <c r="E236">
        <v>20.5</v>
      </c>
      <c r="F236">
        <v>77</v>
      </c>
      <c r="G236">
        <v>18.600000000000001</v>
      </c>
      <c r="H236" s="8">
        <f t="shared" si="12"/>
        <v>1.8999999999999986</v>
      </c>
      <c r="J236" s="9"/>
      <c r="K236">
        <f>IF(J236="",0,COUNTIFS(Schedule!$B:$B,B236,Schedule!$A:$A,"&lt;"&amp;J236))</f>
        <v>0</v>
      </c>
      <c r="L236">
        <f t="shared" si="13"/>
        <v>82</v>
      </c>
      <c r="M236" s="2"/>
      <c r="N236" s="2"/>
      <c r="O236">
        <f t="shared" si="14"/>
        <v>75</v>
      </c>
      <c r="P236">
        <f t="shared" si="15"/>
        <v>20.5</v>
      </c>
    </row>
    <row r="237" spans="1:16" x14ac:dyDescent="0.2">
      <c r="A237" t="s">
        <v>246</v>
      </c>
      <c r="B237" t="s">
        <v>355</v>
      </c>
      <c r="C237" t="s">
        <v>365</v>
      </c>
      <c r="D237">
        <v>71</v>
      </c>
      <c r="E237">
        <v>12.2</v>
      </c>
      <c r="F237">
        <v>65</v>
      </c>
      <c r="G237">
        <v>13.9</v>
      </c>
      <c r="H237" s="8">
        <f t="shared" si="12"/>
        <v>-1.7000000000000011</v>
      </c>
      <c r="J237" s="9"/>
      <c r="K237">
        <f>IF(J237="",0,COUNTIFS(Schedule!$B:$B,B237,Schedule!$A:$A,"&lt;"&amp;J237))</f>
        <v>0</v>
      </c>
      <c r="L237">
        <f t="shared" si="13"/>
        <v>82</v>
      </c>
      <c r="M237" s="2"/>
      <c r="N237" s="2"/>
      <c r="O237">
        <f t="shared" si="14"/>
        <v>71</v>
      </c>
      <c r="P237">
        <f t="shared" si="15"/>
        <v>12.2</v>
      </c>
    </row>
    <row r="238" spans="1:16" x14ac:dyDescent="0.2">
      <c r="A238" t="s">
        <v>299</v>
      </c>
      <c r="B238" t="s">
        <v>361</v>
      </c>
      <c r="C238" t="s">
        <v>365</v>
      </c>
      <c r="D238">
        <v>47</v>
      </c>
      <c r="E238">
        <v>15.2</v>
      </c>
      <c r="F238">
        <v>44</v>
      </c>
      <c r="G238">
        <v>10.7</v>
      </c>
      <c r="H238" s="8">
        <f t="shared" si="12"/>
        <v>4.5</v>
      </c>
      <c r="J238" s="9"/>
      <c r="K238">
        <f>IF(J238="",0,COUNTIFS(Schedule!$B:$B,B238,Schedule!$A:$A,"&lt;"&amp;J238))</f>
        <v>0</v>
      </c>
      <c r="L238">
        <f t="shared" si="13"/>
        <v>82</v>
      </c>
      <c r="M238" s="2"/>
      <c r="N238" s="2"/>
      <c r="O238">
        <f t="shared" si="14"/>
        <v>47</v>
      </c>
      <c r="P238">
        <f t="shared" si="15"/>
        <v>15.2</v>
      </c>
    </row>
    <row r="239" spans="1:16" x14ac:dyDescent="0.2">
      <c r="A239" t="s">
        <v>168</v>
      </c>
      <c r="B239" t="s">
        <v>337</v>
      </c>
      <c r="C239" t="s">
        <v>340</v>
      </c>
      <c r="D239">
        <v>70</v>
      </c>
      <c r="E239">
        <v>22</v>
      </c>
      <c r="F239">
        <v>60</v>
      </c>
      <c r="G239">
        <v>19.600000000000001</v>
      </c>
      <c r="H239" s="8">
        <f t="shared" si="12"/>
        <v>2.3999999999999986</v>
      </c>
      <c r="J239" s="9"/>
      <c r="K239">
        <f>IF(J239="",0,COUNTIFS(Schedule!$B:$B,B239,Schedule!$A:$A,"&lt;"&amp;J239))</f>
        <v>0</v>
      </c>
      <c r="L239">
        <f t="shared" si="13"/>
        <v>82</v>
      </c>
      <c r="M239" s="2"/>
      <c r="N239" s="2"/>
      <c r="O239">
        <f t="shared" si="14"/>
        <v>70</v>
      </c>
      <c r="P239">
        <f t="shared" si="15"/>
        <v>22</v>
      </c>
    </row>
    <row r="240" spans="1:16" x14ac:dyDescent="0.2">
      <c r="A240" t="s">
        <v>234</v>
      </c>
      <c r="B240" t="s">
        <v>378</v>
      </c>
      <c r="C240" t="s">
        <v>340</v>
      </c>
      <c r="D240">
        <v>74</v>
      </c>
      <c r="E240">
        <v>19.399999999999999</v>
      </c>
      <c r="F240">
        <v>69</v>
      </c>
      <c r="G240">
        <v>21.4</v>
      </c>
      <c r="H240" s="8">
        <f t="shared" si="12"/>
        <v>-2</v>
      </c>
      <c r="J240" s="9"/>
      <c r="K240">
        <f>IF(J240="",0,COUNTIFS(Schedule!$B:$B,B240,Schedule!$A:$A,"&lt;"&amp;J240))</f>
        <v>0</v>
      </c>
      <c r="L240">
        <f t="shared" si="13"/>
        <v>82</v>
      </c>
      <c r="M240" s="2"/>
      <c r="N240" s="2"/>
      <c r="O240">
        <f t="shared" si="14"/>
        <v>74</v>
      </c>
      <c r="P240">
        <f t="shared" si="15"/>
        <v>19.399999999999999</v>
      </c>
    </row>
    <row r="241" spans="1:17" x14ac:dyDescent="0.2">
      <c r="A241" t="s">
        <v>281</v>
      </c>
      <c r="B241" t="s">
        <v>378</v>
      </c>
      <c r="C241" t="s">
        <v>330</v>
      </c>
      <c r="D241">
        <v>71</v>
      </c>
      <c r="E241">
        <v>18.100000000000001</v>
      </c>
      <c r="F241">
        <v>36</v>
      </c>
      <c r="G241">
        <v>19.8</v>
      </c>
      <c r="H241" s="8">
        <f t="shared" si="12"/>
        <v>-1.6999999999999993</v>
      </c>
      <c r="I241" t="s">
        <v>327</v>
      </c>
      <c r="J241" s="9">
        <v>46316</v>
      </c>
      <c r="K241">
        <f>IF(J241="",0,COUNTIFS(Schedule!$B:$B,B241,Schedule!$A:$A,"&lt;"&amp;J241))</f>
        <v>0</v>
      </c>
      <c r="L241">
        <f t="shared" si="13"/>
        <v>82</v>
      </c>
      <c r="M241" s="2"/>
      <c r="N241" s="2"/>
      <c r="O241">
        <f t="shared" si="14"/>
        <v>71</v>
      </c>
      <c r="P241">
        <f t="shared" si="15"/>
        <v>18.100000000000001</v>
      </c>
      <c r="Q241" t="s">
        <v>444</v>
      </c>
    </row>
    <row r="242" spans="1:17" x14ac:dyDescent="0.2">
      <c r="A242" t="s">
        <v>256</v>
      </c>
      <c r="B242" t="s">
        <v>325</v>
      </c>
      <c r="C242" t="s">
        <v>330</v>
      </c>
      <c r="D242">
        <v>73</v>
      </c>
      <c r="E242">
        <v>17.3</v>
      </c>
      <c r="F242">
        <v>65</v>
      </c>
      <c r="G242">
        <v>19.600000000000001</v>
      </c>
      <c r="H242" s="8">
        <f t="shared" si="12"/>
        <v>-2.3000000000000007</v>
      </c>
      <c r="I242" t="s">
        <v>327</v>
      </c>
      <c r="J242" s="9">
        <v>46308</v>
      </c>
      <c r="K242">
        <f>IF(J242="",0,COUNTIFS(Schedule!$B:$B,B242,Schedule!$A:$A,"&lt;"&amp;J242))</f>
        <v>0</v>
      </c>
      <c r="L242">
        <f t="shared" si="13"/>
        <v>82</v>
      </c>
      <c r="M242" s="2"/>
      <c r="N242" s="2"/>
      <c r="O242">
        <f t="shared" si="14"/>
        <v>73</v>
      </c>
      <c r="P242">
        <f t="shared" si="15"/>
        <v>17.3</v>
      </c>
      <c r="Q242" t="s">
        <v>445</v>
      </c>
    </row>
    <row r="243" spans="1:17" x14ac:dyDescent="0.2">
      <c r="A243" t="s">
        <v>194</v>
      </c>
      <c r="B243" t="s">
        <v>361</v>
      </c>
      <c r="C243" t="s">
        <v>340</v>
      </c>
      <c r="D243">
        <v>69</v>
      </c>
      <c r="E243">
        <v>16.3</v>
      </c>
      <c r="F243">
        <v>59</v>
      </c>
      <c r="G243">
        <v>17.100000000000001</v>
      </c>
      <c r="H243" s="8">
        <f t="shared" si="12"/>
        <v>-0.80000000000000071</v>
      </c>
      <c r="J243" s="9"/>
      <c r="K243">
        <f>IF(J243="",0,COUNTIFS(Schedule!$B:$B,B243,Schedule!$A:$A,"&lt;"&amp;J243))</f>
        <v>0</v>
      </c>
      <c r="L243">
        <f t="shared" si="13"/>
        <v>82</v>
      </c>
      <c r="M243" s="2"/>
      <c r="N243" s="2"/>
      <c r="O243">
        <f t="shared" si="14"/>
        <v>69</v>
      </c>
      <c r="P243">
        <f t="shared" si="15"/>
        <v>16.3</v>
      </c>
    </row>
    <row r="244" spans="1:17" x14ac:dyDescent="0.2">
      <c r="A244" t="s">
        <v>271</v>
      </c>
      <c r="B244" t="s">
        <v>346</v>
      </c>
      <c r="C244" t="s">
        <v>338</v>
      </c>
      <c r="D244">
        <v>75</v>
      </c>
      <c r="E244">
        <v>18.899999999999999</v>
      </c>
      <c r="F244">
        <v>70</v>
      </c>
      <c r="G244">
        <v>19.399999999999999</v>
      </c>
      <c r="H244" s="8">
        <f t="shared" si="12"/>
        <v>-0.5</v>
      </c>
      <c r="J244" s="9"/>
      <c r="K244">
        <f>IF(J244="",0,COUNTIFS(Schedule!$B:$B,B244,Schedule!$A:$A,"&lt;"&amp;J244))</f>
        <v>0</v>
      </c>
      <c r="L244">
        <f t="shared" si="13"/>
        <v>82</v>
      </c>
      <c r="M244" s="2"/>
      <c r="N244" s="2"/>
      <c r="O244">
        <f t="shared" si="14"/>
        <v>75</v>
      </c>
      <c r="P244">
        <f t="shared" si="15"/>
        <v>18.899999999999999</v>
      </c>
    </row>
    <row r="245" spans="1:17" x14ac:dyDescent="0.2">
      <c r="A245" t="s">
        <v>294</v>
      </c>
      <c r="B245" t="s">
        <v>370</v>
      </c>
      <c r="C245" t="s">
        <v>340</v>
      </c>
      <c r="D245">
        <v>67</v>
      </c>
      <c r="E245">
        <v>13.2</v>
      </c>
      <c r="F245">
        <v>10</v>
      </c>
      <c r="G245">
        <v>18.399999999999999</v>
      </c>
      <c r="H245" s="8">
        <f t="shared" si="12"/>
        <v>-5.1999999999999993</v>
      </c>
      <c r="I245" t="s">
        <v>327</v>
      </c>
      <c r="J245" s="9">
        <v>46306</v>
      </c>
      <c r="K245">
        <f>IF(J245="",0,COUNTIFS(Schedule!$B:$B,B245,Schedule!$A:$A,"&lt;"&amp;J245))</f>
        <v>0</v>
      </c>
      <c r="L245">
        <f t="shared" si="13"/>
        <v>82</v>
      </c>
      <c r="M245" s="2"/>
      <c r="N245" s="2"/>
      <c r="O245">
        <f t="shared" si="14"/>
        <v>67</v>
      </c>
      <c r="P245">
        <f t="shared" si="15"/>
        <v>13.2</v>
      </c>
      <c r="Q245" t="s">
        <v>446</v>
      </c>
    </row>
    <row r="246" spans="1:17" x14ac:dyDescent="0.2">
      <c r="A246" t="s">
        <v>264</v>
      </c>
      <c r="B246" t="s">
        <v>342</v>
      </c>
      <c r="C246" t="s">
        <v>340</v>
      </c>
      <c r="D246">
        <v>69</v>
      </c>
      <c r="E246">
        <v>16.600000000000001</v>
      </c>
      <c r="F246">
        <v>63</v>
      </c>
      <c r="G246">
        <v>19.5</v>
      </c>
      <c r="H246" s="8">
        <f t="shared" si="12"/>
        <v>-2.8999999999999986</v>
      </c>
      <c r="J246" s="9"/>
      <c r="K246">
        <f>IF(J246="",0,COUNTIFS(Schedule!$B:$B,B246,Schedule!$A:$A,"&lt;"&amp;J246))</f>
        <v>0</v>
      </c>
      <c r="L246">
        <f t="shared" si="13"/>
        <v>82</v>
      </c>
      <c r="M246" s="2"/>
      <c r="N246" s="2"/>
      <c r="O246">
        <f t="shared" si="14"/>
        <v>69</v>
      </c>
      <c r="P246">
        <f t="shared" si="15"/>
        <v>16.600000000000001</v>
      </c>
    </row>
    <row r="247" spans="1:17" x14ac:dyDescent="0.2">
      <c r="A247" t="s">
        <v>195</v>
      </c>
      <c r="B247" t="s">
        <v>332</v>
      </c>
      <c r="C247" t="s">
        <v>349</v>
      </c>
      <c r="D247">
        <v>68</v>
      </c>
      <c r="E247">
        <v>18</v>
      </c>
      <c r="F247">
        <v>30</v>
      </c>
      <c r="G247">
        <v>16</v>
      </c>
      <c r="H247" s="8">
        <f t="shared" si="12"/>
        <v>2</v>
      </c>
      <c r="J247" s="9"/>
      <c r="K247">
        <f>IF(J247="",0,COUNTIFS(Schedule!$B:$B,B247,Schedule!$A:$A,"&lt;"&amp;J247))</f>
        <v>0</v>
      </c>
      <c r="L247">
        <f t="shared" si="13"/>
        <v>82</v>
      </c>
      <c r="M247" s="2"/>
      <c r="N247" s="2"/>
      <c r="O247">
        <f t="shared" si="14"/>
        <v>68</v>
      </c>
      <c r="P247">
        <f t="shared" si="15"/>
        <v>18</v>
      </c>
    </row>
    <row r="248" spans="1:17" x14ac:dyDescent="0.2">
      <c r="A248" t="s">
        <v>210</v>
      </c>
      <c r="B248" t="s">
        <v>373</v>
      </c>
      <c r="C248" t="s">
        <v>333</v>
      </c>
      <c r="D248">
        <v>77</v>
      </c>
      <c r="E248">
        <v>20.6</v>
      </c>
      <c r="F248">
        <v>82</v>
      </c>
      <c r="G248">
        <v>27.2</v>
      </c>
      <c r="H248" s="8">
        <f t="shared" si="12"/>
        <v>-6.5999999999999979</v>
      </c>
      <c r="J248" s="9"/>
      <c r="K248">
        <f>IF(J248="",0,COUNTIFS(Schedule!$B:$B,B248,Schedule!$A:$A,"&lt;"&amp;J248))</f>
        <v>0</v>
      </c>
      <c r="L248">
        <f t="shared" si="13"/>
        <v>82</v>
      </c>
      <c r="M248" s="2"/>
      <c r="N248" s="2"/>
      <c r="O248">
        <f t="shared" si="14"/>
        <v>77</v>
      </c>
      <c r="P248">
        <f t="shared" si="15"/>
        <v>20.6</v>
      </c>
    </row>
    <row r="249" spans="1:17" x14ac:dyDescent="0.2">
      <c r="A249" t="s">
        <v>286</v>
      </c>
      <c r="B249" t="s">
        <v>362</v>
      </c>
      <c r="C249" t="s">
        <v>340</v>
      </c>
      <c r="D249">
        <v>71</v>
      </c>
      <c r="E249">
        <v>15.3</v>
      </c>
      <c r="F249">
        <v>66</v>
      </c>
      <c r="G249">
        <v>18.3</v>
      </c>
      <c r="H249" s="8">
        <f t="shared" si="12"/>
        <v>-3</v>
      </c>
      <c r="J249" s="9"/>
      <c r="K249">
        <f>IF(J249="",0,COUNTIFS(Schedule!$B:$B,B249,Schedule!$A:$A,"&lt;"&amp;J249))</f>
        <v>0</v>
      </c>
      <c r="L249">
        <f t="shared" si="13"/>
        <v>82</v>
      </c>
      <c r="M249" s="2"/>
      <c r="N249" s="2"/>
      <c r="O249">
        <f t="shared" si="14"/>
        <v>71</v>
      </c>
      <c r="P249">
        <f t="shared" si="15"/>
        <v>15.3</v>
      </c>
    </row>
    <row r="250" spans="1:17" x14ac:dyDescent="0.2">
      <c r="A250" t="s">
        <v>282</v>
      </c>
      <c r="B250" t="s">
        <v>337</v>
      </c>
      <c r="C250" t="s">
        <v>326</v>
      </c>
      <c r="D250">
        <v>67</v>
      </c>
      <c r="E250">
        <v>18.2</v>
      </c>
      <c r="F250">
        <v>54</v>
      </c>
      <c r="G250">
        <v>18.399999999999999</v>
      </c>
      <c r="H250" s="8">
        <f t="shared" si="12"/>
        <v>-0.19999999999999929</v>
      </c>
      <c r="J250" s="9"/>
      <c r="K250">
        <f>IF(J250="",0,COUNTIFS(Schedule!$B:$B,B250,Schedule!$A:$A,"&lt;"&amp;J250))</f>
        <v>0</v>
      </c>
      <c r="L250">
        <f t="shared" si="13"/>
        <v>82</v>
      </c>
      <c r="M250" s="2"/>
      <c r="N250" s="2"/>
      <c r="O250">
        <f t="shared" si="14"/>
        <v>67</v>
      </c>
      <c r="P250">
        <f t="shared" si="15"/>
        <v>18.2</v>
      </c>
    </row>
    <row r="251" spans="1:17" x14ac:dyDescent="0.2">
      <c r="A251" t="s">
        <v>293</v>
      </c>
      <c r="B251" t="s">
        <v>366</v>
      </c>
      <c r="C251" t="s">
        <v>371</v>
      </c>
      <c r="D251">
        <v>70</v>
      </c>
      <c r="E251">
        <v>18.399999999999999</v>
      </c>
      <c r="F251">
        <v>65</v>
      </c>
      <c r="G251">
        <v>21.4</v>
      </c>
      <c r="H251" s="8">
        <f t="shared" si="12"/>
        <v>-3</v>
      </c>
      <c r="J251" s="9"/>
      <c r="K251">
        <f>IF(J251="",0,COUNTIFS(Schedule!$B:$B,B251,Schedule!$A:$A,"&lt;"&amp;J251))</f>
        <v>0</v>
      </c>
      <c r="L251">
        <f t="shared" si="13"/>
        <v>82</v>
      </c>
      <c r="M251" s="2"/>
      <c r="N251" s="2"/>
      <c r="O251">
        <f t="shared" si="14"/>
        <v>70</v>
      </c>
      <c r="P251">
        <f t="shared" si="15"/>
        <v>18.399999999999999</v>
      </c>
    </row>
    <row r="252" spans="1:17" x14ac:dyDescent="0.2">
      <c r="A252" t="s">
        <v>278</v>
      </c>
      <c r="B252" t="s">
        <v>346</v>
      </c>
      <c r="C252" t="s">
        <v>340</v>
      </c>
      <c r="D252">
        <v>72</v>
      </c>
      <c r="E252">
        <v>14.9</v>
      </c>
      <c r="F252">
        <v>46</v>
      </c>
      <c r="G252">
        <v>8.9</v>
      </c>
      <c r="H252" s="8">
        <f t="shared" si="12"/>
        <v>6</v>
      </c>
      <c r="J252" s="9"/>
      <c r="K252">
        <f>IF(J252="",0,COUNTIFS(Schedule!$B:$B,B252,Schedule!$A:$A,"&lt;"&amp;J252))</f>
        <v>0</v>
      </c>
      <c r="L252">
        <f t="shared" si="13"/>
        <v>82</v>
      </c>
      <c r="M252" s="2"/>
      <c r="N252" s="2"/>
      <c r="O252">
        <f t="shared" si="14"/>
        <v>72</v>
      </c>
      <c r="P252">
        <f t="shared" si="15"/>
        <v>14.9</v>
      </c>
    </row>
    <row r="253" spans="1:17" x14ac:dyDescent="0.2">
      <c r="A253" t="s">
        <v>303</v>
      </c>
      <c r="B253" t="s">
        <v>353</v>
      </c>
      <c r="C253" t="s">
        <v>330</v>
      </c>
      <c r="D253">
        <v>47</v>
      </c>
      <c r="E253">
        <v>10.8</v>
      </c>
      <c r="F253">
        <v>53</v>
      </c>
      <c r="G253">
        <v>9.4</v>
      </c>
      <c r="H253" s="8">
        <f t="shared" si="12"/>
        <v>1.4000000000000004</v>
      </c>
      <c r="I253" t="s">
        <v>327</v>
      </c>
      <c r="J253" s="9">
        <v>46308</v>
      </c>
      <c r="K253">
        <f>IF(J253="",0,COUNTIFS(Schedule!$B:$B,B253,Schedule!$A:$A,"&lt;"&amp;J253))</f>
        <v>0</v>
      </c>
      <c r="L253">
        <f t="shared" si="13"/>
        <v>82</v>
      </c>
      <c r="M253" s="2"/>
      <c r="N253" s="2"/>
      <c r="O253">
        <f t="shared" si="14"/>
        <v>47</v>
      </c>
      <c r="P253">
        <f t="shared" si="15"/>
        <v>10.8</v>
      </c>
      <c r="Q253" t="s">
        <v>447</v>
      </c>
    </row>
    <row r="254" spans="1:17" x14ac:dyDescent="0.2">
      <c r="A254" t="s">
        <v>283</v>
      </c>
      <c r="B254" t="s">
        <v>353</v>
      </c>
      <c r="C254" t="s">
        <v>359</v>
      </c>
      <c r="D254">
        <v>70</v>
      </c>
      <c r="E254">
        <v>15.2</v>
      </c>
      <c r="F254">
        <v>43</v>
      </c>
      <c r="G254">
        <v>19.8</v>
      </c>
      <c r="H254" s="8">
        <f t="shared" si="12"/>
        <v>-4.6000000000000014</v>
      </c>
      <c r="J254" s="9"/>
      <c r="K254">
        <f>IF(J254="",0,COUNTIFS(Schedule!$B:$B,B254,Schedule!$A:$A,"&lt;"&amp;J254))</f>
        <v>0</v>
      </c>
      <c r="L254">
        <f t="shared" si="13"/>
        <v>82</v>
      </c>
      <c r="M254" s="2"/>
      <c r="N254" s="2"/>
      <c r="O254">
        <f t="shared" si="14"/>
        <v>70</v>
      </c>
      <c r="P254">
        <f t="shared" si="15"/>
        <v>15.2</v>
      </c>
    </row>
    <row r="255" spans="1:17" x14ac:dyDescent="0.2">
      <c r="A255" t="s">
        <v>258</v>
      </c>
      <c r="B255" t="s">
        <v>351</v>
      </c>
      <c r="C255" t="s">
        <v>340</v>
      </c>
      <c r="D255">
        <v>75</v>
      </c>
      <c r="E255">
        <v>14.6</v>
      </c>
      <c r="F255">
        <v>68</v>
      </c>
      <c r="G255">
        <v>21</v>
      </c>
      <c r="H255" s="8">
        <f t="shared" si="12"/>
        <v>-6.4</v>
      </c>
      <c r="J255" s="9"/>
      <c r="K255">
        <f>IF(J255="",0,COUNTIFS(Schedule!$B:$B,B255,Schedule!$A:$A,"&lt;"&amp;J255))</f>
        <v>0</v>
      </c>
      <c r="L255">
        <f t="shared" si="13"/>
        <v>82</v>
      </c>
      <c r="M255" s="2"/>
      <c r="N255" s="2"/>
      <c r="O255">
        <f t="shared" si="14"/>
        <v>75</v>
      </c>
      <c r="P255">
        <f t="shared" si="15"/>
        <v>14.6</v>
      </c>
    </row>
    <row r="256" spans="1:17" x14ac:dyDescent="0.2">
      <c r="A256" t="s">
        <v>266</v>
      </c>
      <c r="B256" t="s">
        <v>358</v>
      </c>
      <c r="C256" t="s">
        <v>340</v>
      </c>
      <c r="D256">
        <v>72</v>
      </c>
      <c r="E256">
        <v>12.9</v>
      </c>
      <c r="F256">
        <v>64</v>
      </c>
      <c r="G256">
        <v>15.2</v>
      </c>
      <c r="H256" s="8">
        <f t="shared" si="12"/>
        <v>-2.2999999999999989</v>
      </c>
      <c r="J256" s="9"/>
      <c r="K256">
        <f>IF(J256="",0,COUNTIFS(Schedule!$B:$B,B256,Schedule!$A:$A,"&lt;"&amp;J256))</f>
        <v>0</v>
      </c>
      <c r="L256">
        <f t="shared" si="13"/>
        <v>82</v>
      </c>
      <c r="M256" s="2"/>
      <c r="N256" s="2"/>
      <c r="O256">
        <f t="shared" si="14"/>
        <v>72</v>
      </c>
      <c r="P256">
        <f t="shared" si="15"/>
        <v>12.9</v>
      </c>
    </row>
    <row r="257" spans="1:17" x14ac:dyDescent="0.2">
      <c r="A257" t="s">
        <v>302</v>
      </c>
      <c r="B257" t="s">
        <v>341</v>
      </c>
      <c r="C257" t="s">
        <v>340</v>
      </c>
      <c r="D257">
        <v>48</v>
      </c>
      <c r="E257">
        <v>9.1999999999999993</v>
      </c>
      <c r="F257">
        <v>60</v>
      </c>
      <c r="G257">
        <v>12.2</v>
      </c>
      <c r="H257" s="8">
        <f t="shared" si="12"/>
        <v>-3</v>
      </c>
      <c r="J257" s="9"/>
      <c r="K257">
        <f>IF(J257="",0,COUNTIFS(Schedule!$B:$B,B257,Schedule!$A:$A,"&lt;"&amp;J257))</f>
        <v>0</v>
      </c>
      <c r="L257">
        <f t="shared" si="13"/>
        <v>82</v>
      </c>
      <c r="M257" s="2"/>
      <c r="N257" s="2"/>
      <c r="O257">
        <f t="shared" si="14"/>
        <v>48</v>
      </c>
      <c r="P257">
        <f t="shared" si="15"/>
        <v>9.1999999999999993</v>
      </c>
    </row>
    <row r="258" spans="1:17" x14ac:dyDescent="0.2">
      <c r="A258" t="s">
        <v>300</v>
      </c>
      <c r="B258" t="s">
        <v>348</v>
      </c>
      <c r="C258" t="s">
        <v>340</v>
      </c>
      <c r="D258">
        <v>45</v>
      </c>
      <c r="E258">
        <v>11.5</v>
      </c>
      <c r="F258">
        <v>75</v>
      </c>
      <c r="G258">
        <v>12.3</v>
      </c>
      <c r="H258" s="8">
        <f t="shared" ref="H258:H321" si="16">IF(G258="","",E258-G258)</f>
        <v>-0.80000000000000071</v>
      </c>
      <c r="J258" s="9"/>
      <c r="K258">
        <f>IF(J258="",0,COUNTIFS(Schedule!$B:$B,B258,Schedule!$A:$A,"&lt;"&amp;J258))</f>
        <v>0</v>
      </c>
      <c r="L258">
        <f t="shared" ref="L258:L321" si="17">82-K258</f>
        <v>82</v>
      </c>
      <c r="M258" s="2"/>
      <c r="N258" s="2"/>
      <c r="O258">
        <f t="shared" ref="O258:O266" si="18">IF(M258&lt;&gt;"",M258,MIN(D258,L258))</f>
        <v>45</v>
      </c>
      <c r="P258">
        <f t="shared" ref="P258:P266" si="19">IF(N258&lt;&gt;"",N258,E258)</f>
        <v>11.5</v>
      </c>
    </row>
    <row r="259" spans="1:17" x14ac:dyDescent="0.2">
      <c r="A259" t="s">
        <v>277</v>
      </c>
      <c r="B259" t="s">
        <v>343</v>
      </c>
      <c r="C259" t="s">
        <v>340</v>
      </c>
      <c r="D259">
        <v>74</v>
      </c>
      <c r="E259">
        <v>14.9</v>
      </c>
      <c r="F259">
        <v>71</v>
      </c>
      <c r="G259">
        <v>17.399999999999999</v>
      </c>
      <c r="H259" s="8">
        <f t="shared" si="16"/>
        <v>-2.4999999999999982</v>
      </c>
      <c r="I259" t="s">
        <v>327</v>
      </c>
      <c r="J259" s="9">
        <v>46311</v>
      </c>
      <c r="K259">
        <f>IF(J259="",0,COUNTIFS(Schedule!$B:$B,B259,Schedule!$A:$A,"&lt;"&amp;J259))</f>
        <v>0</v>
      </c>
      <c r="L259">
        <f t="shared" si="17"/>
        <v>82</v>
      </c>
      <c r="M259" s="2"/>
      <c r="N259" s="2"/>
      <c r="O259">
        <f t="shared" si="18"/>
        <v>74</v>
      </c>
      <c r="P259">
        <f t="shared" si="19"/>
        <v>14.9</v>
      </c>
      <c r="Q259" t="s">
        <v>448</v>
      </c>
    </row>
    <row r="260" spans="1:17" x14ac:dyDescent="0.2">
      <c r="A260" t="s">
        <v>288</v>
      </c>
      <c r="B260" t="s">
        <v>332</v>
      </c>
      <c r="C260" t="s">
        <v>367</v>
      </c>
      <c r="D260">
        <v>71</v>
      </c>
      <c r="E260">
        <v>16.100000000000001</v>
      </c>
      <c r="F260">
        <v>65</v>
      </c>
      <c r="G260">
        <v>17.399999999999999</v>
      </c>
      <c r="H260" s="8">
        <f t="shared" si="16"/>
        <v>-1.2999999999999972</v>
      </c>
      <c r="J260" s="9"/>
      <c r="K260">
        <f>IF(J260="",0,COUNTIFS(Schedule!$B:$B,B260,Schedule!$A:$A,"&lt;"&amp;J260))</f>
        <v>0</v>
      </c>
      <c r="L260">
        <f t="shared" si="17"/>
        <v>82</v>
      </c>
      <c r="M260" s="2"/>
      <c r="N260" s="2"/>
      <c r="O260">
        <f t="shared" si="18"/>
        <v>71</v>
      </c>
      <c r="P260">
        <f t="shared" si="19"/>
        <v>16.100000000000001</v>
      </c>
    </row>
    <row r="261" spans="1:17" x14ac:dyDescent="0.2">
      <c r="A261" t="s">
        <v>284</v>
      </c>
      <c r="B261" t="s">
        <v>377</v>
      </c>
      <c r="C261" t="s">
        <v>330</v>
      </c>
      <c r="D261">
        <v>74</v>
      </c>
      <c r="E261">
        <v>13.5</v>
      </c>
      <c r="F261">
        <v>77</v>
      </c>
      <c r="G261">
        <v>15.3</v>
      </c>
      <c r="H261" s="8">
        <f t="shared" si="16"/>
        <v>-1.8000000000000007</v>
      </c>
      <c r="I261" t="s">
        <v>327</v>
      </c>
      <c r="J261" s="9">
        <v>46316</v>
      </c>
      <c r="K261">
        <f>IF(J261="",0,COUNTIFS(Schedule!$B:$B,B261,Schedule!$A:$A,"&lt;"&amp;J261))</f>
        <v>0</v>
      </c>
      <c r="L261">
        <f t="shared" si="17"/>
        <v>82</v>
      </c>
      <c r="M261" s="2"/>
      <c r="N261" s="2"/>
      <c r="O261">
        <f t="shared" si="18"/>
        <v>74</v>
      </c>
      <c r="P261">
        <f t="shared" si="19"/>
        <v>13.5</v>
      </c>
      <c r="Q261" t="s">
        <v>449</v>
      </c>
    </row>
    <row r="262" spans="1:17" x14ac:dyDescent="0.2">
      <c r="A262" t="s">
        <v>289</v>
      </c>
      <c r="B262" t="s">
        <v>332</v>
      </c>
      <c r="C262" t="s">
        <v>365</v>
      </c>
      <c r="D262">
        <v>72</v>
      </c>
      <c r="E262">
        <v>14.1</v>
      </c>
      <c r="F262">
        <v>21</v>
      </c>
      <c r="G262">
        <v>14.7</v>
      </c>
      <c r="H262" s="8">
        <f t="shared" si="16"/>
        <v>-0.59999999999999964</v>
      </c>
      <c r="J262" s="9"/>
      <c r="K262">
        <f>IF(J262="",0,COUNTIFS(Schedule!$B:$B,B262,Schedule!$A:$A,"&lt;"&amp;J262))</f>
        <v>0</v>
      </c>
      <c r="L262">
        <f t="shared" si="17"/>
        <v>82</v>
      </c>
      <c r="M262" s="2"/>
      <c r="N262" s="2"/>
      <c r="O262">
        <f t="shared" si="18"/>
        <v>72</v>
      </c>
      <c r="P262">
        <f t="shared" si="19"/>
        <v>14.1</v>
      </c>
    </row>
    <row r="263" spans="1:17" x14ac:dyDescent="0.2">
      <c r="A263" t="s">
        <v>304</v>
      </c>
      <c r="B263" t="s">
        <v>369</v>
      </c>
      <c r="C263" t="s">
        <v>365</v>
      </c>
      <c r="D263">
        <v>46</v>
      </c>
      <c r="E263">
        <v>15.1</v>
      </c>
      <c r="F263">
        <v>67</v>
      </c>
      <c r="G263">
        <v>19.7</v>
      </c>
      <c r="H263" s="8">
        <f t="shared" si="16"/>
        <v>-4.5999999999999996</v>
      </c>
      <c r="J263" s="9"/>
      <c r="K263">
        <f>IF(J263="",0,COUNTIFS(Schedule!$B:$B,B263,Schedule!$A:$A,"&lt;"&amp;J263))</f>
        <v>0</v>
      </c>
      <c r="L263">
        <f t="shared" si="17"/>
        <v>82</v>
      </c>
      <c r="M263" s="2"/>
      <c r="N263" s="2"/>
      <c r="O263">
        <f t="shared" si="18"/>
        <v>46</v>
      </c>
      <c r="P263">
        <f t="shared" si="19"/>
        <v>15.1</v>
      </c>
    </row>
    <row r="264" spans="1:17" x14ac:dyDescent="0.2">
      <c r="A264" t="s">
        <v>298</v>
      </c>
      <c r="B264" t="s">
        <v>348</v>
      </c>
      <c r="C264" t="s">
        <v>340</v>
      </c>
      <c r="D264">
        <v>71</v>
      </c>
      <c r="E264">
        <v>12.8</v>
      </c>
      <c r="F264">
        <v>32</v>
      </c>
      <c r="G264">
        <v>22.8</v>
      </c>
      <c r="H264" s="8">
        <f t="shared" si="16"/>
        <v>-10</v>
      </c>
      <c r="I264" t="s">
        <v>327</v>
      </c>
      <c r="J264" s="9">
        <v>46310</v>
      </c>
      <c r="K264">
        <f>IF(J264="",0,COUNTIFS(Schedule!$B:$B,B264,Schedule!$A:$A,"&lt;"&amp;J264))</f>
        <v>0</v>
      </c>
      <c r="L264">
        <f t="shared" si="17"/>
        <v>82</v>
      </c>
      <c r="M264" s="2"/>
      <c r="N264" s="2"/>
      <c r="O264">
        <f t="shared" si="18"/>
        <v>71</v>
      </c>
      <c r="P264">
        <f t="shared" si="19"/>
        <v>12.8</v>
      </c>
      <c r="Q264" t="s">
        <v>450</v>
      </c>
    </row>
    <row r="265" spans="1:17" x14ac:dyDescent="0.2">
      <c r="A265" t="s">
        <v>306</v>
      </c>
      <c r="B265" t="s">
        <v>358</v>
      </c>
      <c r="C265" t="s">
        <v>365</v>
      </c>
      <c r="D265">
        <v>42</v>
      </c>
      <c r="E265">
        <v>9.9</v>
      </c>
      <c r="F265">
        <v>52</v>
      </c>
      <c r="G265">
        <v>10</v>
      </c>
      <c r="H265" s="8">
        <f t="shared" si="16"/>
        <v>-9.9999999999999645E-2</v>
      </c>
      <c r="I265" t="s">
        <v>327</v>
      </c>
      <c r="J265" s="9">
        <v>46308</v>
      </c>
      <c r="K265">
        <f>IF(J265="",0,COUNTIFS(Schedule!$B:$B,B265,Schedule!$A:$A,"&lt;"&amp;J265))</f>
        <v>0</v>
      </c>
      <c r="L265">
        <f t="shared" si="17"/>
        <v>82</v>
      </c>
      <c r="M265" s="2"/>
      <c r="N265" s="2"/>
      <c r="O265">
        <f t="shared" si="18"/>
        <v>42</v>
      </c>
      <c r="P265">
        <f t="shared" si="19"/>
        <v>9.9</v>
      </c>
      <c r="Q265" t="s">
        <v>451</v>
      </c>
    </row>
    <row r="266" spans="1:17" x14ac:dyDescent="0.2">
      <c r="A266" t="s">
        <v>305</v>
      </c>
      <c r="B266" t="s">
        <v>385</v>
      </c>
      <c r="C266" t="s">
        <v>365</v>
      </c>
      <c r="D266">
        <v>47</v>
      </c>
      <c r="E266">
        <v>10.6</v>
      </c>
      <c r="F266">
        <v>40</v>
      </c>
      <c r="G266">
        <v>6.2</v>
      </c>
      <c r="H266" s="8">
        <f t="shared" si="16"/>
        <v>4.3999999999999995</v>
      </c>
      <c r="J266" s="9"/>
      <c r="K266">
        <f>IF(J266="",0,COUNTIFS(Schedule!$B:$B,B266,Schedule!$A:$A,"&lt;"&amp;J266))</f>
        <v>0</v>
      </c>
      <c r="L266">
        <f t="shared" si="17"/>
        <v>82</v>
      </c>
      <c r="M266" s="2"/>
      <c r="N266" s="2"/>
      <c r="O266">
        <f t="shared" si="18"/>
        <v>47</v>
      </c>
      <c r="P266">
        <f t="shared" si="19"/>
        <v>10.6</v>
      </c>
    </row>
    <row r="268" spans="1:17" x14ac:dyDescent="0.2">
      <c r="A268" s="10" t="s">
        <v>452</v>
      </c>
    </row>
  </sheetData>
  <autoFilter ref="A1:Q266" xr:uid="{00000000-0009-0000-0000-000001000000}"/>
  <conditionalFormatting sqref="H2:H266">
    <cfRule type="cellIs" dxfId="1" priority="1" operator="greaterThanOrEqual">
      <formula>3</formula>
    </cfRule>
    <cfRule type="cellIs" dxfId="0" priority="2" operator="lessThanOrEqual">
      <formula>-3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"/>
  <sheetViews>
    <sheetView workbookViewId="0"/>
  </sheetViews>
  <sheetFormatPr baseColWidth="10" defaultColWidth="8.83203125" defaultRowHeight="15" x14ac:dyDescent="0.2"/>
  <cols>
    <col min="1" max="1" width="10" customWidth="1"/>
    <col min="2" max="2" width="8" customWidth="1"/>
    <col min="3" max="3" width="2" customWidth="1"/>
    <col min="4" max="4" width="24" customWidth="1"/>
    <col min="5" max="5" width="2" customWidth="1"/>
    <col min="6" max="6" width="8" customWidth="1"/>
    <col min="7" max="7" width="48" customWidth="1"/>
    <col min="8" max="9" width="8" customWidth="1"/>
    <col min="10" max="10" width="2" customWidth="1"/>
    <col min="11" max="11" width="16" customWidth="1"/>
    <col min="12" max="12" width="28" customWidth="1"/>
  </cols>
  <sheetData>
    <row r="1" spans="1:12" x14ac:dyDescent="0.2">
      <c r="A1" s="1" t="s">
        <v>453</v>
      </c>
      <c r="B1" s="1" t="s">
        <v>454</v>
      </c>
      <c r="D1" s="1" t="s">
        <v>455</v>
      </c>
      <c r="F1" s="1" t="s">
        <v>456</v>
      </c>
      <c r="H1" s="1" t="s">
        <v>457</v>
      </c>
      <c r="I1" s="1" t="s">
        <v>458</v>
      </c>
      <c r="K1" s="1" t="s">
        <v>459</v>
      </c>
      <c r="L1" s="1" t="s">
        <v>460</v>
      </c>
    </row>
    <row r="2" spans="1:12" x14ac:dyDescent="0.2">
      <c r="A2" t="s">
        <v>12</v>
      </c>
      <c r="B2" s="2">
        <v>1</v>
      </c>
      <c r="D2" t="s">
        <v>461</v>
      </c>
      <c r="F2" s="2">
        <v>12</v>
      </c>
      <c r="G2" s="10" t="s">
        <v>462</v>
      </c>
      <c r="H2" t="s">
        <v>326</v>
      </c>
      <c r="I2" s="2">
        <v>1</v>
      </c>
      <c r="K2" s="11" t="s">
        <v>463</v>
      </c>
      <c r="L2" t="s">
        <v>464</v>
      </c>
    </row>
    <row r="3" spans="1:12" x14ac:dyDescent="0.2">
      <c r="A3" t="s">
        <v>13</v>
      </c>
      <c r="B3" s="2">
        <v>1</v>
      </c>
      <c r="D3" t="s">
        <v>465</v>
      </c>
      <c r="F3">
        <f>F2*SUM(I2:I10)</f>
        <v>156</v>
      </c>
      <c r="G3" s="10" t="s">
        <v>466</v>
      </c>
      <c r="H3" t="s">
        <v>467</v>
      </c>
      <c r="I3" s="2">
        <v>1</v>
      </c>
      <c r="K3" s="12" t="s">
        <v>468</v>
      </c>
      <c r="L3" t="s">
        <v>469</v>
      </c>
    </row>
    <row r="4" spans="1:12" x14ac:dyDescent="0.2">
      <c r="A4" t="s">
        <v>14</v>
      </c>
      <c r="B4" s="2">
        <v>1</v>
      </c>
      <c r="D4" t="s">
        <v>470</v>
      </c>
      <c r="F4">
        <f>F3+1</f>
        <v>157</v>
      </c>
      <c r="G4" s="10" t="s">
        <v>471</v>
      </c>
      <c r="H4" t="s">
        <v>472</v>
      </c>
      <c r="I4" s="2">
        <v>1</v>
      </c>
      <c r="K4" s="13" t="s">
        <v>473</v>
      </c>
      <c r="L4" t="s">
        <v>474</v>
      </c>
    </row>
    <row r="5" spans="1:12" x14ac:dyDescent="0.2">
      <c r="A5" t="s">
        <v>15</v>
      </c>
      <c r="B5" s="2">
        <v>1</v>
      </c>
      <c r="D5" t="s">
        <v>475</v>
      </c>
      <c r="F5">
        <f>F3</f>
        <v>156</v>
      </c>
      <c r="G5" s="10" t="s">
        <v>476</v>
      </c>
      <c r="H5" t="s">
        <v>384</v>
      </c>
      <c r="I5" s="2">
        <v>1</v>
      </c>
      <c r="K5" s="14" t="s">
        <v>477</v>
      </c>
      <c r="L5" t="s">
        <v>478</v>
      </c>
    </row>
    <row r="6" spans="1:12" x14ac:dyDescent="0.2">
      <c r="A6" t="s">
        <v>16</v>
      </c>
      <c r="B6" s="2">
        <v>1</v>
      </c>
      <c r="H6" t="s">
        <v>387</v>
      </c>
      <c r="I6" s="2">
        <v>1</v>
      </c>
    </row>
    <row r="7" spans="1:12" x14ac:dyDescent="0.2">
      <c r="A7" t="s">
        <v>17</v>
      </c>
      <c r="B7" s="2">
        <v>1</v>
      </c>
      <c r="D7" t="s">
        <v>479</v>
      </c>
      <c r="F7" s="2" t="s">
        <v>480</v>
      </c>
      <c r="G7" s="10" t="s">
        <v>481</v>
      </c>
      <c r="H7" t="s">
        <v>482</v>
      </c>
      <c r="I7" s="2">
        <v>1</v>
      </c>
    </row>
    <row r="8" spans="1:12" x14ac:dyDescent="0.2">
      <c r="A8" t="s">
        <v>19</v>
      </c>
      <c r="B8" s="2">
        <v>1</v>
      </c>
      <c r="D8" t="s">
        <v>483</v>
      </c>
      <c r="F8" s="2">
        <v>75</v>
      </c>
      <c r="G8" s="10" t="s">
        <v>484</v>
      </c>
      <c r="H8" t="s">
        <v>340</v>
      </c>
      <c r="I8" s="2">
        <v>2</v>
      </c>
    </row>
    <row r="9" spans="1:12" x14ac:dyDescent="0.2">
      <c r="A9" t="s">
        <v>20</v>
      </c>
      <c r="B9" s="2">
        <v>1</v>
      </c>
      <c r="H9" t="s">
        <v>485</v>
      </c>
      <c r="I9" s="2">
        <v>2</v>
      </c>
    </row>
    <row r="10" spans="1:12" x14ac:dyDescent="0.2">
      <c r="A10" t="s">
        <v>18</v>
      </c>
      <c r="B10" s="2">
        <v>1</v>
      </c>
      <c r="D10" t="s">
        <v>486</v>
      </c>
      <c r="F10" s="2" t="s">
        <v>487</v>
      </c>
      <c r="G10" s="10" t="s">
        <v>488</v>
      </c>
      <c r="H10" t="s">
        <v>489</v>
      </c>
      <c r="I10" s="2">
        <v>3</v>
      </c>
    </row>
    <row r="11" spans="1:12" x14ac:dyDescent="0.2">
      <c r="H11" t="s">
        <v>490</v>
      </c>
      <c r="I11" s="2">
        <v>3</v>
      </c>
    </row>
    <row r="12" spans="1:12" x14ac:dyDescent="0.2">
      <c r="A12" s="10" t="s">
        <v>491</v>
      </c>
      <c r="D12" t="s">
        <v>492</v>
      </c>
      <c r="F12" s="2">
        <v>0.15</v>
      </c>
      <c r="G12" s="10" t="s">
        <v>493</v>
      </c>
    </row>
    <row r="13" spans="1:12" x14ac:dyDescent="0.2">
      <c r="A13" s="10" t="s">
        <v>494</v>
      </c>
      <c r="D13" t="s">
        <v>495</v>
      </c>
      <c r="F13" s="2">
        <v>0.1</v>
      </c>
      <c r="H13" s="10" t="s">
        <v>496</v>
      </c>
    </row>
    <row r="14" spans="1:12" x14ac:dyDescent="0.2">
      <c r="D14" t="s">
        <v>497</v>
      </c>
      <c r="F14" s="2">
        <v>0.05</v>
      </c>
    </row>
    <row r="15" spans="1:12" x14ac:dyDescent="0.2">
      <c r="D15" t="s">
        <v>498</v>
      </c>
      <c r="F15" s="2">
        <v>-0.05</v>
      </c>
    </row>
    <row r="16" spans="1:12" x14ac:dyDescent="0.2">
      <c r="D16" t="s">
        <v>499</v>
      </c>
      <c r="F16" s="2">
        <v>-0.1</v>
      </c>
    </row>
    <row r="17" spans="4:6" x14ac:dyDescent="0.2">
      <c r="D17" t="s">
        <v>500</v>
      </c>
      <c r="F17" s="2">
        <v>-0.15</v>
      </c>
    </row>
  </sheetData>
  <dataValidations count="2">
    <dataValidation type="list" sqref="F7" xr:uid="{00000000-0002-0000-0200-000000000000}">
      <formula1>"Yes,No"</formula1>
    </dataValidation>
    <dataValidation type="list" sqref="F10" xr:uid="{00000000-0002-0000-0200-000001000000}">
      <formula1>"ON,OFF"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6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6" customWidth="1"/>
    <col min="17" max="17" width="20" customWidth="1"/>
  </cols>
  <sheetData>
    <row r="1" spans="1:19" x14ac:dyDescent="0.2">
      <c r="A1" s="1" t="s">
        <v>308</v>
      </c>
      <c r="B1" s="1" t="s">
        <v>309</v>
      </c>
      <c r="C1" s="1" t="s">
        <v>310</v>
      </c>
      <c r="D1" s="1" t="s">
        <v>10</v>
      </c>
      <c r="E1" s="1" t="s">
        <v>334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501</v>
      </c>
      <c r="P1" s="1" t="s">
        <v>502</v>
      </c>
      <c r="Q1" s="1" t="s">
        <v>503</v>
      </c>
      <c r="R1" s="1" t="s">
        <v>504</v>
      </c>
      <c r="S1" s="1" t="s">
        <v>505</v>
      </c>
    </row>
    <row r="2" spans="1:19" x14ac:dyDescent="0.2">
      <c r="A2" t="s">
        <v>44</v>
      </c>
      <c r="B2" t="s">
        <v>325</v>
      </c>
      <c r="C2" t="s">
        <v>326</v>
      </c>
      <c r="D2">
        <v>77</v>
      </c>
      <c r="E2">
        <v>2641</v>
      </c>
      <c r="F2">
        <v>2421</v>
      </c>
      <c r="G2">
        <v>350</v>
      </c>
      <c r="H2">
        <v>484</v>
      </c>
      <c r="I2">
        <v>124</v>
      </c>
      <c r="J2">
        <v>63</v>
      </c>
      <c r="K2">
        <v>133</v>
      </c>
      <c r="L2">
        <v>180</v>
      </c>
      <c r="M2" s="7">
        <v>0.52800000000000002</v>
      </c>
      <c r="N2" s="7">
        <v>0.88700000000000001</v>
      </c>
      <c r="O2">
        <v>1584.5</v>
      </c>
      <c r="P2">
        <v>693.1</v>
      </c>
      <c r="Q2" t="s">
        <v>506</v>
      </c>
      <c r="R2">
        <v>4</v>
      </c>
      <c r="S2">
        <v>2</v>
      </c>
    </row>
    <row r="3" spans="1:19" x14ac:dyDescent="0.2">
      <c r="A3" t="s">
        <v>68</v>
      </c>
      <c r="B3" t="s">
        <v>329</v>
      </c>
      <c r="C3" t="s">
        <v>330</v>
      </c>
      <c r="D3">
        <v>73</v>
      </c>
      <c r="E3">
        <v>2407</v>
      </c>
      <c r="F3">
        <v>2263</v>
      </c>
      <c r="G3">
        <v>828</v>
      </c>
      <c r="H3">
        <v>474</v>
      </c>
      <c r="I3">
        <v>79</v>
      </c>
      <c r="J3">
        <v>63</v>
      </c>
      <c r="K3">
        <v>26</v>
      </c>
      <c r="L3">
        <v>245</v>
      </c>
      <c r="M3" s="7">
        <v>0.60699999999999998</v>
      </c>
      <c r="N3" s="7">
        <v>0.64</v>
      </c>
      <c r="O3">
        <v>1453.6</v>
      </c>
      <c r="P3">
        <v>738</v>
      </c>
      <c r="Q3" t="s">
        <v>507</v>
      </c>
      <c r="R3">
        <v>9</v>
      </c>
      <c r="S3">
        <v>5</v>
      </c>
    </row>
    <row r="4" spans="1:19" x14ac:dyDescent="0.2">
      <c r="A4" t="s">
        <v>47</v>
      </c>
      <c r="B4" t="s">
        <v>332</v>
      </c>
      <c r="C4" t="s">
        <v>333</v>
      </c>
      <c r="D4">
        <v>74</v>
      </c>
      <c r="E4">
        <v>2673</v>
      </c>
      <c r="F4">
        <v>2293</v>
      </c>
      <c r="G4">
        <v>588</v>
      </c>
      <c r="H4">
        <v>599</v>
      </c>
      <c r="I4">
        <v>115</v>
      </c>
      <c r="J4">
        <v>34</v>
      </c>
      <c r="K4">
        <v>272</v>
      </c>
      <c r="L4">
        <v>298</v>
      </c>
      <c r="M4" s="7">
        <v>0.46899999999999997</v>
      </c>
      <c r="N4" s="7">
        <v>0.78700000000000003</v>
      </c>
      <c r="O4">
        <v>1592.9</v>
      </c>
      <c r="P4">
        <v>669.4</v>
      </c>
      <c r="Q4" t="s">
        <v>508</v>
      </c>
      <c r="R4">
        <v>3</v>
      </c>
      <c r="S4">
        <v>4</v>
      </c>
    </row>
    <row r="5" spans="1:19" x14ac:dyDescent="0.2">
      <c r="A5" t="s">
        <v>51</v>
      </c>
      <c r="B5" t="s">
        <v>334</v>
      </c>
      <c r="C5" t="s">
        <v>335</v>
      </c>
      <c r="D5">
        <v>75</v>
      </c>
      <c r="E5">
        <v>2693</v>
      </c>
      <c r="F5">
        <v>2151</v>
      </c>
      <c r="G5">
        <v>412</v>
      </c>
      <c r="H5">
        <v>318</v>
      </c>
      <c r="I5">
        <v>102</v>
      </c>
      <c r="J5">
        <v>57</v>
      </c>
      <c r="K5">
        <v>265</v>
      </c>
      <c r="L5">
        <v>222</v>
      </c>
      <c r="M5" s="7">
        <v>0.47</v>
      </c>
      <c r="N5" s="7">
        <v>0.80800000000000005</v>
      </c>
      <c r="O5">
        <v>1551.3</v>
      </c>
      <c r="P5">
        <v>529.4</v>
      </c>
      <c r="Q5" t="s">
        <v>509</v>
      </c>
      <c r="R5">
        <v>13</v>
      </c>
      <c r="S5">
        <v>6</v>
      </c>
    </row>
    <row r="6" spans="1:19" x14ac:dyDescent="0.2">
      <c r="A6" t="s">
        <v>55</v>
      </c>
      <c r="B6" t="s">
        <v>337</v>
      </c>
      <c r="C6" t="s">
        <v>338</v>
      </c>
      <c r="D6">
        <v>74</v>
      </c>
      <c r="E6">
        <v>2671</v>
      </c>
      <c r="F6">
        <v>2043</v>
      </c>
      <c r="G6">
        <v>660</v>
      </c>
      <c r="H6">
        <v>421</v>
      </c>
      <c r="I6">
        <v>83</v>
      </c>
      <c r="J6">
        <v>34</v>
      </c>
      <c r="K6">
        <v>256</v>
      </c>
      <c r="L6">
        <v>229</v>
      </c>
      <c r="M6" s="7">
        <v>0.44700000000000001</v>
      </c>
      <c r="N6" s="7">
        <v>0.81899999999999995</v>
      </c>
      <c r="O6">
        <v>1610.5</v>
      </c>
      <c r="P6">
        <v>424</v>
      </c>
      <c r="Q6" t="s">
        <v>510</v>
      </c>
      <c r="R6">
        <v>8</v>
      </c>
      <c r="S6">
        <v>8</v>
      </c>
    </row>
    <row r="7" spans="1:19" x14ac:dyDescent="0.2">
      <c r="A7" t="s">
        <v>43</v>
      </c>
      <c r="B7" t="s">
        <v>339</v>
      </c>
      <c r="C7" t="s">
        <v>340</v>
      </c>
      <c r="D7">
        <v>75</v>
      </c>
      <c r="E7">
        <v>2718</v>
      </c>
      <c r="F7">
        <v>2048</v>
      </c>
      <c r="G7">
        <v>933</v>
      </c>
      <c r="H7">
        <v>722</v>
      </c>
      <c r="I7">
        <v>111</v>
      </c>
      <c r="J7">
        <v>61</v>
      </c>
      <c r="K7">
        <v>125</v>
      </c>
      <c r="L7">
        <v>248</v>
      </c>
      <c r="M7" s="7">
        <v>0.56299999999999994</v>
      </c>
      <c r="N7" s="7">
        <v>0.81899999999999995</v>
      </c>
      <c r="O7">
        <v>1315.9</v>
      </c>
      <c r="P7">
        <v>538.9</v>
      </c>
      <c r="Q7" t="s">
        <v>511</v>
      </c>
      <c r="R7">
        <v>2</v>
      </c>
      <c r="S7">
        <v>1</v>
      </c>
    </row>
    <row r="8" spans="1:19" x14ac:dyDescent="0.2">
      <c r="A8" t="s">
        <v>48</v>
      </c>
      <c r="B8" t="s">
        <v>341</v>
      </c>
      <c r="C8" t="s">
        <v>333</v>
      </c>
      <c r="D8">
        <v>75</v>
      </c>
      <c r="E8">
        <v>2488</v>
      </c>
      <c r="F8">
        <v>1996</v>
      </c>
      <c r="G8">
        <v>360</v>
      </c>
      <c r="H8">
        <v>415</v>
      </c>
      <c r="I8">
        <v>117</v>
      </c>
      <c r="J8">
        <v>22</v>
      </c>
      <c r="K8">
        <v>242</v>
      </c>
      <c r="L8">
        <v>194</v>
      </c>
      <c r="M8" s="7">
        <v>0.46300000000000002</v>
      </c>
      <c r="N8" s="7">
        <v>0.84199999999999997</v>
      </c>
      <c r="O8">
        <v>1487.9</v>
      </c>
      <c r="P8">
        <v>446.8</v>
      </c>
      <c r="Q8" t="s">
        <v>512</v>
      </c>
      <c r="R8">
        <v>19</v>
      </c>
      <c r="S8">
        <v>21</v>
      </c>
    </row>
    <row r="9" spans="1:19" x14ac:dyDescent="0.2">
      <c r="A9" t="s">
        <v>85</v>
      </c>
      <c r="B9" t="s">
        <v>342</v>
      </c>
      <c r="C9" t="s">
        <v>326</v>
      </c>
      <c r="D9">
        <v>75</v>
      </c>
      <c r="E9">
        <v>2673</v>
      </c>
      <c r="F9">
        <v>1971</v>
      </c>
      <c r="G9">
        <v>245</v>
      </c>
      <c r="H9">
        <v>511</v>
      </c>
      <c r="I9">
        <v>65</v>
      </c>
      <c r="J9">
        <v>8</v>
      </c>
      <c r="K9">
        <v>190</v>
      </c>
      <c r="L9">
        <v>183</v>
      </c>
      <c r="M9" s="7">
        <v>0.47299999999999998</v>
      </c>
      <c r="N9" s="7">
        <v>0.83399999999999996</v>
      </c>
      <c r="O9">
        <v>1507.8</v>
      </c>
      <c r="P9">
        <v>425.2</v>
      </c>
      <c r="Q9" t="s">
        <v>513</v>
      </c>
      <c r="R9">
        <v>21</v>
      </c>
      <c r="S9">
        <v>19</v>
      </c>
    </row>
    <row r="10" spans="1:19" x14ac:dyDescent="0.2">
      <c r="A10" t="s">
        <v>113</v>
      </c>
      <c r="B10" t="s">
        <v>343</v>
      </c>
      <c r="C10" t="s">
        <v>340</v>
      </c>
      <c r="D10">
        <v>59</v>
      </c>
      <c r="E10">
        <v>1827</v>
      </c>
      <c r="F10">
        <v>1522</v>
      </c>
      <c r="G10">
        <v>474</v>
      </c>
      <c r="H10">
        <v>239</v>
      </c>
      <c r="I10">
        <v>36</v>
      </c>
      <c r="J10">
        <v>70</v>
      </c>
      <c r="K10">
        <v>74</v>
      </c>
      <c r="L10">
        <v>173</v>
      </c>
      <c r="M10" s="7">
        <v>0.49</v>
      </c>
      <c r="N10" s="7">
        <v>0.86099999999999999</v>
      </c>
      <c r="O10">
        <v>1061.3</v>
      </c>
      <c r="P10">
        <v>473.8</v>
      </c>
      <c r="Q10" t="s">
        <v>514</v>
      </c>
      <c r="R10">
        <v>49</v>
      </c>
      <c r="S10">
        <v>45</v>
      </c>
    </row>
    <row r="11" spans="1:19" x14ac:dyDescent="0.2">
      <c r="A11" t="s">
        <v>50</v>
      </c>
      <c r="B11" t="s">
        <v>345</v>
      </c>
      <c r="C11" t="s">
        <v>326</v>
      </c>
      <c r="D11">
        <v>73</v>
      </c>
      <c r="E11">
        <v>2312</v>
      </c>
      <c r="F11">
        <v>1883</v>
      </c>
      <c r="G11">
        <v>304</v>
      </c>
      <c r="H11">
        <v>388</v>
      </c>
      <c r="I11">
        <v>81</v>
      </c>
      <c r="J11">
        <v>29</v>
      </c>
      <c r="K11">
        <v>336</v>
      </c>
      <c r="L11">
        <v>215</v>
      </c>
      <c r="M11" s="7">
        <v>0.45200000000000001</v>
      </c>
      <c r="N11" s="7">
        <v>0.92800000000000005</v>
      </c>
      <c r="O11">
        <v>1337.1</v>
      </c>
      <c r="P11">
        <v>364.6</v>
      </c>
      <c r="Q11" t="s">
        <v>515</v>
      </c>
      <c r="R11">
        <v>23</v>
      </c>
      <c r="S11">
        <v>18</v>
      </c>
    </row>
    <row r="12" spans="1:19" x14ac:dyDescent="0.2">
      <c r="A12" t="s">
        <v>73</v>
      </c>
      <c r="B12" t="s">
        <v>346</v>
      </c>
      <c r="C12" t="s">
        <v>333</v>
      </c>
      <c r="D12">
        <v>75</v>
      </c>
      <c r="E12">
        <v>2690</v>
      </c>
      <c r="F12">
        <v>1914</v>
      </c>
      <c r="G12">
        <v>313</v>
      </c>
      <c r="H12">
        <v>483</v>
      </c>
      <c r="I12">
        <v>73</v>
      </c>
      <c r="J12">
        <v>21</v>
      </c>
      <c r="K12">
        <v>157</v>
      </c>
      <c r="L12">
        <v>219</v>
      </c>
      <c r="M12" s="7">
        <v>0.45900000000000002</v>
      </c>
      <c r="N12" s="7">
        <v>0.88200000000000001</v>
      </c>
      <c r="O12">
        <v>1374.3</v>
      </c>
      <c r="P12">
        <v>561.70000000000005</v>
      </c>
      <c r="Q12" t="s">
        <v>516</v>
      </c>
      <c r="R12">
        <v>31</v>
      </c>
      <c r="S12">
        <v>17</v>
      </c>
    </row>
    <row r="13" spans="1:19" x14ac:dyDescent="0.2">
      <c r="A13" t="s">
        <v>46</v>
      </c>
      <c r="B13" t="s">
        <v>343</v>
      </c>
      <c r="C13" t="s">
        <v>333</v>
      </c>
      <c r="D13">
        <v>75</v>
      </c>
      <c r="E13">
        <v>2693</v>
      </c>
      <c r="F13">
        <v>1902</v>
      </c>
      <c r="G13">
        <v>284</v>
      </c>
      <c r="H13">
        <v>448</v>
      </c>
      <c r="I13">
        <v>119</v>
      </c>
      <c r="J13">
        <v>49</v>
      </c>
      <c r="K13">
        <v>207</v>
      </c>
      <c r="L13">
        <v>165</v>
      </c>
      <c r="M13" s="7">
        <v>0.46800000000000003</v>
      </c>
      <c r="N13" s="7">
        <v>0.88900000000000001</v>
      </c>
      <c r="O13">
        <v>1435.5</v>
      </c>
      <c r="P13">
        <v>395.3</v>
      </c>
      <c r="Q13" t="s">
        <v>517</v>
      </c>
      <c r="R13">
        <v>7</v>
      </c>
      <c r="S13">
        <v>13</v>
      </c>
    </row>
    <row r="14" spans="1:19" x14ac:dyDescent="0.2">
      <c r="A14" t="s">
        <v>56</v>
      </c>
      <c r="B14" t="s">
        <v>348</v>
      </c>
      <c r="C14" t="s">
        <v>349</v>
      </c>
      <c r="D14">
        <v>75</v>
      </c>
      <c r="E14">
        <v>2682</v>
      </c>
      <c r="F14">
        <v>1888</v>
      </c>
      <c r="G14">
        <v>425</v>
      </c>
      <c r="H14">
        <v>314</v>
      </c>
      <c r="I14">
        <v>62</v>
      </c>
      <c r="J14">
        <v>77</v>
      </c>
      <c r="K14">
        <v>172</v>
      </c>
      <c r="L14">
        <v>229</v>
      </c>
      <c r="M14" s="7">
        <v>0.51700000000000002</v>
      </c>
      <c r="N14" s="7">
        <v>0.86</v>
      </c>
      <c r="O14">
        <v>1304.8</v>
      </c>
      <c r="P14">
        <v>426.5</v>
      </c>
      <c r="Q14" t="s">
        <v>518</v>
      </c>
      <c r="R14">
        <v>12</v>
      </c>
      <c r="S14">
        <v>24</v>
      </c>
    </row>
    <row r="15" spans="1:19" x14ac:dyDescent="0.2">
      <c r="A15" t="s">
        <v>45</v>
      </c>
      <c r="B15" t="s">
        <v>351</v>
      </c>
      <c r="C15" t="s">
        <v>340</v>
      </c>
      <c r="D15">
        <v>73</v>
      </c>
      <c r="E15">
        <v>2326</v>
      </c>
      <c r="F15">
        <v>1824</v>
      </c>
      <c r="G15">
        <v>834</v>
      </c>
      <c r="H15">
        <v>242</v>
      </c>
      <c r="I15">
        <v>80</v>
      </c>
      <c r="J15">
        <v>227</v>
      </c>
      <c r="K15">
        <v>149</v>
      </c>
      <c r="L15">
        <v>195</v>
      </c>
      <c r="M15" s="7">
        <v>0.49099999999999999</v>
      </c>
      <c r="N15" s="7">
        <v>0.82699999999999996</v>
      </c>
      <c r="O15">
        <v>1273.7</v>
      </c>
      <c r="P15">
        <v>512.9</v>
      </c>
      <c r="Q15" t="s">
        <v>519</v>
      </c>
      <c r="R15">
        <v>1</v>
      </c>
      <c r="S15">
        <v>3</v>
      </c>
    </row>
    <row r="16" spans="1:19" x14ac:dyDescent="0.2">
      <c r="A16" t="s">
        <v>117</v>
      </c>
      <c r="B16" t="s">
        <v>343</v>
      </c>
      <c r="C16" t="s">
        <v>349</v>
      </c>
      <c r="D16">
        <v>75</v>
      </c>
      <c r="E16">
        <v>2509</v>
      </c>
      <c r="F16">
        <v>1868</v>
      </c>
      <c r="G16">
        <v>451</v>
      </c>
      <c r="H16">
        <v>323</v>
      </c>
      <c r="I16">
        <v>87</v>
      </c>
      <c r="J16">
        <v>30</v>
      </c>
      <c r="K16">
        <v>120</v>
      </c>
      <c r="L16">
        <v>232</v>
      </c>
      <c r="M16" s="7">
        <v>0.48</v>
      </c>
      <c r="N16" s="7">
        <v>0.77400000000000002</v>
      </c>
      <c r="O16">
        <v>1433.5</v>
      </c>
      <c r="P16">
        <v>480.4</v>
      </c>
      <c r="Q16" t="s">
        <v>520</v>
      </c>
      <c r="R16">
        <v>33</v>
      </c>
      <c r="S16">
        <v>14</v>
      </c>
    </row>
    <row r="17" spans="1:19" x14ac:dyDescent="0.2">
      <c r="A17" t="s">
        <v>49</v>
      </c>
      <c r="B17" t="s">
        <v>353</v>
      </c>
      <c r="C17" t="s">
        <v>349</v>
      </c>
      <c r="D17">
        <v>69</v>
      </c>
      <c r="E17">
        <v>2231</v>
      </c>
      <c r="F17">
        <v>1709</v>
      </c>
      <c r="G17">
        <v>426</v>
      </c>
      <c r="H17">
        <v>253</v>
      </c>
      <c r="I17">
        <v>110</v>
      </c>
      <c r="J17">
        <v>35</v>
      </c>
      <c r="K17">
        <v>154</v>
      </c>
      <c r="L17">
        <v>135</v>
      </c>
      <c r="M17" s="7">
        <v>0.5</v>
      </c>
      <c r="N17" s="7">
        <v>0.875</v>
      </c>
      <c r="O17">
        <v>1216.2</v>
      </c>
      <c r="P17">
        <v>387.2</v>
      </c>
      <c r="Q17" t="s">
        <v>521</v>
      </c>
      <c r="R17">
        <v>17</v>
      </c>
      <c r="S17">
        <v>42</v>
      </c>
    </row>
    <row r="18" spans="1:19" x14ac:dyDescent="0.2">
      <c r="A18" t="s">
        <v>57</v>
      </c>
      <c r="B18" t="s">
        <v>355</v>
      </c>
      <c r="C18" t="s">
        <v>333</v>
      </c>
      <c r="D18">
        <v>74</v>
      </c>
      <c r="E18">
        <v>2595</v>
      </c>
      <c r="F18">
        <v>1816</v>
      </c>
      <c r="G18">
        <v>427</v>
      </c>
      <c r="H18">
        <v>701</v>
      </c>
      <c r="I18">
        <v>99</v>
      </c>
      <c r="J18">
        <v>61</v>
      </c>
      <c r="K18">
        <v>152</v>
      </c>
      <c r="L18">
        <v>292</v>
      </c>
      <c r="M18" s="7">
        <v>0.46100000000000002</v>
      </c>
      <c r="N18" s="7">
        <v>0.82499999999999996</v>
      </c>
      <c r="O18">
        <v>1410.9</v>
      </c>
      <c r="P18">
        <v>440.2</v>
      </c>
      <c r="Q18" t="s">
        <v>522</v>
      </c>
      <c r="R18">
        <v>5</v>
      </c>
      <c r="S18">
        <v>7</v>
      </c>
    </row>
    <row r="19" spans="1:19" x14ac:dyDescent="0.2">
      <c r="A19" t="s">
        <v>62</v>
      </c>
      <c r="B19" t="s">
        <v>357</v>
      </c>
      <c r="C19" t="s">
        <v>326</v>
      </c>
      <c r="D19">
        <v>69</v>
      </c>
      <c r="E19">
        <v>2418</v>
      </c>
      <c r="F19">
        <v>1648</v>
      </c>
      <c r="G19">
        <v>309</v>
      </c>
      <c r="H19">
        <v>333</v>
      </c>
      <c r="I19">
        <v>85</v>
      </c>
      <c r="J19">
        <v>30</v>
      </c>
      <c r="K19">
        <v>179</v>
      </c>
      <c r="L19">
        <v>136</v>
      </c>
      <c r="M19" s="7">
        <v>0.47799999999999998</v>
      </c>
      <c r="N19" s="7">
        <v>0.91500000000000004</v>
      </c>
      <c r="O19">
        <v>1233.3</v>
      </c>
      <c r="P19">
        <v>316.89999999999998</v>
      </c>
      <c r="Q19" t="s">
        <v>523</v>
      </c>
      <c r="R19">
        <v>50</v>
      </c>
      <c r="S19">
        <v>81</v>
      </c>
    </row>
    <row r="20" spans="1:19" x14ac:dyDescent="0.2">
      <c r="A20" t="s">
        <v>152</v>
      </c>
      <c r="B20" t="s">
        <v>358</v>
      </c>
      <c r="C20" t="s">
        <v>359</v>
      </c>
      <c r="D20">
        <v>74</v>
      </c>
      <c r="E20">
        <v>2577</v>
      </c>
      <c r="F20">
        <v>1757</v>
      </c>
      <c r="G20">
        <v>585</v>
      </c>
      <c r="H20">
        <v>385</v>
      </c>
      <c r="I20">
        <v>59</v>
      </c>
      <c r="J20">
        <v>44</v>
      </c>
      <c r="K20">
        <v>108</v>
      </c>
      <c r="L20">
        <v>230</v>
      </c>
      <c r="M20" s="7">
        <v>0.45800000000000002</v>
      </c>
      <c r="N20" s="7">
        <v>0.751</v>
      </c>
      <c r="O20">
        <v>1297.9000000000001</v>
      </c>
      <c r="P20">
        <v>612.6</v>
      </c>
      <c r="Q20" t="s">
        <v>524</v>
      </c>
      <c r="R20">
        <v>38</v>
      </c>
      <c r="S20">
        <v>34</v>
      </c>
    </row>
    <row r="21" spans="1:19" x14ac:dyDescent="0.2">
      <c r="A21" t="s">
        <v>63</v>
      </c>
      <c r="B21" t="s">
        <v>357</v>
      </c>
      <c r="C21" t="s">
        <v>349</v>
      </c>
      <c r="D21">
        <v>75</v>
      </c>
      <c r="E21">
        <v>2602</v>
      </c>
      <c r="F21">
        <v>1782</v>
      </c>
      <c r="G21">
        <v>481</v>
      </c>
      <c r="H21">
        <v>376</v>
      </c>
      <c r="I21">
        <v>90</v>
      </c>
      <c r="J21">
        <v>66</v>
      </c>
      <c r="K21">
        <v>86</v>
      </c>
      <c r="L21">
        <v>172</v>
      </c>
      <c r="M21" s="7">
        <v>0.47599999999999998</v>
      </c>
      <c r="N21" s="7">
        <v>0.83399999999999996</v>
      </c>
      <c r="O21">
        <v>1430.7</v>
      </c>
      <c r="P21">
        <v>400.4</v>
      </c>
      <c r="Q21" t="s">
        <v>525</v>
      </c>
      <c r="R21">
        <v>6</v>
      </c>
      <c r="S21">
        <v>23</v>
      </c>
    </row>
    <row r="22" spans="1:19" x14ac:dyDescent="0.2">
      <c r="A22" t="s">
        <v>76</v>
      </c>
      <c r="B22" t="s">
        <v>332</v>
      </c>
      <c r="C22" t="s">
        <v>335</v>
      </c>
      <c r="D22">
        <v>73</v>
      </c>
      <c r="E22">
        <v>2611</v>
      </c>
      <c r="F22">
        <v>1672</v>
      </c>
      <c r="G22">
        <v>343</v>
      </c>
      <c r="H22">
        <v>402</v>
      </c>
      <c r="I22">
        <v>77</v>
      </c>
      <c r="J22">
        <v>27</v>
      </c>
      <c r="K22">
        <v>187</v>
      </c>
      <c r="L22">
        <v>215</v>
      </c>
      <c r="M22" s="7">
        <v>0.47199999999999998</v>
      </c>
      <c r="N22" s="7">
        <v>0.871</v>
      </c>
      <c r="O22">
        <v>1119.5</v>
      </c>
      <c r="P22">
        <v>491.6</v>
      </c>
      <c r="Q22" t="s">
        <v>526</v>
      </c>
      <c r="R22">
        <v>20</v>
      </c>
      <c r="S22">
        <v>46</v>
      </c>
    </row>
    <row r="23" spans="1:19" x14ac:dyDescent="0.2">
      <c r="A23" t="s">
        <v>64</v>
      </c>
      <c r="B23" t="s">
        <v>334</v>
      </c>
      <c r="C23" t="s">
        <v>326</v>
      </c>
      <c r="D23">
        <v>73</v>
      </c>
      <c r="E23">
        <v>2285</v>
      </c>
      <c r="F23">
        <v>1669</v>
      </c>
      <c r="G23">
        <v>381</v>
      </c>
      <c r="H23">
        <v>581</v>
      </c>
      <c r="I23">
        <v>105</v>
      </c>
      <c r="J23">
        <v>21</v>
      </c>
      <c r="K23">
        <v>279</v>
      </c>
      <c r="L23">
        <v>226</v>
      </c>
      <c r="M23" s="7">
        <v>0.41399999999999998</v>
      </c>
      <c r="N23" s="7">
        <v>0.88</v>
      </c>
      <c r="O23">
        <v>1435.4</v>
      </c>
      <c r="P23">
        <v>229</v>
      </c>
      <c r="Q23" t="s">
        <v>527</v>
      </c>
      <c r="R23">
        <v>22</v>
      </c>
      <c r="S23">
        <v>29</v>
      </c>
    </row>
    <row r="24" spans="1:19" x14ac:dyDescent="0.2">
      <c r="A24" t="s">
        <v>61</v>
      </c>
      <c r="B24" t="s">
        <v>339</v>
      </c>
      <c r="C24" t="s">
        <v>326</v>
      </c>
      <c r="D24">
        <v>74</v>
      </c>
      <c r="E24">
        <v>2641</v>
      </c>
      <c r="F24">
        <v>1655</v>
      </c>
      <c r="G24">
        <v>304</v>
      </c>
      <c r="H24">
        <v>462</v>
      </c>
      <c r="I24">
        <v>75</v>
      </c>
      <c r="J24">
        <v>37</v>
      </c>
      <c r="K24">
        <v>193</v>
      </c>
      <c r="L24">
        <v>159</v>
      </c>
      <c r="M24" s="7">
        <v>0.47499999999999998</v>
      </c>
      <c r="N24" s="7">
        <v>0.88700000000000001</v>
      </c>
      <c r="O24">
        <v>1217.4000000000001</v>
      </c>
      <c r="P24">
        <v>344.4</v>
      </c>
      <c r="Q24" t="s">
        <v>528</v>
      </c>
      <c r="R24">
        <v>16</v>
      </c>
      <c r="S24">
        <v>33</v>
      </c>
    </row>
    <row r="25" spans="1:19" x14ac:dyDescent="0.2">
      <c r="A25" t="s">
        <v>114</v>
      </c>
      <c r="B25" t="s">
        <v>361</v>
      </c>
      <c r="C25" t="s">
        <v>349</v>
      </c>
      <c r="D25">
        <v>75</v>
      </c>
      <c r="E25">
        <v>2530</v>
      </c>
      <c r="F25">
        <v>1680</v>
      </c>
      <c r="G25">
        <v>546</v>
      </c>
      <c r="H25">
        <v>435</v>
      </c>
      <c r="I25">
        <v>64</v>
      </c>
      <c r="J25">
        <v>45</v>
      </c>
      <c r="K25">
        <v>139</v>
      </c>
      <c r="L25">
        <v>267</v>
      </c>
      <c r="M25" s="7">
        <v>0.46899999999999997</v>
      </c>
      <c r="N25" s="7">
        <v>0.79400000000000004</v>
      </c>
      <c r="O25">
        <v>1140.3</v>
      </c>
      <c r="P25">
        <v>593.70000000000005</v>
      </c>
      <c r="Q25" t="s">
        <v>529</v>
      </c>
      <c r="R25">
        <v>35</v>
      </c>
      <c r="S25">
        <v>52</v>
      </c>
    </row>
    <row r="26" spans="1:19" x14ac:dyDescent="0.2">
      <c r="A26" t="s">
        <v>84</v>
      </c>
      <c r="B26" t="s">
        <v>361</v>
      </c>
      <c r="C26" t="s">
        <v>326</v>
      </c>
      <c r="D26">
        <v>72</v>
      </c>
      <c r="E26">
        <v>2409</v>
      </c>
      <c r="F26">
        <v>1600</v>
      </c>
      <c r="G26">
        <v>300</v>
      </c>
      <c r="H26">
        <v>440</v>
      </c>
      <c r="I26">
        <v>86</v>
      </c>
      <c r="J26">
        <v>15</v>
      </c>
      <c r="K26">
        <v>212</v>
      </c>
      <c r="L26">
        <v>201</v>
      </c>
      <c r="M26" s="7">
        <v>0.435</v>
      </c>
      <c r="N26" s="7">
        <v>0.92100000000000004</v>
      </c>
      <c r="O26">
        <v>1254.3</v>
      </c>
      <c r="P26">
        <v>322.2</v>
      </c>
      <c r="Q26" t="s">
        <v>523</v>
      </c>
      <c r="R26">
        <v>74</v>
      </c>
      <c r="S26">
        <v>66</v>
      </c>
    </row>
    <row r="27" spans="1:19" x14ac:dyDescent="0.2">
      <c r="A27" t="s">
        <v>87</v>
      </c>
      <c r="B27" t="s">
        <v>358</v>
      </c>
      <c r="C27" t="s">
        <v>359</v>
      </c>
      <c r="D27">
        <v>72</v>
      </c>
      <c r="E27">
        <v>2405</v>
      </c>
      <c r="F27">
        <v>1604</v>
      </c>
      <c r="G27">
        <v>402</v>
      </c>
      <c r="H27">
        <v>306</v>
      </c>
      <c r="I27">
        <v>87</v>
      </c>
      <c r="J27">
        <v>26</v>
      </c>
      <c r="K27">
        <v>109</v>
      </c>
      <c r="L27">
        <v>147</v>
      </c>
      <c r="M27" s="7">
        <v>0.47199999999999998</v>
      </c>
      <c r="N27" s="7">
        <v>0.85</v>
      </c>
      <c r="O27">
        <v>1205.7</v>
      </c>
      <c r="P27">
        <v>419.8</v>
      </c>
      <c r="Q27" t="s">
        <v>530</v>
      </c>
      <c r="R27">
        <v>53</v>
      </c>
      <c r="S27">
        <v>43</v>
      </c>
    </row>
    <row r="28" spans="1:19" x14ac:dyDescent="0.2">
      <c r="A28" t="s">
        <v>74</v>
      </c>
      <c r="B28" t="s">
        <v>362</v>
      </c>
      <c r="C28" t="s">
        <v>338</v>
      </c>
      <c r="D28">
        <v>74</v>
      </c>
      <c r="E28">
        <v>2457</v>
      </c>
      <c r="F28">
        <v>1636</v>
      </c>
      <c r="G28">
        <v>458</v>
      </c>
      <c r="H28">
        <v>133</v>
      </c>
      <c r="I28">
        <v>65</v>
      </c>
      <c r="J28">
        <v>32</v>
      </c>
      <c r="K28">
        <v>201</v>
      </c>
      <c r="L28">
        <v>99</v>
      </c>
      <c r="M28" s="7">
        <v>0.45700000000000002</v>
      </c>
      <c r="N28" s="7">
        <v>0.89100000000000001</v>
      </c>
      <c r="O28">
        <v>1200.5999999999999</v>
      </c>
      <c r="P28">
        <v>379</v>
      </c>
      <c r="Q28" t="s">
        <v>531</v>
      </c>
      <c r="R28">
        <v>44</v>
      </c>
      <c r="S28">
        <v>71</v>
      </c>
    </row>
    <row r="29" spans="1:19" x14ac:dyDescent="0.2">
      <c r="A29" t="s">
        <v>158</v>
      </c>
      <c r="B29" t="s">
        <v>364</v>
      </c>
      <c r="C29" t="s">
        <v>365</v>
      </c>
      <c r="D29">
        <v>69</v>
      </c>
      <c r="E29">
        <v>2070</v>
      </c>
      <c r="F29">
        <v>1533</v>
      </c>
      <c r="G29">
        <v>403</v>
      </c>
      <c r="H29">
        <v>295</v>
      </c>
      <c r="I29">
        <v>70</v>
      </c>
      <c r="J29">
        <v>42</v>
      </c>
      <c r="K29">
        <v>2</v>
      </c>
      <c r="L29">
        <v>166</v>
      </c>
      <c r="M29" s="7">
        <v>0.58599999999999997</v>
      </c>
      <c r="N29" s="7">
        <v>0.7</v>
      </c>
      <c r="O29">
        <v>993.7</v>
      </c>
      <c r="P29">
        <v>523.4</v>
      </c>
      <c r="Q29" t="s">
        <v>532</v>
      </c>
      <c r="R29">
        <v>73</v>
      </c>
      <c r="S29">
        <v>37</v>
      </c>
    </row>
    <row r="30" spans="1:19" x14ac:dyDescent="0.2">
      <c r="A30" t="s">
        <v>96</v>
      </c>
      <c r="B30" t="s">
        <v>366</v>
      </c>
      <c r="C30" t="s">
        <v>367</v>
      </c>
      <c r="D30">
        <v>76</v>
      </c>
      <c r="E30">
        <v>2572</v>
      </c>
      <c r="F30">
        <v>1688</v>
      </c>
      <c r="G30">
        <v>517</v>
      </c>
      <c r="H30">
        <v>290</v>
      </c>
      <c r="I30">
        <v>70</v>
      </c>
      <c r="J30">
        <v>35</v>
      </c>
      <c r="K30">
        <v>116</v>
      </c>
      <c r="L30">
        <v>127</v>
      </c>
      <c r="M30" s="7">
        <v>0.51700000000000002</v>
      </c>
      <c r="N30" s="7">
        <v>0.71499999999999997</v>
      </c>
      <c r="O30">
        <v>1239.7</v>
      </c>
      <c r="P30">
        <v>405.7</v>
      </c>
      <c r="Q30" t="s">
        <v>533</v>
      </c>
      <c r="R30">
        <v>48</v>
      </c>
      <c r="S30">
        <v>22</v>
      </c>
    </row>
    <row r="31" spans="1:19" x14ac:dyDescent="0.2">
      <c r="A31" t="s">
        <v>53</v>
      </c>
      <c r="B31" t="s">
        <v>368</v>
      </c>
      <c r="C31" t="s">
        <v>330</v>
      </c>
      <c r="D31">
        <v>70</v>
      </c>
      <c r="E31">
        <v>2258</v>
      </c>
      <c r="F31">
        <v>1533</v>
      </c>
      <c r="G31">
        <v>765</v>
      </c>
      <c r="H31">
        <v>209</v>
      </c>
      <c r="I31">
        <v>76</v>
      </c>
      <c r="J31">
        <v>138</v>
      </c>
      <c r="K31">
        <v>38</v>
      </c>
      <c r="L31">
        <v>150</v>
      </c>
      <c r="M31" s="7">
        <v>0.51400000000000001</v>
      </c>
      <c r="N31" s="7">
        <v>0.78300000000000003</v>
      </c>
      <c r="O31">
        <v>1228</v>
      </c>
      <c r="P31">
        <v>297</v>
      </c>
      <c r="Q31" t="s">
        <v>534</v>
      </c>
      <c r="R31">
        <v>25</v>
      </c>
      <c r="S31">
        <v>9</v>
      </c>
    </row>
    <row r="32" spans="1:19" x14ac:dyDescent="0.2">
      <c r="A32" t="s">
        <v>95</v>
      </c>
      <c r="B32" t="s">
        <v>369</v>
      </c>
      <c r="C32" t="s">
        <v>333</v>
      </c>
      <c r="D32">
        <v>73</v>
      </c>
      <c r="E32">
        <v>2493</v>
      </c>
      <c r="F32">
        <v>1579</v>
      </c>
      <c r="G32">
        <v>340</v>
      </c>
      <c r="H32">
        <v>333</v>
      </c>
      <c r="I32">
        <v>55</v>
      </c>
      <c r="J32">
        <v>18</v>
      </c>
      <c r="K32">
        <v>209</v>
      </c>
      <c r="L32">
        <v>169</v>
      </c>
      <c r="M32" s="7">
        <v>0.47399999999999998</v>
      </c>
      <c r="N32" s="7">
        <v>0.89700000000000002</v>
      </c>
      <c r="O32">
        <v>1193.4000000000001</v>
      </c>
      <c r="P32">
        <v>266</v>
      </c>
      <c r="Q32" t="s">
        <v>535</v>
      </c>
      <c r="R32">
        <v>63</v>
      </c>
      <c r="S32">
        <v>64</v>
      </c>
    </row>
    <row r="33" spans="1:19" x14ac:dyDescent="0.2">
      <c r="A33" t="s">
        <v>125</v>
      </c>
      <c r="B33" t="s">
        <v>370</v>
      </c>
      <c r="C33" t="s">
        <v>371</v>
      </c>
      <c r="D33">
        <v>74</v>
      </c>
      <c r="E33">
        <v>2404</v>
      </c>
      <c r="F33">
        <v>1594</v>
      </c>
      <c r="G33">
        <v>243</v>
      </c>
      <c r="H33">
        <v>174</v>
      </c>
      <c r="I33">
        <v>77</v>
      </c>
      <c r="J33">
        <v>18</v>
      </c>
      <c r="K33">
        <v>208</v>
      </c>
      <c r="L33">
        <v>143</v>
      </c>
      <c r="M33" s="7">
        <v>0.47199999999999998</v>
      </c>
      <c r="N33" s="7">
        <v>0.82199999999999995</v>
      </c>
      <c r="O33">
        <v>1139.8</v>
      </c>
      <c r="P33">
        <v>377.2</v>
      </c>
      <c r="Q33" t="s">
        <v>536</v>
      </c>
      <c r="R33">
        <v>107</v>
      </c>
      <c r="S33">
        <v>90</v>
      </c>
    </row>
    <row r="34" spans="1:19" x14ac:dyDescent="0.2">
      <c r="A34" t="s">
        <v>98</v>
      </c>
      <c r="B34" t="s">
        <v>343</v>
      </c>
      <c r="C34" t="s">
        <v>338</v>
      </c>
      <c r="D34">
        <v>68</v>
      </c>
      <c r="E34">
        <v>2228</v>
      </c>
      <c r="F34">
        <v>1466</v>
      </c>
      <c r="G34">
        <v>466</v>
      </c>
      <c r="H34">
        <v>472</v>
      </c>
      <c r="I34">
        <v>75</v>
      </c>
      <c r="J34">
        <v>42</v>
      </c>
      <c r="K34">
        <v>109</v>
      </c>
      <c r="L34">
        <v>208</v>
      </c>
      <c r="M34" s="7">
        <v>0.51100000000000001</v>
      </c>
      <c r="N34" s="7">
        <v>0.75800000000000001</v>
      </c>
      <c r="O34">
        <v>1069</v>
      </c>
      <c r="P34">
        <v>348.9</v>
      </c>
      <c r="Q34" t="s">
        <v>537</v>
      </c>
      <c r="R34">
        <v>43</v>
      </c>
      <c r="S34">
        <v>10</v>
      </c>
    </row>
    <row r="35" spans="1:19" x14ac:dyDescent="0.2">
      <c r="A35" t="s">
        <v>149</v>
      </c>
      <c r="B35" t="s">
        <v>373</v>
      </c>
      <c r="C35" t="s">
        <v>374</v>
      </c>
      <c r="D35">
        <v>64</v>
      </c>
      <c r="E35">
        <v>2186</v>
      </c>
      <c r="F35">
        <v>1367</v>
      </c>
      <c r="G35">
        <v>362</v>
      </c>
      <c r="H35">
        <v>260</v>
      </c>
      <c r="I35">
        <v>50</v>
      </c>
      <c r="J35">
        <v>43</v>
      </c>
      <c r="K35">
        <v>124</v>
      </c>
      <c r="L35">
        <v>168</v>
      </c>
      <c r="M35" s="7">
        <v>0.48499999999999999</v>
      </c>
      <c r="N35" s="7">
        <v>0.81799999999999995</v>
      </c>
      <c r="O35">
        <v>1044.5</v>
      </c>
      <c r="P35">
        <v>281</v>
      </c>
      <c r="Q35" t="s">
        <v>538</v>
      </c>
      <c r="R35">
        <v>76</v>
      </c>
      <c r="S35">
        <v>69</v>
      </c>
    </row>
    <row r="36" spans="1:19" x14ac:dyDescent="0.2">
      <c r="A36" t="s">
        <v>60</v>
      </c>
      <c r="B36" t="s">
        <v>377</v>
      </c>
      <c r="C36" t="s">
        <v>359</v>
      </c>
      <c r="D36">
        <v>75</v>
      </c>
      <c r="E36">
        <v>2721</v>
      </c>
      <c r="F36">
        <v>1600</v>
      </c>
      <c r="G36">
        <v>736</v>
      </c>
      <c r="H36">
        <v>537</v>
      </c>
      <c r="I36">
        <v>91</v>
      </c>
      <c r="J36">
        <v>39</v>
      </c>
      <c r="K36">
        <v>117</v>
      </c>
      <c r="L36">
        <v>236</v>
      </c>
      <c r="M36" s="7">
        <v>0.49</v>
      </c>
      <c r="N36" s="7">
        <v>0.78300000000000003</v>
      </c>
      <c r="O36">
        <v>1219.7</v>
      </c>
      <c r="P36">
        <v>367.4</v>
      </c>
      <c r="Q36" t="s">
        <v>539</v>
      </c>
      <c r="R36">
        <v>14</v>
      </c>
      <c r="S36">
        <v>32</v>
      </c>
    </row>
    <row r="37" spans="1:19" x14ac:dyDescent="0.2">
      <c r="A37" t="s">
        <v>136</v>
      </c>
      <c r="B37" t="s">
        <v>368</v>
      </c>
      <c r="C37" t="s">
        <v>326</v>
      </c>
      <c r="D37">
        <v>75</v>
      </c>
      <c r="E37">
        <v>2581</v>
      </c>
      <c r="F37">
        <v>1583</v>
      </c>
      <c r="G37">
        <v>205</v>
      </c>
      <c r="H37">
        <v>689</v>
      </c>
      <c r="I37">
        <v>77</v>
      </c>
      <c r="J37">
        <v>15</v>
      </c>
      <c r="K37">
        <v>179</v>
      </c>
      <c r="L37">
        <v>307</v>
      </c>
      <c r="M37" s="7">
        <v>0.41499999999999998</v>
      </c>
      <c r="N37" s="7">
        <v>0.86799999999999999</v>
      </c>
      <c r="O37">
        <v>1198.3</v>
      </c>
      <c r="P37">
        <v>471.6</v>
      </c>
      <c r="Q37" t="s">
        <v>540</v>
      </c>
      <c r="R37">
        <v>26</v>
      </c>
      <c r="S37">
        <v>20</v>
      </c>
    </row>
    <row r="38" spans="1:19" x14ac:dyDescent="0.2">
      <c r="A38" t="s">
        <v>54</v>
      </c>
      <c r="B38" t="s">
        <v>342</v>
      </c>
      <c r="C38" t="s">
        <v>330</v>
      </c>
      <c r="D38">
        <v>74</v>
      </c>
      <c r="E38">
        <v>2424</v>
      </c>
      <c r="F38">
        <v>1571</v>
      </c>
      <c r="G38">
        <v>869</v>
      </c>
      <c r="H38">
        <v>271</v>
      </c>
      <c r="I38">
        <v>68</v>
      </c>
      <c r="J38">
        <v>50</v>
      </c>
      <c r="K38">
        <v>128</v>
      </c>
      <c r="L38">
        <v>188</v>
      </c>
      <c r="M38" s="7">
        <v>0.51</v>
      </c>
      <c r="N38" s="7">
        <v>0.85099999999999998</v>
      </c>
      <c r="O38">
        <v>1076.4000000000001</v>
      </c>
      <c r="P38">
        <v>405.5</v>
      </c>
      <c r="Q38" t="s">
        <v>541</v>
      </c>
      <c r="R38">
        <v>11</v>
      </c>
      <c r="S38">
        <v>11</v>
      </c>
    </row>
    <row r="39" spans="1:19" x14ac:dyDescent="0.2">
      <c r="A39" t="s">
        <v>94</v>
      </c>
      <c r="B39" t="s">
        <v>378</v>
      </c>
      <c r="C39" t="s">
        <v>349</v>
      </c>
      <c r="D39">
        <v>73</v>
      </c>
      <c r="E39">
        <v>2397</v>
      </c>
      <c r="F39">
        <v>1526</v>
      </c>
      <c r="G39">
        <v>356</v>
      </c>
      <c r="H39">
        <v>252</v>
      </c>
      <c r="I39">
        <v>73</v>
      </c>
      <c r="J39">
        <v>49</v>
      </c>
      <c r="K39">
        <v>252</v>
      </c>
      <c r="L39">
        <v>190</v>
      </c>
      <c r="M39" s="7">
        <v>0.432</v>
      </c>
      <c r="N39" s="7">
        <v>0.88400000000000001</v>
      </c>
      <c r="O39">
        <v>1205.5999999999999</v>
      </c>
      <c r="P39">
        <v>262.8</v>
      </c>
      <c r="Q39" t="s">
        <v>542</v>
      </c>
      <c r="R39">
        <v>51</v>
      </c>
      <c r="S39">
        <v>93</v>
      </c>
    </row>
    <row r="40" spans="1:19" x14ac:dyDescent="0.2">
      <c r="A40" t="s">
        <v>103</v>
      </c>
      <c r="B40" t="s">
        <v>379</v>
      </c>
      <c r="C40" t="s">
        <v>338</v>
      </c>
      <c r="D40">
        <v>74</v>
      </c>
      <c r="E40">
        <v>2438</v>
      </c>
      <c r="F40">
        <v>1525</v>
      </c>
      <c r="G40">
        <v>474</v>
      </c>
      <c r="H40">
        <v>181</v>
      </c>
      <c r="I40">
        <v>64</v>
      </c>
      <c r="J40">
        <v>26</v>
      </c>
      <c r="K40">
        <v>224</v>
      </c>
      <c r="L40">
        <v>144</v>
      </c>
      <c r="M40" s="7">
        <v>0.45500000000000002</v>
      </c>
      <c r="N40" s="7">
        <v>0.83499999999999996</v>
      </c>
      <c r="O40">
        <v>1173</v>
      </c>
      <c r="P40">
        <v>279.8</v>
      </c>
      <c r="Q40" t="s">
        <v>543</v>
      </c>
      <c r="R40">
        <v>71</v>
      </c>
      <c r="S40">
        <v>51</v>
      </c>
    </row>
    <row r="41" spans="1:19" x14ac:dyDescent="0.2">
      <c r="A41" t="s">
        <v>169</v>
      </c>
      <c r="B41" t="s">
        <v>361</v>
      </c>
      <c r="C41" t="s">
        <v>326</v>
      </c>
      <c r="D41">
        <v>72</v>
      </c>
      <c r="E41">
        <v>2116</v>
      </c>
      <c r="F41">
        <v>1476</v>
      </c>
      <c r="G41">
        <v>270</v>
      </c>
      <c r="H41">
        <v>479</v>
      </c>
      <c r="I41">
        <v>79</v>
      </c>
      <c r="J41">
        <v>22</v>
      </c>
      <c r="K41">
        <v>103</v>
      </c>
      <c r="L41">
        <v>254</v>
      </c>
      <c r="M41" s="7">
        <v>0.437</v>
      </c>
      <c r="N41" s="7">
        <v>0.84199999999999997</v>
      </c>
      <c r="O41">
        <v>1198.5</v>
      </c>
      <c r="P41">
        <v>386.6</v>
      </c>
      <c r="Q41" t="s">
        <v>544</v>
      </c>
      <c r="R41">
        <v>99</v>
      </c>
      <c r="S41">
        <v>39</v>
      </c>
    </row>
    <row r="42" spans="1:19" x14ac:dyDescent="0.2">
      <c r="A42" t="s">
        <v>59</v>
      </c>
      <c r="B42" t="s">
        <v>341</v>
      </c>
      <c r="C42" t="s">
        <v>333</v>
      </c>
      <c r="D42">
        <v>76</v>
      </c>
      <c r="E42">
        <v>2548</v>
      </c>
      <c r="F42">
        <v>1543</v>
      </c>
      <c r="G42">
        <v>399</v>
      </c>
      <c r="H42">
        <v>607</v>
      </c>
      <c r="I42">
        <v>96</v>
      </c>
      <c r="J42">
        <v>43</v>
      </c>
      <c r="K42">
        <v>210</v>
      </c>
      <c r="L42">
        <v>252</v>
      </c>
      <c r="M42" s="7">
        <v>0.42699999999999999</v>
      </c>
      <c r="N42" s="7">
        <v>0.875</v>
      </c>
      <c r="O42">
        <v>1079.8</v>
      </c>
      <c r="P42">
        <v>469.6</v>
      </c>
      <c r="Q42" t="s">
        <v>545</v>
      </c>
      <c r="R42">
        <v>40</v>
      </c>
      <c r="S42">
        <v>12</v>
      </c>
    </row>
    <row r="43" spans="1:19" x14ac:dyDescent="0.2">
      <c r="A43" t="s">
        <v>79</v>
      </c>
      <c r="B43" t="s">
        <v>325</v>
      </c>
      <c r="C43" t="s">
        <v>349</v>
      </c>
      <c r="D43">
        <v>74</v>
      </c>
      <c r="E43">
        <v>2385</v>
      </c>
      <c r="F43">
        <v>1512</v>
      </c>
      <c r="G43">
        <v>356</v>
      </c>
      <c r="H43">
        <v>373</v>
      </c>
      <c r="I43">
        <v>102</v>
      </c>
      <c r="J43">
        <v>39</v>
      </c>
      <c r="K43">
        <v>106</v>
      </c>
      <c r="L43">
        <v>148</v>
      </c>
      <c r="M43" s="7">
        <v>0.49199999999999999</v>
      </c>
      <c r="N43" s="7">
        <v>0.80500000000000005</v>
      </c>
      <c r="O43">
        <v>1167</v>
      </c>
      <c r="P43">
        <v>320.10000000000002</v>
      </c>
      <c r="Q43" t="s">
        <v>546</v>
      </c>
      <c r="R43">
        <v>45</v>
      </c>
      <c r="S43">
        <v>28</v>
      </c>
    </row>
    <row r="44" spans="1:19" x14ac:dyDescent="0.2">
      <c r="A44" t="s">
        <v>154</v>
      </c>
      <c r="B44" t="s">
        <v>346</v>
      </c>
      <c r="C44" t="s">
        <v>382</v>
      </c>
      <c r="D44">
        <v>74</v>
      </c>
      <c r="E44">
        <v>2369</v>
      </c>
      <c r="F44">
        <v>1505</v>
      </c>
      <c r="G44">
        <v>334</v>
      </c>
      <c r="H44">
        <v>259</v>
      </c>
      <c r="I44">
        <v>83</v>
      </c>
      <c r="J44">
        <v>24</v>
      </c>
      <c r="K44">
        <v>202</v>
      </c>
      <c r="L44">
        <v>185</v>
      </c>
      <c r="M44" s="7">
        <v>0.42599999999999999</v>
      </c>
      <c r="N44" s="7">
        <v>0.78400000000000003</v>
      </c>
      <c r="O44">
        <v>1300.4000000000001</v>
      </c>
      <c r="P44">
        <v>248.8</v>
      </c>
      <c r="Q44" t="s">
        <v>547</v>
      </c>
      <c r="R44">
        <v>132</v>
      </c>
      <c r="S44">
        <v>55</v>
      </c>
    </row>
    <row r="45" spans="1:19" x14ac:dyDescent="0.2">
      <c r="A45" t="s">
        <v>110</v>
      </c>
      <c r="B45" t="s">
        <v>362</v>
      </c>
      <c r="C45" t="s">
        <v>330</v>
      </c>
      <c r="D45">
        <v>70</v>
      </c>
      <c r="E45">
        <v>2171</v>
      </c>
      <c r="F45">
        <v>1419</v>
      </c>
      <c r="G45">
        <v>360</v>
      </c>
      <c r="H45">
        <v>138</v>
      </c>
      <c r="I45">
        <v>81</v>
      </c>
      <c r="J45">
        <v>88</v>
      </c>
      <c r="K45">
        <v>123</v>
      </c>
      <c r="L45">
        <v>146</v>
      </c>
      <c r="M45" s="7">
        <v>0.47</v>
      </c>
      <c r="N45" s="7">
        <v>0.79400000000000004</v>
      </c>
      <c r="O45">
        <v>1120.0999999999999</v>
      </c>
      <c r="P45">
        <v>306.10000000000002</v>
      </c>
      <c r="Q45" t="s">
        <v>548</v>
      </c>
      <c r="R45">
        <v>54</v>
      </c>
      <c r="S45">
        <v>58</v>
      </c>
    </row>
    <row r="46" spans="1:19" x14ac:dyDescent="0.2">
      <c r="A46" t="s">
        <v>138</v>
      </c>
      <c r="B46" t="s">
        <v>378</v>
      </c>
      <c r="C46" t="s">
        <v>333</v>
      </c>
      <c r="D46">
        <v>75</v>
      </c>
      <c r="E46">
        <v>2561</v>
      </c>
      <c r="F46">
        <v>1518</v>
      </c>
      <c r="G46">
        <v>292</v>
      </c>
      <c r="H46">
        <v>335</v>
      </c>
      <c r="I46">
        <v>55</v>
      </c>
      <c r="J46">
        <v>14</v>
      </c>
      <c r="K46">
        <v>224</v>
      </c>
      <c r="L46">
        <v>199</v>
      </c>
      <c r="M46" s="7">
        <v>0.44500000000000001</v>
      </c>
      <c r="N46" s="7">
        <v>0.85699999999999998</v>
      </c>
      <c r="O46">
        <v>1083.3</v>
      </c>
      <c r="P46">
        <v>384.9</v>
      </c>
      <c r="Q46" t="s">
        <v>549</v>
      </c>
      <c r="R46">
        <v>97</v>
      </c>
      <c r="S46">
        <v>50</v>
      </c>
    </row>
    <row r="47" spans="1:19" x14ac:dyDescent="0.2">
      <c r="A47" t="s">
        <v>134</v>
      </c>
      <c r="B47" t="s">
        <v>362</v>
      </c>
      <c r="C47" t="s">
        <v>333</v>
      </c>
      <c r="D47">
        <v>73</v>
      </c>
      <c r="E47">
        <v>2405</v>
      </c>
      <c r="F47">
        <v>1475</v>
      </c>
      <c r="G47">
        <v>254</v>
      </c>
      <c r="H47">
        <v>425</v>
      </c>
      <c r="I47">
        <v>71</v>
      </c>
      <c r="J47">
        <v>15</v>
      </c>
      <c r="K47">
        <v>172</v>
      </c>
      <c r="L47">
        <v>202</v>
      </c>
      <c r="M47" s="7">
        <v>0.432</v>
      </c>
      <c r="N47" s="7">
        <v>0.871</v>
      </c>
      <c r="O47">
        <v>1076.9000000000001</v>
      </c>
      <c r="P47">
        <v>427.7</v>
      </c>
      <c r="Q47" t="s">
        <v>550</v>
      </c>
      <c r="R47">
        <v>52</v>
      </c>
      <c r="S47">
        <v>100</v>
      </c>
    </row>
    <row r="48" spans="1:19" x14ac:dyDescent="0.2">
      <c r="A48" t="s">
        <v>65</v>
      </c>
      <c r="B48" t="s">
        <v>364</v>
      </c>
      <c r="C48" t="s">
        <v>349</v>
      </c>
      <c r="D48">
        <v>73</v>
      </c>
      <c r="E48">
        <v>2494</v>
      </c>
      <c r="F48">
        <v>1464</v>
      </c>
      <c r="G48">
        <v>376</v>
      </c>
      <c r="H48">
        <v>244</v>
      </c>
      <c r="I48">
        <v>89</v>
      </c>
      <c r="J48">
        <v>32</v>
      </c>
      <c r="K48">
        <v>213</v>
      </c>
      <c r="L48">
        <v>126</v>
      </c>
      <c r="M48" s="7">
        <v>0.47399999999999998</v>
      </c>
      <c r="N48" s="7">
        <v>0.88700000000000001</v>
      </c>
      <c r="O48">
        <v>1081.5</v>
      </c>
      <c r="P48">
        <v>254.5</v>
      </c>
      <c r="Q48" t="s">
        <v>551</v>
      </c>
      <c r="R48">
        <v>37</v>
      </c>
      <c r="S48">
        <v>61</v>
      </c>
    </row>
    <row r="49" spans="1:19" x14ac:dyDescent="0.2">
      <c r="A49" t="s">
        <v>101</v>
      </c>
      <c r="B49" t="s">
        <v>373</v>
      </c>
      <c r="C49" t="s">
        <v>326</v>
      </c>
      <c r="D49">
        <v>74</v>
      </c>
      <c r="E49">
        <v>2418</v>
      </c>
      <c r="F49">
        <v>1467</v>
      </c>
      <c r="G49">
        <v>207</v>
      </c>
      <c r="H49">
        <v>491</v>
      </c>
      <c r="I49">
        <v>88</v>
      </c>
      <c r="J49">
        <v>14</v>
      </c>
      <c r="K49">
        <v>197</v>
      </c>
      <c r="L49">
        <v>213</v>
      </c>
      <c r="M49" s="7">
        <v>0.46600000000000003</v>
      </c>
      <c r="N49" s="7">
        <v>0.87</v>
      </c>
      <c r="O49">
        <v>1149.3</v>
      </c>
      <c r="P49">
        <v>228.5</v>
      </c>
      <c r="Q49" t="s">
        <v>552</v>
      </c>
      <c r="R49">
        <v>58</v>
      </c>
      <c r="S49">
        <v>73</v>
      </c>
    </row>
    <row r="50" spans="1:19" x14ac:dyDescent="0.2">
      <c r="A50" t="s">
        <v>109</v>
      </c>
      <c r="B50" t="s">
        <v>368</v>
      </c>
      <c r="C50" t="s">
        <v>384</v>
      </c>
      <c r="D50">
        <v>75</v>
      </c>
      <c r="E50">
        <v>2439</v>
      </c>
      <c r="F50">
        <v>1491</v>
      </c>
      <c r="G50">
        <v>459</v>
      </c>
      <c r="H50">
        <v>230</v>
      </c>
      <c r="I50">
        <v>84</v>
      </c>
      <c r="J50">
        <v>52</v>
      </c>
      <c r="K50">
        <v>129</v>
      </c>
      <c r="L50">
        <v>158</v>
      </c>
      <c r="M50" s="7">
        <v>0.46400000000000002</v>
      </c>
      <c r="N50" s="7">
        <v>0.79</v>
      </c>
      <c r="O50">
        <v>1213.5</v>
      </c>
      <c r="P50">
        <v>298.60000000000002</v>
      </c>
      <c r="Q50" t="s">
        <v>553</v>
      </c>
      <c r="R50">
        <v>82</v>
      </c>
      <c r="S50">
        <v>94</v>
      </c>
    </row>
    <row r="51" spans="1:19" x14ac:dyDescent="0.2">
      <c r="A51" t="s">
        <v>151</v>
      </c>
      <c r="B51" t="s">
        <v>385</v>
      </c>
      <c r="C51" t="s">
        <v>335</v>
      </c>
      <c r="D51">
        <v>70</v>
      </c>
      <c r="E51">
        <v>2316</v>
      </c>
      <c r="F51">
        <v>1380</v>
      </c>
      <c r="G51">
        <v>248</v>
      </c>
      <c r="H51">
        <v>227</v>
      </c>
      <c r="I51">
        <v>52</v>
      </c>
      <c r="J51">
        <v>15</v>
      </c>
      <c r="K51">
        <v>179</v>
      </c>
      <c r="L51">
        <v>160</v>
      </c>
      <c r="M51" s="7">
        <v>0.501</v>
      </c>
      <c r="N51" s="7">
        <v>0.84399999999999997</v>
      </c>
      <c r="O51">
        <v>984</v>
      </c>
      <c r="P51">
        <v>254.7</v>
      </c>
      <c r="Q51" t="s">
        <v>554</v>
      </c>
      <c r="R51">
        <v>175</v>
      </c>
      <c r="S51">
        <v>72</v>
      </c>
    </row>
    <row r="52" spans="1:19" x14ac:dyDescent="0.2">
      <c r="A52" t="s">
        <v>215</v>
      </c>
      <c r="B52" t="s">
        <v>353</v>
      </c>
      <c r="C52" t="s">
        <v>349</v>
      </c>
      <c r="D52">
        <v>72</v>
      </c>
      <c r="E52">
        <v>2253</v>
      </c>
      <c r="F52">
        <v>1412</v>
      </c>
      <c r="G52">
        <v>404</v>
      </c>
      <c r="H52">
        <v>287</v>
      </c>
      <c r="I52">
        <v>53</v>
      </c>
      <c r="J52">
        <v>22</v>
      </c>
      <c r="K52">
        <v>125</v>
      </c>
      <c r="L52">
        <v>156</v>
      </c>
      <c r="M52" s="7">
        <v>0.48199999999999998</v>
      </c>
      <c r="N52" s="7">
        <v>0.68</v>
      </c>
      <c r="O52">
        <v>1087.9000000000001</v>
      </c>
      <c r="P52">
        <v>350.3</v>
      </c>
      <c r="Q52" t="s">
        <v>555</v>
      </c>
      <c r="R52">
        <v>137</v>
      </c>
      <c r="S52">
        <v>87</v>
      </c>
    </row>
    <row r="53" spans="1:19" x14ac:dyDescent="0.2">
      <c r="A53" t="s">
        <v>71</v>
      </c>
      <c r="B53" t="s">
        <v>329</v>
      </c>
      <c r="C53" t="s">
        <v>365</v>
      </c>
      <c r="D53">
        <v>76</v>
      </c>
      <c r="E53">
        <v>2497</v>
      </c>
      <c r="F53">
        <v>1479</v>
      </c>
      <c r="G53">
        <v>732</v>
      </c>
      <c r="H53">
        <v>267</v>
      </c>
      <c r="I53">
        <v>95</v>
      </c>
      <c r="J53">
        <v>54</v>
      </c>
      <c r="K53">
        <v>112</v>
      </c>
      <c r="L53">
        <v>128</v>
      </c>
      <c r="M53" s="7">
        <v>0.45600000000000002</v>
      </c>
      <c r="N53" s="7">
        <v>0.77400000000000002</v>
      </c>
      <c r="O53">
        <v>1145.8</v>
      </c>
      <c r="P53">
        <v>416.1</v>
      </c>
      <c r="Q53" t="s">
        <v>556</v>
      </c>
      <c r="R53">
        <v>34</v>
      </c>
      <c r="S53">
        <v>26</v>
      </c>
    </row>
    <row r="54" spans="1:19" x14ac:dyDescent="0.2">
      <c r="A54" t="s">
        <v>170</v>
      </c>
      <c r="B54" t="s">
        <v>379</v>
      </c>
      <c r="C54" t="s">
        <v>387</v>
      </c>
      <c r="D54">
        <v>75</v>
      </c>
      <c r="E54">
        <v>2518</v>
      </c>
      <c r="F54">
        <v>1467</v>
      </c>
      <c r="G54">
        <v>512</v>
      </c>
      <c r="H54">
        <v>349</v>
      </c>
      <c r="I54">
        <v>55</v>
      </c>
      <c r="J54">
        <v>15</v>
      </c>
      <c r="K54">
        <v>106</v>
      </c>
      <c r="L54">
        <v>220</v>
      </c>
      <c r="M54" s="7">
        <v>0.46400000000000002</v>
      </c>
      <c r="N54" s="7">
        <v>0.80100000000000005</v>
      </c>
      <c r="O54">
        <v>1099.5</v>
      </c>
      <c r="P54">
        <v>425.3</v>
      </c>
      <c r="Q54" t="s">
        <v>557</v>
      </c>
      <c r="R54">
        <v>66</v>
      </c>
      <c r="S54">
        <v>68</v>
      </c>
    </row>
    <row r="55" spans="1:19" x14ac:dyDescent="0.2">
      <c r="A55" t="s">
        <v>99</v>
      </c>
      <c r="B55" t="s">
        <v>348</v>
      </c>
      <c r="C55" t="s">
        <v>365</v>
      </c>
      <c r="D55">
        <v>75</v>
      </c>
      <c r="E55">
        <v>2459</v>
      </c>
      <c r="F55">
        <v>1455</v>
      </c>
      <c r="G55">
        <v>704</v>
      </c>
      <c r="H55">
        <v>412</v>
      </c>
      <c r="I55">
        <v>86</v>
      </c>
      <c r="J55">
        <v>73</v>
      </c>
      <c r="K55">
        <v>32</v>
      </c>
      <c r="L55">
        <v>217</v>
      </c>
      <c r="M55" s="7">
        <v>0.51200000000000001</v>
      </c>
      <c r="N55" s="7">
        <v>0.69099999999999995</v>
      </c>
      <c r="O55">
        <v>1134.3</v>
      </c>
      <c r="P55">
        <v>378.5</v>
      </c>
      <c r="Q55" t="s">
        <v>545</v>
      </c>
      <c r="R55">
        <v>15</v>
      </c>
      <c r="S55">
        <v>30</v>
      </c>
    </row>
    <row r="56" spans="1:19" x14ac:dyDescent="0.2">
      <c r="A56" t="s">
        <v>75</v>
      </c>
      <c r="B56" t="s">
        <v>358</v>
      </c>
      <c r="C56" t="s">
        <v>371</v>
      </c>
      <c r="D56">
        <v>75</v>
      </c>
      <c r="E56">
        <v>2496</v>
      </c>
      <c r="F56">
        <v>1452</v>
      </c>
      <c r="G56">
        <v>359</v>
      </c>
      <c r="H56">
        <v>334</v>
      </c>
      <c r="I56">
        <v>85</v>
      </c>
      <c r="J56">
        <v>35</v>
      </c>
      <c r="K56">
        <v>162</v>
      </c>
      <c r="L56">
        <v>162</v>
      </c>
      <c r="M56" s="7">
        <v>0.47499999999999998</v>
      </c>
      <c r="N56" s="7">
        <v>0.89900000000000002</v>
      </c>
      <c r="O56">
        <v>1075.2</v>
      </c>
      <c r="P56">
        <v>298.7</v>
      </c>
      <c r="Q56" t="s">
        <v>558</v>
      </c>
      <c r="R56">
        <v>55</v>
      </c>
      <c r="S56">
        <v>41</v>
      </c>
    </row>
    <row r="57" spans="1:19" x14ac:dyDescent="0.2">
      <c r="A57" t="s">
        <v>112</v>
      </c>
      <c r="B57" t="s">
        <v>351</v>
      </c>
      <c r="C57" t="s">
        <v>333</v>
      </c>
      <c r="D57">
        <v>75</v>
      </c>
      <c r="E57">
        <v>2350</v>
      </c>
      <c r="F57">
        <v>1427</v>
      </c>
      <c r="G57">
        <v>292</v>
      </c>
      <c r="H57">
        <v>416</v>
      </c>
      <c r="I57">
        <v>96</v>
      </c>
      <c r="J57">
        <v>22</v>
      </c>
      <c r="K57">
        <v>134</v>
      </c>
      <c r="L57">
        <v>169</v>
      </c>
      <c r="M57" s="7">
        <v>0.47099999999999997</v>
      </c>
      <c r="N57" s="7">
        <v>0.78100000000000003</v>
      </c>
      <c r="O57">
        <v>1146</v>
      </c>
      <c r="P57">
        <v>273.3</v>
      </c>
      <c r="Q57" t="s">
        <v>559</v>
      </c>
      <c r="R57">
        <v>93</v>
      </c>
      <c r="S57">
        <v>36</v>
      </c>
    </row>
    <row r="58" spans="1:19" x14ac:dyDescent="0.2">
      <c r="A58" t="s">
        <v>111</v>
      </c>
      <c r="B58" t="s">
        <v>337</v>
      </c>
      <c r="C58" t="s">
        <v>359</v>
      </c>
      <c r="D58">
        <v>63</v>
      </c>
      <c r="E58">
        <v>2002</v>
      </c>
      <c r="F58">
        <v>1190</v>
      </c>
      <c r="G58">
        <v>339</v>
      </c>
      <c r="H58">
        <v>232</v>
      </c>
      <c r="I58">
        <v>90</v>
      </c>
      <c r="J58">
        <v>30</v>
      </c>
      <c r="K58">
        <v>197</v>
      </c>
      <c r="L58">
        <v>133</v>
      </c>
      <c r="M58" s="7">
        <v>0.44700000000000001</v>
      </c>
      <c r="N58" s="7">
        <v>0.83799999999999997</v>
      </c>
      <c r="O58">
        <v>918.5</v>
      </c>
      <c r="P58">
        <v>205</v>
      </c>
      <c r="Q58" t="s">
        <v>560</v>
      </c>
      <c r="R58">
        <v>88</v>
      </c>
      <c r="S58">
        <v>85</v>
      </c>
    </row>
    <row r="59" spans="1:19" x14ac:dyDescent="0.2">
      <c r="A59" t="s">
        <v>144</v>
      </c>
      <c r="B59" t="s">
        <v>377</v>
      </c>
      <c r="C59" t="s">
        <v>333</v>
      </c>
      <c r="D59">
        <v>76</v>
      </c>
      <c r="E59">
        <v>2335</v>
      </c>
      <c r="F59">
        <v>1435</v>
      </c>
      <c r="G59">
        <v>245</v>
      </c>
      <c r="H59">
        <v>299</v>
      </c>
      <c r="I59">
        <v>61</v>
      </c>
      <c r="J59">
        <v>35</v>
      </c>
      <c r="K59">
        <v>200</v>
      </c>
      <c r="L59">
        <v>134</v>
      </c>
      <c r="M59" s="7">
        <v>0.45700000000000002</v>
      </c>
      <c r="N59" s="7">
        <v>0.754</v>
      </c>
      <c r="O59">
        <v>1149.3</v>
      </c>
      <c r="P59">
        <v>244.8</v>
      </c>
      <c r="Q59" t="s">
        <v>561</v>
      </c>
      <c r="R59">
        <v>140</v>
      </c>
      <c r="S59">
        <v>84</v>
      </c>
    </row>
    <row r="60" spans="1:19" x14ac:dyDescent="0.2">
      <c r="A60" t="s">
        <v>130</v>
      </c>
      <c r="B60" t="s">
        <v>362</v>
      </c>
      <c r="C60" t="s">
        <v>333</v>
      </c>
      <c r="D60">
        <v>76</v>
      </c>
      <c r="E60">
        <v>2360</v>
      </c>
      <c r="F60">
        <v>1434</v>
      </c>
      <c r="G60">
        <v>300</v>
      </c>
      <c r="H60">
        <v>242</v>
      </c>
      <c r="I60">
        <v>108</v>
      </c>
      <c r="J60">
        <v>20</v>
      </c>
      <c r="K60">
        <v>147</v>
      </c>
      <c r="L60">
        <v>160</v>
      </c>
      <c r="M60" s="7">
        <v>0.44600000000000001</v>
      </c>
      <c r="N60" s="7">
        <v>0.80700000000000005</v>
      </c>
      <c r="O60">
        <v>1170.7</v>
      </c>
      <c r="P60">
        <v>300.8</v>
      </c>
      <c r="Q60" t="s">
        <v>523</v>
      </c>
      <c r="R60">
        <v>105</v>
      </c>
      <c r="S60">
        <v>121</v>
      </c>
    </row>
    <row r="61" spans="1:19" x14ac:dyDescent="0.2">
      <c r="A61" t="s">
        <v>70</v>
      </c>
      <c r="B61" t="s">
        <v>341</v>
      </c>
      <c r="C61" t="s">
        <v>330</v>
      </c>
      <c r="D61">
        <v>72</v>
      </c>
      <c r="E61">
        <v>2345</v>
      </c>
      <c r="F61">
        <v>1354</v>
      </c>
      <c r="G61">
        <v>693</v>
      </c>
      <c r="H61">
        <v>262</v>
      </c>
      <c r="I61">
        <v>65</v>
      </c>
      <c r="J61">
        <v>118</v>
      </c>
      <c r="K61">
        <v>77</v>
      </c>
      <c r="L61">
        <v>145</v>
      </c>
      <c r="M61" s="7">
        <v>0.55400000000000005</v>
      </c>
      <c r="N61" s="7">
        <v>0.67</v>
      </c>
      <c r="O61">
        <v>962.8</v>
      </c>
      <c r="P61">
        <v>313.8</v>
      </c>
      <c r="Q61" t="s">
        <v>562</v>
      </c>
      <c r="R61">
        <v>32</v>
      </c>
      <c r="S61">
        <v>31</v>
      </c>
    </row>
    <row r="62" spans="1:19" x14ac:dyDescent="0.2">
      <c r="A62" t="s">
        <v>52</v>
      </c>
      <c r="B62" t="s">
        <v>366</v>
      </c>
      <c r="C62" t="s">
        <v>333</v>
      </c>
      <c r="D62">
        <v>71</v>
      </c>
      <c r="E62">
        <v>2379</v>
      </c>
      <c r="F62">
        <v>1335</v>
      </c>
      <c r="G62">
        <v>264</v>
      </c>
      <c r="H62">
        <v>691</v>
      </c>
      <c r="I62">
        <v>87</v>
      </c>
      <c r="J62">
        <v>44</v>
      </c>
      <c r="K62">
        <v>200</v>
      </c>
      <c r="L62">
        <v>131</v>
      </c>
      <c r="M62" s="7">
        <v>0.47799999999999998</v>
      </c>
      <c r="N62" s="7">
        <v>0.85199999999999998</v>
      </c>
      <c r="O62">
        <v>966.1</v>
      </c>
      <c r="P62">
        <v>248.2</v>
      </c>
      <c r="Q62" t="s">
        <v>523</v>
      </c>
      <c r="R62">
        <v>24</v>
      </c>
      <c r="S62">
        <v>65</v>
      </c>
    </row>
    <row r="63" spans="1:19" x14ac:dyDescent="0.2">
      <c r="A63" t="s">
        <v>132</v>
      </c>
      <c r="B63" t="s">
        <v>385</v>
      </c>
      <c r="C63" t="s">
        <v>326</v>
      </c>
      <c r="D63">
        <v>76</v>
      </c>
      <c r="E63">
        <v>2394</v>
      </c>
      <c r="F63">
        <v>1410</v>
      </c>
      <c r="G63">
        <v>252</v>
      </c>
      <c r="H63">
        <v>500</v>
      </c>
      <c r="I63">
        <v>106</v>
      </c>
      <c r="J63">
        <v>20</v>
      </c>
      <c r="K63">
        <v>143</v>
      </c>
      <c r="L63">
        <v>259</v>
      </c>
      <c r="M63" s="7">
        <v>0.45700000000000002</v>
      </c>
      <c r="N63" s="7">
        <v>0.81699999999999995</v>
      </c>
      <c r="O63">
        <v>1127.3</v>
      </c>
      <c r="P63">
        <v>289.60000000000002</v>
      </c>
      <c r="Q63" t="s">
        <v>523</v>
      </c>
      <c r="R63">
        <v>134</v>
      </c>
      <c r="S63">
        <v>152</v>
      </c>
    </row>
    <row r="64" spans="1:19" x14ac:dyDescent="0.2">
      <c r="A64" t="s">
        <v>58</v>
      </c>
      <c r="B64" t="s">
        <v>353</v>
      </c>
      <c r="C64" t="s">
        <v>392</v>
      </c>
      <c r="D64">
        <v>75</v>
      </c>
      <c r="E64">
        <v>2533</v>
      </c>
      <c r="F64">
        <v>1398</v>
      </c>
      <c r="G64">
        <v>560</v>
      </c>
      <c r="H64">
        <v>440</v>
      </c>
      <c r="I64">
        <v>104</v>
      </c>
      <c r="J64">
        <v>98</v>
      </c>
      <c r="K64">
        <v>76</v>
      </c>
      <c r="L64">
        <v>197</v>
      </c>
      <c r="M64" s="7">
        <v>0.48699999999999999</v>
      </c>
      <c r="N64" s="7">
        <v>0.79100000000000004</v>
      </c>
      <c r="O64">
        <v>1110.3</v>
      </c>
      <c r="P64">
        <v>304.2</v>
      </c>
      <c r="Q64" t="s">
        <v>545</v>
      </c>
      <c r="R64">
        <v>10</v>
      </c>
      <c r="S64">
        <v>25</v>
      </c>
    </row>
    <row r="65" spans="1:19" x14ac:dyDescent="0.2">
      <c r="A65" t="s">
        <v>91</v>
      </c>
      <c r="B65" t="s">
        <v>378</v>
      </c>
      <c r="C65" t="s">
        <v>382</v>
      </c>
      <c r="D65">
        <v>78</v>
      </c>
      <c r="E65">
        <v>2569</v>
      </c>
      <c r="F65">
        <v>1448</v>
      </c>
      <c r="G65">
        <v>409</v>
      </c>
      <c r="H65">
        <v>265</v>
      </c>
      <c r="I65">
        <v>56</v>
      </c>
      <c r="J65">
        <v>19</v>
      </c>
      <c r="K65">
        <v>269</v>
      </c>
      <c r="L65">
        <v>157</v>
      </c>
      <c r="M65" s="7">
        <v>0.46899999999999997</v>
      </c>
      <c r="N65" s="7">
        <v>0.86699999999999999</v>
      </c>
      <c r="O65">
        <v>1049.0999999999999</v>
      </c>
      <c r="P65">
        <v>224.9</v>
      </c>
      <c r="Q65" t="s">
        <v>563</v>
      </c>
      <c r="R65">
        <v>39</v>
      </c>
      <c r="S65">
        <v>74</v>
      </c>
    </row>
    <row r="66" spans="1:19" x14ac:dyDescent="0.2">
      <c r="A66" t="s">
        <v>206</v>
      </c>
      <c r="B66" t="s">
        <v>345</v>
      </c>
      <c r="C66" t="s">
        <v>349</v>
      </c>
      <c r="D66">
        <v>44</v>
      </c>
      <c r="E66">
        <v>1400</v>
      </c>
      <c r="F66">
        <v>805</v>
      </c>
      <c r="G66">
        <v>229</v>
      </c>
      <c r="H66">
        <v>216</v>
      </c>
      <c r="I66">
        <v>62</v>
      </c>
      <c r="J66">
        <v>13</v>
      </c>
      <c r="K66">
        <v>34</v>
      </c>
      <c r="L66">
        <v>64</v>
      </c>
      <c r="M66" s="7">
        <v>0.504</v>
      </c>
      <c r="N66" s="7">
        <v>0.84799999999999998</v>
      </c>
      <c r="O66">
        <v>536.4</v>
      </c>
      <c r="P66">
        <v>271.60000000000002</v>
      </c>
      <c r="Q66" t="s">
        <v>564</v>
      </c>
      <c r="R66">
        <v>176</v>
      </c>
      <c r="S66">
        <v>67</v>
      </c>
    </row>
    <row r="67" spans="1:19" x14ac:dyDescent="0.2">
      <c r="A67" t="s">
        <v>86</v>
      </c>
      <c r="B67" t="s">
        <v>370</v>
      </c>
      <c r="C67" t="s">
        <v>395</v>
      </c>
      <c r="D67">
        <v>73</v>
      </c>
      <c r="E67">
        <v>2607</v>
      </c>
      <c r="F67">
        <v>1302</v>
      </c>
      <c r="G67">
        <v>621</v>
      </c>
      <c r="H67">
        <v>664</v>
      </c>
      <c r="I67">
        <v>88</v>
      </c>
      <c r="J67">
        <v>44</v>
      </c>
      <c r="K67">
        <v>135</v>
      </c>
      <c r="L67">
        <v>265</v>
      </c>
      <c r="M67" s="7">
        <v>0.45100000000000001</v>
      </c>
      <c r="N67" s="7">
        <v>0.76900000000000002</v>
      </c>
      <c r="O67">
        <v>1027</v>
      </c>
      <c r="P67">
        <v>312.89999999999998</v>
      </c>
      <c r="Q67" t="s">
        <v>565</v>
      </c>
      <c r="R67">
        <v>29</v>
      </c>
      <c r="S67">
        <v>27</v>
      </c>
    </row>
    <row r="68" spans="1:19" x14ac:dyDescent="0.2">
      <c r="A68" t="s">
        <v>104</v>
      </c>
      <c r="B68" t="s">
        <v>396</v>
      </c>
      <c r="C68" t="s">
        <v>387</v>
      </c>
      <c r="D68">
        <v>75</v>
      </c>
      <c r="E68">
        <v>2420</v>
      </c>
      <c r="F68">
        <v>1338</v>
      </c>
      <c r="G68">
        <v>615</v>
      </c>
      <c r="H68">
        <v>226</v>
      </c>
      <c r="I68">
        <v>76</v>
      </c>
      <c r="J68">
        <v>69</v>
      </c>
      <c r="K68">
        <v>60</v>
      </c>
      <c r="L68">
        <v>173</v>
      </c>
      <c r="M68" s="7">
        <v>0.50700000000000001</v>
      </c>
      <c r="N68" s="7">
        <v>0.755</v>
      </c>
      <c r="O68">
        <v>1068.7</v>
      </c>
      <c r="P68">
        <v>257.39999999999998</v>
      </c>
      <c r="Q68" t="s">
        <v>566</v>
      </c>
      <c r="R68">
        <v>65</v>
      </c>
      <c r="S68">
        <v>114</v>
      </c>
    </row>
    <row r="69" spans="1:19" x14ac:dyDescent="0.2">
      <c r="A69" t="s">
        <v>66</v>
      </c>
      <c r="B69" t="s">
        <v>355</v>
      </c>
      <c r="C69" t="s">
        <v>340</v>
      </c>
      <c r="D69">
        <v>75</v>
      </c>
      <c r="E69">
        <v>2271</v>
      </c>
      <c r="F69">
        <v>1323</v>
      </c>
      <c r="G69">
        <v>841</v>
      </c>
      <c r="H69">
        <v>178</v>
      </c>
      <c r="I69">
        <v>64</v>
      </c>
      <c r="J69">
        <v>83</v>
      </c>
      <c r="K69">
        <v>0</v>
      </c>
      <c r="L69">
        <v>146</v>
      </c>
      <c r="M69" s="7">
        <v>0.65800000000000003</v>
      </c>
      <c r="N69" s="7">
        <v>0.73</v>
      </c>
      <c r="O69">
        <v>789.1</v>
      </c>
      <c r="P69">
        <v>389.8</v>
      </c>
      <c r="Q69" t="s">
        <v>567</v>
      </c>
      <c r="R69">
        <v>30</v>
      </c>
      <c r="S69">
        <v>54</v>
      </c>
    </row>
    <row r="70" spans="1:19" x14ac:dyDescent="0.2">
      <c r="A70" t="s">
        <v>81</v>
      </c>
      <c r="B70" t="s">
        <v>385</v>
      </c>
      <c r="C70" t="s">
        <v>365</v>
      </c>
      <c r="D70">
        <v>74</v>
      </c>
      <c r="E70">
        <v>2524</v>
      </c>
      <c r="F70">
        <v>1290</v>
      </c>
      <c r="G70">
        <v>936</v>
      </c>
      <c r="H70">
        <v>432</v>
      </c>
      <c r="I70">
        <v>57</v>
      </c>
      <c r="J70">
        <v>32</v>
      </c>
      <c r="K70">
        <v>46</v>
      </c>
      <c r="L70">
        <v>214</v>
      </c>
      <c r="M70" s="7">
        <v>0.58799999999999997</v>
      </c>
      <c r="N70" s="7">
        <v>0.73799999999999999</v>
      </c>
      <c r="O70">
        <v>872.5</v>
      </c>
      <c r="P70">
        <v>295.2</v>
      </c>
      <c r="Q70" t="s">
        <v>568</v>
      </c>
      <c r="R70">
        <v>36</v>
      </c>
      <c r="S70">
        <v>15</v>
      </c>
    </row>
    <row r="71" spans="1:19" x14ac:dyDescent="0.2">
      <c r="A71" t="s">
        <v>123</v>
      </c>
      <c r="B71" t="s">
        <v>346</v>
      </c>
      <c r="C71" t="s">
        <v>338</v>
      </c>
      <c r="D71">
        <v>75</v>
      </c>
      <c r="E71">
        <v>2295</v>
      </c>
      <c r="F71">
        <v>1305</v>
      </c>
      <c r="G71">
        <v>468</v>
      </c>
      <c r="H71">
        <v>237</v>
      </c>
      <c r="I71">
        <v>57</v>
      </c>
      <c r="J71">
        <v>40</v>
      </c>
      <c r="K71">
        <v>140</v>
      </c>
      <c r="L71">
        <v>117</v>
      </c>
      <c r="M71" s="7">
        <v>0.45600000000000002</v>
      </c>
      <c r="N71" s="7">
        <v>0.84399999999999997</v>
      </c>
      <c r="O71">
        <v>1042.5999999999999</v>
      </c>
      <c r="P71">
        <v>253.7</v>
      </c>
      <c r="Q71" t="s">
        <v>569</v>
      </c>
      <c r="R71">
        <v>116</v>
      </c>
      <c r="S71">
        <v>59</v>
      </c>
    </row>
    <row r="72" spans="1:19" x14ac:dyDescent="0.2">
      <c r="A72" t="s">
        <v>102</v>
      </c>
      <c r="B72" t="s">
        <v>396</v>
      </c>
      <c r="C72" t="s">
        <v>333</v>
      </c>
      <c r="D72">
        <v>71</v>
      </c>
      <c r="E72">
        <v>1816</v>
      </c>
      <c r="F72">
        <v>1241</v>
      </c>
      <c r="G72">
        <v>210</v>
      </c>
      <c r="H72">
        <v>358</v>
      </c>
      <c r="I72">
        <v>93</v>
      </c>
      <c r="J72">
        <v>11</v>
      </c>
      <c r="K72">
        <v>164</v>
      </c>
      <c r="L72">
        <v>135</v>
      </c>
      <c r="M72" s="7">
        <v>0.47899999999999998</v>
      </c>
      <c r="N72" s="7">
        <v>0.872</v>
      </c>
      <c r="O72">
        <v>909.9</v>
      </c>
      <c r="P72">
        <v>235.4</v>
      </c>
      <c r="Q72" t="s">
        <v>570</v>
      </c>
      <c r="R72">
        <v>112</v>
      </c>
      <c r="S72">
        <v>128</v>
      </c>
    </row>
    <row r="73" spans="1:19" x14ac:dyDescent="0.2">
      <c r="A73" t="s">
        <v>163</v>
      </c>
      <c r="B73" t="s">
        <v>346</v>
      </c>
      <c r="C73" t="s">
        <v>349</v>
      </c>
      <c r="D73">
        <v>74</v>
      </c>
      <c r="E73">
        <v>2291</v>
      </c>
      <c r="F73">
        <v>1281</v>
      </c>
      <c r="G73">
        <v>265</v>
      </c>
      <c r="H73">
        <v>131</v>
      </c>
      <c r="I73">
        <v>74</v>
      </c>
      <c r="J73">
        <v>16</v>
      </c>
      <c r="K73">
        <v>175</v>
      </c>
      <c r="L73">
        <v>107</v>
      </c>
      <c r="M73" s="7">
        <v>0.437</v>
      </c>
      <c r="N73" s="7">
        <v>0.84</v>
      </c>
      <c r="O73">
        <v>1048</v>
      </c>
      <c r="P73">
        <v>226.2</v>
      </c>
      <c r="Q73" t="s">
        <v>571</v>
      </c>
      <c r="R73">
        <v>153</v>
      </c>
      <c r="S73">
        <v>138</v>
      </c>
    </row>
    <row r="74" spans="1:19" x14ac:dyDescent="0.2">
      <c r="A74" t="s">
        <v>172</v>
      </c>
      <c r="B74" t="s">
        <v>345</v>
      </c>
      <c r="C74" t="s">
        <v>330</v>
      </c>
      <c r="D74">
        <v>54</v>
      </c>
      <c r="E74">
        <v>1451</v>
      </c>
      <c r="F74">
        <v>934</v>
      </c>
      <c r="G74">
        <v>314</v>
      </c>
      <c r="H74">
        <v>113</v>
      </c>
      <c r="I74">
        <v>42</v>
      </c>
      <c r="J74">
        <v>68</v>
      </c>
      <c r="K74">
        <v>102</v>
      </c>
      <c r="L74">
        <v>73</v>
      </c>
      <c r="M74" s="7">
        <v>0.46800000000000003</v>
      </c>
      <c r="N74" s="7">
        <v>0.82499999999999996</v>
      </c>
      <c r="O74">
        <v>679</v>
      </c>
      <c r="P74">
        <v>238.1</v>
      </c>
      <c r="Q74" t="s">
        <v>572</v>
      </c>
      <c r="R74">
        <v>128</v>
      </c>
      <c r="S74">
        <v>88</v>
      </c>
    </row>
    <row r="75" spans="1:19" x14ac:dyDescent="0.2">
      <c r="A75" t="s">
        <v>69</v>
      </c>
      <c r="B75" t="s">
        <v>337</v>
      </c>
      <c r="C75" t="s">
        <v>333</v>
      </c>
      <c r="D75">
        <v>78</v>
      </c>
      <c r="E75">
        <v>2677</v>
      </c>
      <c r="F75">
        <v>1338</v>
      </c>
      <c r="G75">
        <v>348</v>
      </c>
      <c r="H75">
        <v>387</v>
      </c>
      <c r="I75">
        <v>79</v>
      </c>
      <c r="J75">
        <v>87</v>
      </c>
      <c r="K75">
        <v>240</v>
      </c>
      <c r="L75">
        <v>147</v>
      </c>
      <c r="M75" s="7">
        <v>0.40600000000000003</v>
      </c>
      <c r="N75" s="7">
        <v>0.88200000000000001</v>
      </c>
      <c r="O75">
        <v>1115.5999999999999</v>
      </c>
      <c r="P75">
        <v>217.8</v>
      </c>
      <c r="Q75" t="s">
        <v>573</v>
      </c>
      <c r="R75">
        <v>47</v>
      </c>
      <c r="S75">
        <v>47</v>
      </c>
    </row>
    <row r="76" spans="1:19" x14ac:dyDescent="0.2">
      <c r="A76" t="s">
        <v>183</v>
      </c>
      <c r="B76" t="s">
        <v>351</v>
      </c>
      <c r="C76" t="s">
        <v>333</v>
      </c>
      <c r="D76">
        <v>75</v>
      </c>
      <c r="E76">
        <v>2376</v>
      </c>
      <c r="F76">
        <v>1292</v>
      </c>
      <c r="G76">
        <v>381</v>
      </c>
      <c r="H76">
        <v>501</v>
      </c>
      <c r="I76">
        <v>82</v>
      </c>
      <c r="J76">
        <v>22</v>
      </c>
      <c r="K76">
        <v>94</v>
      </c>
      <c r="L76">
        <v>228</v>
      </c>
      <c r="M76" s="7">
        <v>0.45700000000000002</v>
      </c>
      <c r="N76" s="7">
        <v>0.73699999999999999</v>
      </c>
      <c r="O76">
        <v>974.4</v>
      </c>
      <c r="P76">
        <v>417.1</v>
      </c>
      <c r="Q76" t="s">
        <v>574</v>
      </c>
      <c r="R76">
        <v>56</v>
      </c>
      <c r="S76">
        <v>62</v>
      </c>
    </row>
    <row r="77" spans="1:19" x14ac:dyDescent="0.2">
      <c r="A77" t="s">
        <v>133</v>
      </c>
      <c r="B77" t="s">
        <v>364</v>
      </c>
      <c r="C77" t="s">
        <v>333</v>
      </c>
      <c r="D77">
        <v>73</v>
      </c>
      <c r="E77">
        <v>2225</v>
      </c>
      <c r="F77">
        <v>1251</v>
      </c>
      <c r="G77">
        <v>392</v>
      </c>
      <c r="H77">
        <v>433</v>
      </c>
      <c r="I77">
        <v>102</v>
      </c>
      <c r="J77">
        <v>18</v>
      </c>
      <c r="K77">
        <v>120</v>
      </c>
      <c r="L77">
        <v>206</v>
      </c>
      <c r="M77" s="7">
        <v>0.439</v>
      </c>
      <c r="N77" s="7">
        <v>0.82099999999999995</v>
      </c>
      <c r="O77">
        <v>1042.3</v>
      </c>
      <c r="P77">
        <v>263</v>
      </c>
      <c r="Q77" t="s">
        <v>575</v>
      </c>
      <c r="R77">
        <v>69</v>
      </c>
      <c r="S77">
        <v>126</v>
      </c>
    </row>
    <row r="78" spans="1:19" x14ac:dyDescent="0.2">
      <c r="A78" t="s">
        <v>72</v>
      </c>
      <c r="B78" t="s">
        <v>342</v>
      </c>
      <c r="C78" t="s">
        <v>338</v>
      </c>
      <c r="D78">
        <v>73</v>
      </c>
      <c r="E78">
        <v>2542</v>
      </c>
      <c r="F78">
        <v>1241</v>
      </c>
      <c r="G78">
        <v>381</v>
      </c>
      <c r="H78">
        <v>153</v>
      </c>
      <c r="I78">
        <v>110</v>
      </c>
      <c r="J78">
        <v>62</v>
      </c>
      <c r="K78">
        <v>171</v>
      </c>
      <c r="L78">
        <v>119</v>
      </c>
      <c r="M78" s="7">
        <v>0.48099999999999998</v>
      </c>
      <c r="N78" s="7">
        <v>0.82299999999999995</v>
      </c>
      <c r="O78">
        <v>904.1</v>
      </c>
      <c r="P78">
        <v>243.3</v>
      </c>
      <c r="Q78" t="s">
        <v>576</v>
      </c>
      <c r="R78">
        <v>62</v>
      </c>
      <c r="S78">
        <v>57</v>
      </c>
    </row>
    <row r="79" spans="1:19" x14ac:dyDescent="0.2">
      <c r="A79" t="s">
        <v>139</v>
      </c>
      <c r="B79" t="s">
        <v>339</v>
      </c>
      <c r="C79" t="s">
        <v>359</v>
      </c>
      <c r="D79">
        <v>77</v>
      </c>
      <c r="E79">
        <v>2277</v>
      </c>
      <c r="F79">
        <v>1282</v>
      </c>
      <c r="G79">
        <v>236</v>
      </c>
      <c r="H79">
        <v>278</v>
      </c>
      <c r="I79">
        <v>56</v>
      </c>
      <c r="J79">
        <v>26</v>
      </c>
      <c r="K79">
        <v>53</v>
      </c>
      <c r="L79">
        <v>81</v>
      </c>
      <c r="M79" s="7">
        <v>0.49199999999999999</v>
      </c>
      <c r="N79" s="7">
        <v>0.86</v>
      </c>
      <c r="O79">
        <v>926.9</v>
      </c>
      <c r="P79">
        <v>368.6</v>
      </c>
      <c r="Q79" t="s">
        <v>577</v>
      </c>
      <c r="R79">
        <v>162</v>
      </c>
      <c r="S79">
        <v>44</v>
      </c>
    </row>
    <row r="80" spans="1:19" x14ac:dyDescent="0.2">
      <c r="A80" t="s">
        <v>115</v>
      </c>
      <c r="B80" t="s">
        <v>353</v>
      </c>
      <c r="C80" t="s">
        <v>333</v>
      </c>
      <c r="D80">
        <v>72</v>
      </c>
      <c r="E80">
        <v>2222</v>
      </c>
      <c r="F80">
        <v>1187</v>
      </c>
      <c r="G80">
        <v>279</v>
      </c>
      <c r="H80">
        <v>411</v>
      </c>
      <c r="I80">
        <v>79</v>
      </c>
      <c r="J80">
        <v>8</v>
      </c>
      <c r="K80">
        <v>181</v>
      </c>
      <c r="L80">
        <v>109</v>
      </c>
      <c r="M80" s="7">
        <v>0.439</v>
      </c>
      <c r="N80" s="7">
        <v>0.83899999999999997</v>
      </c>
      <c r="O80">
        <v>936.5</v>
      </c>
      <c r="P80">
        <v>219</v>
      </c>
      <c r="Q80" t="s">
        <v>578</v>
      </c>
      <c r="R80">
        <v>117</v>
      </c>
      <c r="S80">
        <v>111</v>
      </c>
    </row>
    <row r="81" spans="1:19" x14ac:dyDescent="0.2">
      <c r="A81" t="s">
        <v>67</v>
      </c>
      <c r="B81" t="s">
        <v>348</v>
      </c>
      <c r="C81" t="s">
        <v>335</v>
      </c>
      <c r="D81">
        <v>78</v>
      </c>
      <c r="E81">
        <v>2787</v>
      </c>
      <c r="F81">
        <v>1294</v>
      </c>
      <c r="G81">
        <v>594</v>
      </c>
      <c r="H81">
        <v>372</v>
      </c>
      <c r="I81">
        <v>113</v>
      </c>
      <c r="J81">
        <v>63</v>
      </c>
      <c r="K81">
        <v>25</v>
      </c>
      <c r="L81">
        <v>176</v>
      </c>
      <c r="M81" s="7">
        <v>0.54300000000000004</v>
      </c>
      <c r="N81" s="7">
        <v>0.75700000000000001</v>
      </c>
      <c r="O81">
        <v>936.8</v>
      </c>
      <c r="P81">
        <v>332.4</v>
      </c>
      <c r="Q81" t="s">
        <v>542</v>
      </c>
      <c r="R81">
        <v>27</v>
      </c>
      <c r="S81">
        <v>16</v>
      </c>
    </row>
    <row r="82" spans="1:19" x14ac:dyDescent="0.2">
      <c r="A82" t="s">
        <v>127</v>
      </c>
      <c r="B82" t="s">
        <v>337</v>
      </c>
      <c r="C82" t="s">
        <v>333</v>
      </c>
      <c r="D82">
        <v>75</v>
      </c>
      <c r="E82">
        <v>2302</v>
      </c>
      <c r="F82">
        <v>1234</v>
      </c>
      <c r="G82">
        <v>287</v>
      </c>
      <c r="H82">
        <v>332</v>
      </c>
      <c r="I82">
        <v>52</v>
      </c>
      <c r="J82">
        <v>8</v>
      </c>
      <c r="K82">
        <v>217</v>
      </c>
      <c r="L82">
        <v>100</v>
      </c>
      <c r="M82" s="7">
        <v>0.46300000000000002</v>
      </c>
      <c r="N82" s="7">
        <v>0.878</v>
      </c>
      <c r="O82">
        <v>965.4</v>
      </c>
      <c r="P82">
        <v>140.1</v>
      </c>
      <c r="Q82" t="s">
        <v>579</v>
      </c>
      <c r="R82">
        <v>81</v>
      </c>
      <c r="S82">
        <v>89</v>
      </c>
    </row>
    <row r="83" spans="1:19" x14ac:dyDescent="0.2">
      <c r="A83" t="s">
        <v>105</v>
      </c>
      <c r="B83" t="s">
        <v>377</v>
      </c>
      <c r="C83" t="s">
        <v>333</v>
      </c>
      <c r="D83">
        <v>79</v>
      </c>
      <c r="E83">
        <v>2396</v>
      </c>
      <c r="F83">
        <v>1283</v>
      </c>
      <c r="G83">
        <v>245</v>
      </c>
      <c r="H83">
        <v>261</v>
      </c>
      <c r="I83">
        <v>81</v>
      </c>
      <c r="J83">
        <v>37</v>
      </c>
      <c r="K83">
        <v>203</v>
      </c>
      <c r="L83">
        <v>135</v>
      </c>
      <c r="M83" s="7">
        <v>0.44900000000000001</v>
      </c>
      <c r="N83" s="7">
        <v>0.878</v>
      </c>
      <c r="O83">
        <v>961.2</v>
      </c>
      <c r="P83">
        <v>246.9</v>
      </c>
      <c r="Q83" t="s">
        <v>580</v>
      </c>
      <c r="R83">
        <v>60</v>
      </c>
      <c r="S83">
        <v>102</v>
      </c>
    </row>
    <row r="84" spans="1:19" x14ac:dyDescent="0.2">
      <c r="A84" t="s">
        <v>77</v>
      </c>
      <c r="B84" t="s">
        <v>325</v>
      </c>
      <c r="C84" t="s">
        <v>330</v>
      </c>
      <c r="D84">
        <v>72</v>
      </c>
      <c r="E84">
        <v>2059</v>
      </c>
      <c r="F84">
        <v>1168</v>
      </c>
      <c r="G84">
        <v>580</v>
      </c>
      <c r="H84">
        <v>124</v>
      </c>
      <c r="I84">
        <v>47</v>
      </c>
      <c r="J84">
        <v>134</v>
      </c>
      <c r="K84">
        <v>93</v>
      </c>
      <c r="L84">
        <v>109</v>
      </c>
      <c r="M84" s="7">
        <v>0.53300000000000003</v>
      </c>
      <c r="N84" s="7">
        <v>0.78800000000000003</v>
      </c>
      <c r="O84">
        <v>806.2</v>
      </c>
      <c r="P84">
        <v>273.5</v>
      </c>
      <c r="Q84" t="s">
        <v>581</v>
      </c>
      <c r="R84">
        <v>18</v>
      </c>
      <c r="S84">
        <v>38</v>
      </c>
    </row>
    <row r="85" spans="1:19" x14ac:dyDescent="0.2">
      <c r="A85" t="s">
        <v>93</v>
      </c>
      <c r="B85" t="s">
        <v>355</v>
      </c>
      <c r="C85" t="s">
        <v>330</v>
      </c>
      <c r="D85">
        <v>73</v>
      </c>
      <c r="E85">
        <v>2156</v>
      </c>
      <c r="F85">
        <v>1177</v>
      </c>
      <c r="G85">
        <v>529</v>
      </c>
      <c r="H85">
        <v>100</v>
      </c>
      <c r="I85">
        <v>68</v>
      </c>
      <c r="J85">
        <v>73</v>
      </c>
      <c r="K85">
        <v>98</v>
      </c>
      <c r="L85">
        <v>123</v>
      </c>
      <c r="M85" s="7">
        <v>0.54</v>
      </c>
      <c r="N85" s="7">
        <v>0.80300000000000005</v>
      </c>
      <c r="O85">
        <v>850.3</v>
      </c>
      <c r="P85">
        <v>200.1</v>
      </c>
      <c r="Q85" t="s">
        <v>582</v>
      </c>
      <c r="R85">
        <v>167</v>
      </c>
      <c r="S85">
        <v>101</v>
      </c>
    </row>
    <row r="86" spans="1:19" x14ac:dyDescent="0.2">
      <c r="A86" t="s">
        <v>89</v>
      </c>
      <c r="B86" t="s">
        <v>370</v>
      </c>
      <c r="C86" t="s">
        <v>359</v>
      </c>
      <c r="D86">
        <v>75</v>
      </c>
      <c r="E86">
        <v>2418</v>
      </c>
      <c r="F86">
        <v>1198</v>
      </c>
      <c r="G86">
        <v>618</v>
      </c>
      <c r="H86">
        <v>160</v>
      </c>
      <c r="I86">
        <v>74</v>
      </c>
      <c r="J86">
        <v>111</v>
      </c>
      <c r="K86">
        <v>63</v>
      </c>
      <c r="L86">
        <v>142</v>
      </c>
      <c r="M86" s="7">
        <v>0.505</v>
      </c>
      <c r="N86" s="7">
        <v>0.746</v>
      </c>
      <c r="O86">
        <v>954.1</v>
      </c>
      <c r="P86">
        <v>229.8</v>
      </c>
      <c r="Q86" t="s">
        <v>566</v>
      </c>
      <c r="R86">
        <v>91</v>
      </c>
      <c r="S86">
        <v>120</v>
      </c>
    </row>
    <row r="87" spans="1:19" x14ac:dyDescent="0.2">
      <c r="A87" t="s">
        <v>119</v>
      </c>
      <c r="B87" t="s">
        <v>329</v>
      </c>
      <c r="C87" t="s">
        <v>349</v>
      </c>
      <c r="D87">
        <v>73</v>
      </c>
      <c r="E87">
        <v>2215</v>
      </c>
      <c r="F87">
        <v>1150</v>
      </c>
      <c r="G87">
        <v>332</v>
      </c>
      <c r="H87">
        <v>195</v>
      </c>
      <c r="I87">
        <v>79</v>
      </c>
      <c r="J87">
        <v>68</v>
      </c>
      <c r="K87">
        <v>140</v>
      </c>
      <c r="L87">
        <v>108</v>
      </c>
      <c r="M87" s="7">
        <v>0.47099999999999997</v>
      </c>
      <c r="N87" s="7">
        <v>0.77</v>
      </c>
      <c r="O87">
        <v>917.8</v>
      </c>
      <c r="P87">
        <v>188.9</v>
      </c>
      <c r="Q87" t="s">
        <v>583</v>
      </c>
      <c r="R87">
        <v>136</v>
      </c>
      <c r="S87">
        <v>77</v>
      </c>
    </row>
    <row r="88" spans="1:19" x14ac:dyDescent="0.2">
      <c r="A88" t="s">
        <v>97</v>
      </c>
      <c r="B88" t="s">
        <v>366</v>
      </c>
      <c r="C88" t="s">
        <v>340</v>
      </c>
      <c r="D88">
        <v>74</v>
      </c>
      <c r="E88">
        <v>2311</v>
      </c>
      <c r="F88">
        <v>1160</v>
      </c>
      <c r="G88">
        <v>808</v>
      </c>
      <c r="H88">
        <v>186</v>
      </c>
      <c r="I88">
        <v>35</v>
      </c>
      <c r="J88">
        <v>77</v>
      </c>
      <c r="K88">
        <v>0</v>
      </c>
      <c r="L88">
        <v>108</v>
      </c>
      <c r="M88" s="7">
        <v>0.63200000000000001</v>
      </c>
      <c r="N88" s="7">
        <v>0.68200000000000005</v>
      </c>
      <c r="O88">
        <v>788.3</v>
      </c>
      <c r="P88">
        <v>239.8</v>
      </c>
      <c r="Q88" t="s">
        <v>584</v>
      </c>
      <c r="R88">
        <v>70</v>
      </c>
      <c r="S88">
        <v>35</v>
      </c>
    </row>
    <row r="89" spans="1:19" x14ac:dyDescent="0.2">
      <c r="A89" t="s">
        <v>178</v>
      </c>
      <c r="B89" t="s">
        <v>332</v>
      </c>
      <c r="C89" t="s">
        <v>333</v>
      </c>
      <c r="D89">
        <v>75</v>
      </c>
      <c r="E89">
        <v>1830</v>
      </c>
      <c r="F89">
        <v>1170</v>
      </c>
      <c r="G89">
        <v>168</v>
      </c>
      <c r="H89">
        <v>260</v>
      </c>
      <c r="I89">
        <v>67</v>
      </c>
      <c r="J89">
        <v>11</v>
      </c>
      <c r="K89">
        <v>109</v>
      </c>
      <c r="L89">
        <v>146</v>
      </c>
      <c r="M89" s="7">
        <v>0.49199999999999999</v>
      </c>
      <c r="N89" s="7">
        <v>0.86</v>
      </c>
      <c r="O89">
        <v>839.6</v>
      </c>
      <c r="P89">
        <v>273.10000000000002</v>
      </c>
      <c r="Q89" t="s">
        <v>585</v>
      </c>
      <c r="R89">
        <v>170</v>
      </c>
      <c r="S89">
        <v>178</v>
      </c>
    </row>
    <row r="90" spans="1:19" x14ac:dyDescent="0.2">
      <c r="A90" t="s">
        <v>201</v>
      </c>
      <c r="B90" t="s">
        <v>379</v>
      </c>
      <c r="C90" t="s">
        <v>326</v>
      </c>
      <c r="D90">
        <v>75</v>
      </c>
      <c r="E90">
        <v>2347</v>
      </c>
      <c r="F90">
        <v>1150</v>
      </c>
      <c r="G90">
        <v>208</v>
      </c>
      <c r="H90">
        <v>366</v>
      </c>
      <c r="I90">
        <v>114</v>
      </c>
      <c r="J90">
        <v>16</v>
      </c>
      <c r="K90">
        <v>96</v>
      </c>
      <c r="L90">
        <v>231</v>
      </c>
      <c r="M90" s="7">
        <v>0.43099999999999999</v>
      </c>
      <c r="N90" s="7">
        <v>0.79600000000000004</v>
      </c>
      <c r="O90">
        <v>988.3</v>
      </c>
      <c r="P90">
        <v>253.9</v>
      </c>
      <c r="Q90" t="s">
        <v>523</v>
      </c>
      <c r="R90">
        <v>186</v>
      </c>
      <c r="S90">
        <v>198</v>
      </c>
    </row>
    <row r="91" spans="1:19" x14ac:dyDescent="0.2">
      <c r="A91" t="s">
        <v>90</v>
      </c>
      <c r="B91" t="s">
        <v>343</v>
      </c>
      <c r="C91" t="s">
        <v>333</v>
      </c>
      <c r="D91">
        <v>75</v>
      </c>
      <c r="E91">
        <v>2594</v>
      </c>
      <c r="F91">
        <v>1152</v>
      </c>
      <c r="G91">
        <v>420</v>
      </c>
      <c r="H91">
        <v>296</v>
      </c>
      <c r="I91">
        <v>101</v>
      </c>
      <c r="J91">
        <v>38</v>
      </c>
      <c r="K91">
        <v>142</v>
      </c>
      <c r="L91">
        <v>130</v>
      </c>
      <c r="M91" s="7">
        <v>0.45600000000000002</v>
      </c>
      <c r="N91" s="7">
        <v>0.82</v>
      </c>
      <c r="O91">
        <v>946.6</v>
      </c>
      <c r="P91">
        <v>178.8</v>
      </c>
      <c r="Q91" t="s">
        <v>586</v>
      </c>
      <c r="R91">
        <v>68</v>
      </c>
      <c r="S91">
        <v>99</v>
      </c>
    </row>
    <row r="92" spans="1:19" x14ac:dyDescent="0.2">
      <c r="A92" t="s">
        <v>129</v>
      </c>
      <c r="B92" t="s">
        <v>370</v>
      </c>
      <c r="C92" t="s">
        <v>338</v>
      </c>
      <c r="D92">
        <v>76</v>
      </c>
      <c r="E92">
        <v>2324</v>
      </c>
      <c r="F92">
        <v>1162</v>
      </c>
      <c r="G92">
        <v>412</v>
      </c>
      <c r="H92">
        <v>144</v>
      </c>
      <c r="I92">
        <v>50</v>
      </c>
      <c r="J92">
        <v>112</v>
      </c>
      <c r="K92">
        <v>155</v>
      </c>
      <c r="L92">
        <v>145</v>
      </c>
      <c r="M92" s="7">
        <v>0.46100000000000002</v>
      </c>
      <c r="N92" s="7">
        <v>0.78900000000000003</v>
      </c>
      <c r="O92">
        <v>901.6</v>
      </c>
      <c r="P92">
        <v>222.7</v>
      </c>
      <c r="Q92" t="s">
        <v>587</v>
      </c>
      <c r="R92">
        <v>59</v>
      </c>
      <c r="S92">
        <v>115</v>
      </c>
    </row>
    <row r="93" spans="1:19" x14ac:dyDescent="0.2">
      <c r="A93" t="s">
        <v>82</v>
      </c>
      <c r="B93" t="s">
        <v>342</v>
      </c>
      <c r="C93" t="s">
        <v>349</v>
      </c>
      <c r="D93">
        <v>80</v>
      </c>
      <c r="E93">
        <v>2776</v>
      </c>
      <c r="F93">
        <v>1219</v>
      </c>
      <c r="G93">
        <v>294</v>
      </c>
      <c r="H93">
        <v>286</v>
      </c>
      <c r="I93">
        <v>93</v>
      </c>
      <c r="J93">
        <v>57</v>
      </c>
      <c r="K93">
        <v>152</v>
      </c>
      <c r="L93">
        <v>101</v>
      </c>
      <c r="M93" s="7">
        <v>0.48899999999999999</v>
      </c>
      <c r="N93" s="7">
        <v>0.82699999999999996</v>
      </c>
      <c r="O93">
        <v>986.2</v>
      </c>
      <c r="P93">
        <v>123.9</v>
      </c>
      <c r="Q93" t="s">
        <v>587</v>
      </c>
      <c r="R93">
        <v>83</v>
      </c>
      <c r="S93">
        <v>56</v>
      </c>
    </row>
    <row r="94" spans="1:19" x14ac:dyDescent="0.2">
      <c r="A94" t="s">
        <v>78</v>
      </c>
      <c r="B94" t="s">
        <v>341</v>
      </c>
      <c r="C94" t="s">
        <v>340</v>
      </c>
      <c r="D94">
        <v>75</v>
      </c>
      <c r="E94">
        <v>2191</v>
      </c>
      <c r="F94">
        <v>1128</v>
      </c>
      <c r="G94">
        <v>721</v>
      </c>
      <c r="H94">
        <v>152</v>
      </c>
      <c r="I94">
        <v>73</v>
      </c>
      <c r="J94">
        <v>73</v>
      </c>
      <c r="K94">
        <v>0</v>
      </c>
      <c r="L94">
        <v>99</v>
      </c>
      <c r="M94" s="7">
        <v>0.66400000000000003</v>
      </c>
      <c r="N94" s="7">
        <v>0.71699999999999997</v>
      </c>
      <c r="O94">
        <v>683.8</v>
      </c>
      <c r="P94">
        <v>306.60000000000002</v>
      </c>
      <c r="Q94" t="s">
        <v>588</v>
      </c>
      <c r="R94">
        <v>85</v>
      </c>
      <c r="S94">
        <v>53</v>
      </c>
    </row>
    <row r="95" spans="1:19" x14ac:dyDescent="0.2">
      <c r="A95" t="s">
        <v>141</v>
      </c>
      <c r="B95" t="s">
        <v>368</v>
      </c>
      <c r="C95" t="s">
        <v>365</v>
      </c>
      <c r="D95">
        <v>72</v>
      </c>
      <c r="E95">
        <v>2019</v>
      </c>
      <c r="F95">
        <v>1088</v>
      </c>
      <c r="G95">
        <v>499</v>
      </c>
      <c r="H95">
        <v>183</v>
      </c>
      <c r="I95">
        <v>52</v>
      </c>
      <c r="J95">
        <v>129</v>
      </c>
      <c r="K95">
        <v>82</v>
      </c>
      <c r="L95">
        <v>124</v>
      </c>
      <c r="M95" s="7">
        <v>0.45800000000000002</v>
      </c>
      <c r="N95" s="7">
        <v>0.68500000000000005</v>
      </c>
      <c r="O95">
        <v>927</v>
      </c>
      <c r="P95">
        <v>229</v>
      </c>
      <c r="Q95" t="s">
        <v>589</v>
      </c>
      <c r="R95">
        <v>61</v>
      </c>
      <c r="S95">
        <v>80</v>
      </c>
    </row>
    <row r="96" spans="1:19" x14ac:dyDescent="0.2">
      <c r="A96" t="s">
        <v>137</v>
      </c>
      <c r="B96" t="s">
        <v>351</v>
      </c>
      <c r="C96" t="s">
        <v>333</v>
      </c>
      <c r="D96">
        <v>75</v>
      </c>
      <c r="E96">
        <v>2168</v>
      </c>
      <c r="F96">
        <v>1131</v>
      </c>
      <c r="G96">
        <v>332</v>
      </c>
      <c r="H96">
        <v>352</v>
      </c>
      <c r="I96">
        <v>73</v>
      </c>
      <c r="J96">
        <v>30</v>
      </c>
      <c r="K96">
        <v>88</v>
      </c>
      <c r="L96">
        <v>137</v>
      </c>
      <c r="M96" s="7">
        <v>0.502</v>
      </c>
      <c r="N96" s="7">
        <v>0.78700000000000003</v>
      </c>
      <c r="O96">
        <v>898.6</v>
      </c>
      <c r="P96">
        <v>178.9</v>
      </c>
      <c r="Q96" t="s">
        <v>589</v>
      </c>
      <c r="R96">
        <v>86</v>
      </c>
      <c r="S96">
        <v>92</v>
      </c>
    </row>
    <row r="97" spans="1:19" x14ac:dyDescent="0.2">
      <c r="A97" t="s">
        <v>180</v>
      </c>
      <c r="B97" t="s">
        <v>339</v>
      </c>
      <c r="C97" t="s">
        <v>330</v>
      </c>
      <c r="D97">
        <v>72</v>
      </c>
      <c r="E97">
        <v>2119</v>
      </c>
      <c r="F97">
        <v>1081</v>
      </c>
      <c r="G97">
        <v>384</v>
      </c>
      <c r="H97">
        <v>209</v>
      </c>
      <c r="I97">
        <v>33</v>
      </c>
      <c r="J97">
        <v>23</v>
      </c>
      <c r="K97">
        <v>107</v>
      </c>
      <c r="L97">
        <v>90</v>
      </c>
      <c r="M97" s="7">
        <v>0.51500000000000001</v>
      </c>
      <c r="N97" s="7">
        <v>0.79</v>
      </c>
      <c r="O97">
        <v>744.1</v>
      </c>
      <c r="P97">
        <v>262.8</v>
      </c>
      <c r="Q97" t="s">
        <v>590</v>
      </c>
      <c r="R97">
        <v>138</v>
      </c>
      <c r="S97">
        <v>113</v>
      </c>
    </row>
    <row r="98" spans="1:19" x14ac:dyDescent="0.2">
      <c r="A98" t="s">
        <v>107</v>
      </c>
      <c r="B98" t="s">
        <v>378</v>
      </c>
      <c r="C98" t="s">
        <v>330</v>
      </c>
      <c r="D98">
        <v>77</v>
      </c>
      <c r="E98">
        <v>2243</v>
      </c>
      <c r="F98">
        <v>1144</v>
      </c>
      <c r="G98">
        <v>501</v>
      </c>
      <c r="H98">
        <v>179</v>
      </c>
      <c r="I98">
        <v>68</v>
      </c>
      <c r="J98">
        <v>74</v>
      </c>
      <c r="K98">
        <v>193</v>
      </c>
      <c r="L98">
        <v>129</v>
      </c>
      <c r="M98" s="7">
        <v>0.45400000000000001</v>
      </c>
      <c r="N98" s="7">
        <v>0.745</v>
      </c>
      <c r="O98">
        <v>925.9</v>
      </c>
      <c r="P98">
        <v>148</v>
      </c>
      <c r="Q98" t="s">
        <v>591</v>
      </c>
      <c r="R98">
        <v>67</v>
      </c>
      <c r="S98">
        <v>86</v>
      </c>
    </row>
    <row r="99" spans="1:19" x14ac:dyDescent="0.2">
      <c r="A99" t="s">
        <v>253</v>
      </c>
      <c r="B99" t="s">
        <v>334</v>
      </c>
      <c r="C99" t="s">
        <v>359</v>
      </c>
      <c r="D99">
        <v>72</v>
      </c>
      <c r="E99">
        <v>1853</v>
      </c>
      <c r="F99">
        <v>1061</v>
      </c>
      <c r="G99">
        <v>392</v>
      </c>
      <c r="H99">
        <v>167</v>
      </c>
      <c r="I99">
        <v>54</v>
      </c>
      <c r="J99">
        <v>30</v>
      </c>
      <c r="K99">
        <v>72</v>
      </c>
      <c r="L99">
        <v>133</v>
      </c>
      <c r="M99" s="7">
        <v>0.47399999999999998</v>
      </c>
      <c r="N99" s="7">
        <v>0.70199999999999996</v>
      </c>
      <c r="O99">
        <v>844.6</v>
      </c>
      <c r="P99">
        <v>268.2</v>
      </c>
      <c r="Q99" t="s">
        <v>592</v>
      </c>
      <c r="R99">
        <v>193</v>
      </c>
      <c r="S99">
        <v>144</v>
      </c>
    </row>
    <row r="100" spans="1:19" x14ac:dyDescent="0.2">
      <c r="A100" t="s">
        <v>228</v>
      </c>
      <c r="B100" t="s">
        <v>385</v>
      </c>
      <c r="C100" t="s">
        <v>338</v>
      </c>
      <c r="D100">
        <v>72</v>
      </c>
      <c r="E100">
        <v>1936</v>
      </c>
      <c r="F100">
        <v>1049</v>
      </c>
      <c r="G100">
        <v>270</v>
      </c>
      <c r="H100">
        <v>114</v>
      </c>
      <c r="I100">
        <v>48</v>
      </c>
      <c r="J100">
        <v>14</v>
      </c>
      <c r="K100">
        <v>133</v>
      </c>
      <c r="L100">
        <v>104</v>
      </c>
      <c r="M100" s="7">
        <v>0.45500000000000002</v>
      </c>
      <c r="N100" s="7">
        <v>0.85199999999999998</v>
      </c>
      <c r="O100">
        <v>801</v>
      </c>
      <c r="P100">
        <v>219.6</v>
      </c>
      <c r="Q100" t="s">
        <v>593</v>
      </c>
      <c r="R100">
        <v>98</v>
      </c>
    </row>
    <row r="101" spans="1:19" x14ac:dyDescent="0.2">
      <c r="A101" t="s">
        <v>220</v>
      </c>
      <c r="B101" t="s">
        <v>396</v>
      </c>
      <c r="C101" t="s">
        <v>338</v>
      </c>
      <c r="D101">
        <v>73</v>
      </c>
      <c r="E101">
        <v>1929</v>
      </c>
      <c r="F101">
        <v>1060</v>
      </c>
      <c r="G101">
        <v>203</v>
      </c>
      <c r="H101">
        <v>135</v>
      </c>
      <c r="I101">
        <v>48</v>
      </c>
      <c r="J101">
        <v>41</v>
      </c>
      <c r="K101">
        <v>145</v>
      </c>
      <c r="L101">
        <v>108</v>
      </c>
      <c r="M101" s="7">
        <v>0.442</v>
      </c>
      <c r="N101" s="7">
        <v>0.82399999999999995</v>
      </c>
      <c r="O101">
        <v>754.4</v>
      </c>
      <c r="P101">
        <v>301.10000000000002</v>
      </c>
      <c r="Q101" t="s">
        <v>594</v>
      </c>
      <c r="S101">
        <v>176</v>
      </c>
    </row>
    <row r="102" spans="1:19" x14ac:dyDescent="0.2">
      <c r="A102" t="s">
        <v>176</v>
      </c>
      <c r="B102" t="s">
        <v>373</v>
      </c>
      <c r="C102" t="s">
        <v>333</v>
      </c>
      <c r="D102">
        <v>74</v>
      </c>
      <c r="E102">
        <v>2016</v>
      </c>
      <c r="F102">
        <v>1060</v>
      </c>
      <c r="G102">
        <v>226</v>
      </c>
      <c r="H102">
        <v>314</v>
      </c>
      <c r="I102">
        <v>87</v>
      </c>
      <c r="J102">
        <v>14</v>
      </c>
      <c r="K102">
        <v>115</v>
      </c>
      <c r="L102">
        <v>166</v>
      </c>
      <c r="M102" s="7">
        <v>0.46400000000000002</v>
      </c>
      <c r="N102" s="7">
        <v>0.81699999999999995</v>
      </c>
      <c r="O102">
        <v>830.5</v>
      </c>
      <c r="P102">
        <v>213.4</v>
      </c>
      <c r="Q102" t="s">
        <v>523</v>
      </c>
      <c r="R102">
        <v>195</v>
      </c>
      <c r="S102">
        <v>177</v>
      </c>
    </row>
    <row r="103" spans="1:19" x14ac:dyDescent="0.2">
      <c r="A103" t="s">
        <v>126</v>
      </c>
      <c r="B103" t="s">
        <v>334</v>
      </c>
      <c r="C103" t="s">
        <v>335</v>
      </c>
      <c r="D103">
        <v>75</v>
      </c>
      <c r="E103">
        <v>2177</v>
      </c>
      <c r="F103">
        <v>1072</v>
      </c>
      <c r="G103">
        <v>264</v>
      </c>
      <c r="H103">
        <v>287</v>
      </c>
      <c r="I103">
        <v>75</v>
      </c>
      <c r="J103">
        <v>24</v>
      </c>
      <c r="K103">
        <v>124</v>
      </c>
      <c r="L103">
        <v>106</v>
      </c>
      <c r="M103" s="7">
        <v>0.51200000000000001</v>
      </c>
      <c r="N103" s="7">
        <v>0.85799999999999998</v>
      </c>
      <c r="O103">
        <v>788.7</v>
      </c>
      <c r="P103">
        <v>163.6</v>
      </c>
      <c r="Q103" t="s">
        <v>595</v>
      </c>
      <c r="R103">
        <v>127</v>
      </c>
      <c r="S103">
        <v>154</v>
      </c>
    </row>
    <row r="104" spans="1:19" x14ac:dyDescent="0.2">
      <c r="A104" t="s">
        <v>88</v>
      </c>
      <c r="B104" t="s">
        <v>377</v>
      </c>
      <c r="C104" t="s">
        <v>340</v>
      </c>
      <c r="D104">
        <v>75</v>
      </c>
      <c r="E104">
        <v>2263</v>
      </c>
      <c r="F104">
        <v>1060</v>
      </c>
      <c r="G104">
        <v>564</v>
      </c>
      <c r="H104">
        <v>207</v>
      </c>
      <c r="I104">
        <v>75</v>
      </c>
      <c r="J104">
        <v>72</v>
      </c>
      <c r="K104">
        <v>113</v>
      </c>
      <c r="L104">
        <v>109</v>
      </c>
      <c r="M104" s="7">
        <v>0.50600000000000001</v>
      </c>
      <c r="N104" s="7">
        <v>0.75900000000000001</v>
      </c>
      <c r="O104">
        <v>786.9</v>
      </c>
      <c r="P104">
        <v>198.5</v>
      </c>
      <c r="Q104" t="s">
        <v>596</v>
      </c>
      <c r="R104">
        <v>57</v>
      </c>
      <c r="S104">
        <v>78</v>
      </c>
    </row>
    <row r="105" spans="1:19" x14ac:dyDescent="0.2">
      <c r="A105" t="s">
        <v>120</v>
      </c>
      <c r="B105" t="s">
        <v>351</v>
      </c>
      <c r="C105" t="s">
        <v>359</v>
      </c>
      <c r="D105">
        <v>75</v>
      </c>
      <c r="E105">
        <v>2282</v>
      </c>
      <c r="F105">
        <v>1047</v>
      </c>
      <c r="G105">
        <v>426</v>
      </c>
      <c r="H105">
        <v>181</v>
      </c>
      <c r="I105">
        <v>69</v>
      </c>
      <c r="J105">
        <v>44</v>
      </c>
      <c r="K105">
        <v>100</v>
      </c>
      <c r="L105">
        <v>75</v>
      </c>
      <c r="M105" s="7">
        <v>0.47399999999999998</v>
      </c>
      <c r="N105" s="7">
        <v>0.86499999999999999</v>
      </c>
      <c r="O105">
        <v>820.2</v>
      </c>
      <c r="P105">
        <v>195.9</v>
      </c>
      <c r="Q105" t="s">
        <v>582</v>
      </c>
      <c r="R105">
        <v>191</v>
      </c>
      <c r="S105">
        <v>109</v>
      </c>
    </row>
    <row r="106" spans="1:19" x14ac:dyDescent="0.2">
      <c r="A106" t="s">
        <v>161</v>
      </c>
      <c r="B106" t="s">
        <v>396</v>
      </c>
      <c r="C106" t="s">
        <v>382</v>
      </c>
      <c r="D106">
        <v>74</v>
      </c>
      <c r="E106">
        <v>2018</v>
      </c>
      <c r="F106">
        <v>1031</v>
      </c>
      <c r="G106">
        <v>428</v>
      </c>
      <c r="H106">
        <v>204</v>
      </c>
      <c r="I106">
        <v>49</v>
      </c>
      <c r="J106">
        <v>33</v>
      </c>
      <c r="K106">
        <v>116</v>
      </c>
      <c r="L106">
        <v>127</v>
      </c>
      <c r="M106" s="7">
        <v>0.48099999999999998</v>
      </c>
      <c r="N106" s="7">
        <v>0.85399999999999998</v>
      </c>
      <c r="O106">
        <v>776.3</v>
      </c>
      <c r="P106">
        <v>197</v>
      </c>
      <c r="Q106" t="s">
        <v>597</v>
      </c>
      <c r="R106">
        <v>118</v>
      </c>
    </row>
    <row r="107" spans="1:19" x14ac:dyDescent="0.2">
      <c r="A107" t="s">
        <v>121</v>
      </c>
      <c r="B107" t="s">
        <v>345</v>
      </c>
      <c r="C107" t="s">
        <v>333</v>
      </c>
      <c r="D107">
        <v>79</v>
      </c>
      <c r="E107">
        <v>2346</v>
      </c>
      <c r="F107">
        <v>1105</v>
      </c>
      <c r="G107">
        <v>423</v>
      </c>
      <c r="H107">
        <v>299</v>
      </c>
      <c r="I107">
        <v>95</v>
      </c>
      <c r="J107">
        <v>16</v>
      </c>
      <c r="K107">
        <v>160</v>
      </c>
      <c r="L107">
        <v>128</v>
      </c>
      <c r="M107" s="7">
        <v>0.44700000000000001</v>
      </c>
      <c r="N107" s="7">
        <v>0.78600000000000003</v>
      </c>
      <c r="O107">
        <v>851.7</v>
      </c>
      <c r="P107">
        <v>233.6</v>
      </c>
      <c r="Q107" t="s">
        <v>598</v>
      </c>
      <c r="R107">
        <v>147</v>
      </c>
      <c r="S107">
        <v>151</v>
      </c>
    </row>
    <row r="108" spans="1:19" x14ac:dyDescent="0.2">
      <c r="A108" t="s">
        <v>173</v>
      </c>
      <c r="B108" t="s">
        <v>332</v>
      </c>
      <c r="C108" t="s">
        <v>371</v>
      </c>
      <c r="D108">
        <v>76</v>
      </c>
      <c r="E108">
        <v>2219</v>
      </c>
      <c r="F108">
        <v>1059</v>
      </c>
      <c r="G108">
        <v>300</v>
      </c>
      <c r="H108">
        <v>241</v>
      </c>
      <c r="I108">
        <v>67</v>
      </c>
      <c r="J108">
        <v>25</v>
      </c>
      <c r="K108">
        <v>147</v>
      </c>
      <c r="L108">
        <v>143</v>
      </c>
      <c r="M108" s="7">
        <v>0.46200000000000002</v>
      </c>
      <c r="N108" s="7">
        <v>0.80200000000000005</v>
      </c>
      <c r="O108">
        <v>786</v>
      </c>
      <c r="P108">
        <v>231.6</v>
      </c>
      <c r="Q108" t="s">
        <v>599</v>
      </c>
      <c r="R108">
        <v>180</v>
      </c>
      <c r="S108">
        <v>166</v>
      </c>
    </row>
    <row r="109" spans="1:19" x14ac:dyDescent="0.2">
      <c r="A109" t="s">
        <v>140</v>
      </c>
      <c r="B109" t="s">
        <v>339</v>
      </c>
      <c r="C109" t="s">
        <v>359</v>
      </c>
      <c r="D109">
        <v>73</v>
      </c>
      <c r="E109">
        <v>2205</v>
      </c>
      <c r="F109">
        <v>1017</v>
      </c>
      <c r="G109">
        <v>291</v>
      </c>
      <c r="H109">
        <v>193</v>
      </c>
      <c r="I109">
        <v>55</v>
      </c>
      <c r="J109">
        <v>33</v>
      </c>
      <c r="K109">
        <v>152</v>
      </c>
      <c r="L109">
        <v>80</v>
      </c>
      <c r="M109" s="7">
        <v>0.48599999999999999</v>
      </c>
      <c r="N109" s="7">
        <v>0.86</v>
      </c>
      <c r="O109">
        <v>735.5</v>
      </c>
      <c r="P109">
        <v>174.5</v>
      </c>
      <c r="Q109" t="s">
        <v>600</v>
      </c>
      <c r="R109">
        <v>126</v>
      </c>
      <c r="S109">
        <v>186</v>
      </c>
    </row>
    <row r="110" spans="1:19" x14ac:dyDescent="0.2">
      <c r="A110" t="s">
        <v>254</v>
      </c>
      <c r="B110" t="s">
        <v>364</v>
      </c>
      <c r="C110" t="s">
        <v>371</v>
      </c>
      <c r="D110">
        <v>73</v>
      </c>
      <c r="E110">
        <v>1838</v>
      </c>
      <c r="F110">
        <v>1017</v>
      </c>
      <c r="G110">
        <v>321</v>
      </c>
      <c r="H110">
        <v>120</v>
      </c>
      <c r="I110">
        <v>43</v>
      </c>
      <c r="J110">
        <v>18</v>
      </c>
      <c r="K110">
        <v>80</v>
      </c>
      <c r="L110">
        <v>125</v>
      </c>
      <c r="M110" s="7">
        <v>0.442</v>
      </c>
      <c r="N110" s="7">
        <v>0.85</v>
      </c>
      <c r="O110">
        <v>748</v>
      </c>
      <c r="P110">
        <v>324.39999999999998</v>
      </c>
      <c r="Q110" t="s">
        <v>601</v>
      </c>
      <c r="R110">
        <v>188</v>
      </c>
      <c r="S110">
        <v>125</v>
      </c>
    </row>
    <row r="111" spans="1:19" x14ac:dyDescent="0.2">
      <c r="A111" t="s">
        <v>146</v>
      </c>
      <c r="B111" t="s">
        <v>348</v>
      </c>
      <c r="C111" t="s">
        <v>365</v>
      </c>
      <c r="D111">
        <v>76</v>
      </c>
      <c r="E111">
        <v>2453</v>
      </c>
      <c r="F111">
        <v>1051</v>
      </c>
      <c r="G111">
        <v>507</v>
      </c>
      <c r="H111">
        <v>115</v>
      </c>
      <c r="I111">
        <v>44</v>
      </c>
      <c r="J111">
        <v>61</v>
      </c>
      <c r="K111">
        <v>155</v>
      </c>
      <c r="L111">
        <v>93</v>
      </c>
      <c r="M111" s="7">
        <v>0.45</v>
      </c>
      <c r="N111" s="7">
        <v>0.79</v>
      </c>
      <c r="O111">
        <v>826</v>
      </c>
      <c r="P111">
        <v>193.1</v>
      </c>
      <c r="Q111" t="s">
        <v>602</v>
      </c>
      <c r="R111">
        <v>115</v>
      </c>
      <c r="S111">
        <v>129</v>
      </c>
    </row>
    <row r="112" spans="1:19" x14ac:dyDescent="0.2">
      <c r="A112" t="s">
        <v>92</v>
      </c>
      <c r="B112" t="s">
        <v>334</v>
      </c>
      <c r="C112" t="s">
        <v>359</v>
      </c>
      <c r="D112">
        <v>76</v>
      </c>
      <c r="E112">
        <v>2413</v>
      </c>
      <c r="F112">
        <v>1055</v>
      </c>
      <c r="G112">
        <v>361</v>
      </c>
      <c r="H112">
        <v>186</v>
      </c>
      <c r="I112">
        <v>94</v>
      </c>
      <c r="J112">
        <v>73</v>
      </c>
      <c r="K112">
        <v>100</v>
      </c>
      <c r="L112">
        <v>118</v>
      </c>
      <c r="M112" s="7">
        <v>0.499</v>
      </c>
      <c r="N112" s="7">
        <v>0.83</v>
      </c>
      <c r="O112">
        <v>807.7</v>
      </c>
      <c r="P112">
        <v>179.4</v>
      </c>
      <c r="Q112" t="s">
        <v>603</v>
      </c>
      <c r="R112">
        <v>84</v>
      </c>
      <c r="S112">
        <v>82</v>
      </c>
    </row>
    <row r="113" spans="1:19" x14ac:dyDescent="0.2">
      <c r="A113" t="s">
        <v>190</v>
      </c>
      <c r="B113" t="s">
        <v>364</v>
      </c>
      <c r="C113" t="s">
        <v>338</v>
      </c>
      <c r="D113">
        <v>75</v>
      </c>
      <c r="E113">
        <v>1884</v>
      </c>
      <c r="F113">
        <v>1010</v>
      </c>
      <c r="G113">
        <v>326</v>
      </c>
      <c r="H113">
        <v>141</v>
      </c>
      <c r="I113">
        <v>53</v>
      </c>
      <c r="J113">
        <v>7</v>
      </c>
      <c r="K113">
        <v>120</v>
      </c>
      <c r="L113">
        <v>56</v>
      </c>
      <c r="M113" s="7">
        <v>0.45400000000000001</v>
      </c>
      <c r="N113" s="7">
        <v>0.84</v>
      </c>
      <c r="O113">
        <v>770.1</v>
      </c>
      <c r="P113">
        <v>227.1</v>
      </c>
      <c r="Q113" t="s">
        <v>604</v>
      </c>
      <c r="R113">
        <v>190</v>
      </c>
      <c r="S113">
        <v>167</v>
      </c>
    </row>
    <row r="114" spans="1:19" x14ac:dyDescent="0.2">
      <c r="A114" t="s">
        <v>192</v>
      </c>
      <c r="B114" t="s">
        <v>362</v>
      </c>
      <c r="C114" t="s">
        <v>359</v>
      </c>
      <c r="D114">
        <v>75</v>
      </c>
      <c r="E114">
        <v>2094</v>
      </c>
      <c r="F114">
        <v>1011</v>
      </c>
      <c r="G114">
        <v>294</v>
      </c>
      <c r="H114">
        <v>132</v>
      </c>
      <c r="I114">
        <v>61</v>
      </c>
      <c r="J114">
        <v>48</v>
      </c>
      <c r="K114">
        <v>144</v>
      </c>
      <c r="L114">
        <v>106</v>
      </c>
      <c r="M114" s="7">
        <v>0.44800000000000001</v>
      </c>
      <c r="N114" s="7">
        <v>0.754</v>
      </c>
      <c r="O114">
        <v>875.7</v>
      </c>
      <c r="P114">
        <v>109.2</v>
      </c>
      <c r="Q114" t="s">
        <v>605</v>
      </c>
      <c r="R114">
        <v>158</v>
      </c>
      <c r="S114">
        <v>136</v>
      </c>
    </row>
    <row r="115" spans="1:19" x14ac:dyDescent="0.2">
      <c r="A115" t="s">
        <v>307</v>
      </c>
      <c r="B115" t="s">
        <v>361</v>
      </c>
      <c r="C115" t="s">
        <v>335</v>
      </c>
      <c r="D115">
        <v>18</v>
      </c>
      <c r="E115">
        <v>395</v>
      </c>
      <c r="F115">
        <v>243</v>
      </c>
      <c r="G115">
        <v>56</v>
      </c>
      <c r="H115">
        <v>33</v>
      </c>
      <c r="I115">
        <v>15</v>
      </c>
      <c r="J115">
        <v>1</v>
      </c>
      <c r="K115">
        <v>25</v>
      </c>
      <c r="L115">
        <v>32</v>
      </c>
      <c r="M115" s="7">
        <v>0.46</v>
      </c>
      <c r="N115" s="7">
        <v>0.78500000000000003</v>
      </c>
      <c r="O115">
        <v>197.7</v>
      </c>
      <c r="P115">
        <v>46</v>
      </c>
      <c r="Q115" t="s">
        <v>606</v>
      </c>
      <c r="R115">
        <v>149</v>
      </c>
      <c r="S115">
        <v>108</v>
      </c>
    </row>
    <row r="116" spans="1:19" x14ac:dyDescent="0.2">
      <c r="A116" t="s">
        <v>186</v>
      </c>
      <c r="B116" t="s">
        <v>357</v>
      </c>
      <c r="C116" t="s">
        <v>367</v>
      </c>
      <c r="D116">
        <v>71</v>
      </c>
      <c r="E116">
        <v>2158</v>
      </c>
      <c r="F116">
        <v>956</v>
      </c>
      <c r="G116">
        <v>465</v>
      </c>
      <c r="H116">
        <v>137</v>
      </c>
      <c r="I116">
        <v>67</v>
      </c>
      <c r="J116">
        <v>64</v>
      </c>
      <c r="K116">
        <v>96</v>
      </c>
      <c r="L116">
        <v>114</v>
      </c>
      <c r="M116" s="7">
        <v>0.45</v>
      </c>
      <c r="N116" s="7">
        <v>0.70099999999999996</v>
      </c>
      <c r="O116">
        <v>780.3</v>
      </c>
      <c r="P116">
        <v>225</v>
      </c>
      <c r="Q116" t="s">
        <v>607</v>
      </c>
      <c r="R116">
        <v>179</v>
      </c>
      <c r="S116">
        <v>173</v>
      </c>
    </row>
    <row r="117" spans="1:19" x14ac:dyDescent="0.2">
      <c r="A117" t="s">
        <v>135</v>
      </c>
      <c r="B117" t="s">
        <v>358</v>
      </c>
      <c r="C117" t="s">
        <v>333</v>
      </c>
      <c r="D117">
        <v>70</v>
      </c>
      <c r="E117">
        <v>1922</v>
      </c>
      <c r="F117">
        <v>940</v>
      </c>
      <c r="G117">
        <v>257</v>
      </c>
      <c r="H117">
        <v>300</v>
      </c>
      <c r="I117">
        <v>108</v>
      </c>
      <c r="J117">
        <v>49</v>
      </c>
      <c r="K117">
        <v>138</v>
      </c>
      <c r="L117">
        <v>167</v>
      </c>
      <c r="M117" s="7">
        <v>0.43</v>
      </c>
      <c r="N117" s="7">
        <v>0.85099999999999998</v>
      </c>
      <c r="O117">
        <v>779.6</v>
      </c>
      <c r="P117">
        <v>154.6</v>
      </c>
      <c r="Q117" t="s">
        <v>608</v>
      </c>
      <c r="R117">
        <v>131</v>
      </c>
      <c r="S117">
        <v>135</v>
      </c>
    </row>
    <row r="118" spans="1:19" x14ac:dyDescent="0.2">
      <c r="A118" t="s">
        <v>160</v>
      </c>
      <c r="B118" t="s">
        <v>366</v>
      </c>
      <c r="C118" t="s">
        <v>333</v>
      </c>
      <c r="D118">
        <v>75</v>
      </c>
      <c r="E118">
        <v>2405</v>
      </c>
      <c r="F118">
        <v>997</v>
      </c>
      <c r="G118">
        <v>231</v>
      </c>
      <c r="H118">
        <v>471</v>
      </c>
      <c r="I118">
        <v>80</v>
      </c>
      <c r="J118">
        <v>10</v>
      </c>
      <c r="K118">
        <v>96</v>
      </c>
      <c r="L118">
        <v>149</v>
      </c>
      <c r="M118" s="7">
        <v>0.46700000000000003</v>
      </c>
      <c r="N118" s="7">
        <v>0.81</v>
      </c>
      <c r="O118">
        <v>765.8</v>
      </c>
      <c r="P118">
        <v>229.3</v>
      </c>
      <c r="Q118" t="s">
        <v>609</v>
      </c>
      <c r="R118">
        <v>182</v>
      </c>
      <c r="S118">
        <v>97</v>
      </c>
    </row>
    <row r="119" spans="1:19" x14ac:dyDescent="0.2">
      <c r="A119" t="s">
        <v>227</v>
      </c>
      <c r="B119" t="s">
        <v>369</v>
      </c>
      <c r="C119" t="s">
        <v>349</v>
      </c>
      <c r="D119">
        <v>76</v>
      </c>
      <c r="E119">
        <v>2048</v>
      </c>
      <c r="F119">
        <v>1009</v>
      </c>
      <c r="G119">
        <v>340</v>
      </c>
      <c r="H119">
        <v>302</v>
      </c>
      <c r="I119">
        <v>53</v>
      </c>
      <c r="J119">
        <v>20</v>
      </c>
      <c r="K119">
        <v>57</v>
      </c>
      <c r="L119">
        <v>149</v>
      </c>
      <c r="M119" s="7">
        <v>0.497</v>
      </c>
      <c r="N119" s="7">
        <v>0.76500000000000001</v>
      </c>
      <c r="O119">
        <v>810</v>
      </c>
      <c r="P119">
        <v>191.9</v>
      </c>
      <c r="Q119" t="s">
        <v>610</v>
      </c>
      <c r="R119">
        <v>123</v>
      </c>
      <c r="S119">
        <v>161</v>
      </c>
    </row>
    <row r="120" spans="1:19" x14ac:dyDescent="0.2">
      <c r="A120" t="s">
        <v>217</v>
      </c>
      <c r="B120" t="s">
        <v>364</v>
      </c>
      <c r="C120" t="s">
        <v>333</v>
      </c>
      <c r="D120">
        <v>78</v>
      </c>
      <c r="E120">
        <v>1887</v>
      </c>
      <c r="F120">
        <v>1028</v>
      </c>
      <c r="G120">
        <v>262</v>
      </c>
      <c r="H120">
        <v>237</v>
      </c>
      <c r="I120">
        <v>81</v>
      </c>
      <c r="J120">
        <v>26</v>
      </c>
      <c r="K120">
        <v>91</v>
      </c>
      <c r="L120">
        <v>154</v>
      </c>
      <c r="M120" s="7">
        <v>0.443</v>
      </c>
      <c r="N120" s="7">
        <v>0.80100000000000005</v>
      </c>
      <c r="O120">
        <v>864.8</v>
      </c>
      <c r="P120">
        <v>213.2</v>
      </c>
      <c r="Q120" t="s">
        <v>611</v>
      </c>
      <c r="R120">
        <v>164</v>
      </c>
      <c r="S120">
        <v>168</v>
      </c>
    </row>
    <row r="121" spans="1:19" x14ac:dyDescent="0.2">
      <c r="A121" t="s">
        <v>166</v>
      </c>
      <c r="B121" t="s">
        <v>351</v>
      </c>
      <c r="C121" t="s">
        <v>371</v>
      </c>
      <c r="D121">
        <v>74</v>
      </c>
      <c r="E121">
        <v>2059</v>
      </c>
      <c r="F121">
        <v>973</v>
      </c>
      <c r="G121">
        <v>265</v>
      </c>
      <c r="H121">
        <v>181</v>
      </c>
      <c r="I121">
        <v>67</v>
      </c>
      <c r="J121">
        <v>29</v>
      </c>
      <c r="K121">
        <v>151</v>
      </c>
      <c r="L121">
        <v>73</v>
      </c>
      <c r="M121" s="7">
        <v>0.44600000000000001</v>
      </c>
      <c r="N121" s="7">
        <v>0.80700000000000005</v>
      </c>
      <c r="O121">
        <v>790.9</v>
      </c>
      <c r="P121">
        <v>144.4</v>
      </c>
      <c r="Q121" t="s">
        <v>599</v>
      </c>
      <c r="R121">
        <v>163</v>
      </c>
      <c r="S121">
        <v>119</v>
      </c>
    </row>
    <row r="122" spans="1:19" x14ac:dyDescent="0.2">
      <c r="A122" t="s">
        <v>155</v>
      </c>
      <c r="B122" t="s">
        <v>369</v>
      </c>
      <c r="C122" t="s">
        <v>333</v>
      </c>
      <c r="D122">
        <v>74</v>
      </c>
      <c r="E122">
        <v>1926</v>
      </c>
      <c r="F122">
        <v>967</v>
      </c>
      <c r="G122">
        <v>255</v>
      </c>
      <c r="H122">
        <v>314</v>
      </c>
      <c r="I122">
        <v>87</v>
      </c>
      <c r="J122">
        <v>26</v>
      </c>
      <c r="K122">
        <v>138</v>
      </c>
      <c r="L122">
        <v>154</v>
      </c>
      <c r="M122" s="7">
        <v>0.46600000000000003</v>
      </c>
      <c r="N122" s="7">
        <v>0.79800000000000004</v>
      </c>
      <c r="O122">
        <v>776.8</v>
      </c>
      <c r="P122">
        <v>131.6</v>
      </c>
      <c r="Q122" t="s">
        <v>586</v>
      </c>
      <c r="R122">
        <v>75</v>
      </c>
      <c r="S122">
        <v>116</v>
      </c>
    </row>
    <row r="123" spans="1:19" x14ac:dyDescent="0.2">
      <c r="A123" t="s">
        <v>116</v>
      </c>
      <c r="B123" t="s">
        <v>385</v>
      </c>
      <c r="C123" t="s">
        <v>338</v>
      </c>
      <c r="D123">
        <v>75</v>
      </c>
      <c r="E123">
        <v>2567</v>
      </c>
      <c r="F123">
        <v>978</v>
      </c>
      <c r="G123">
        <v>438</v>
      </c>
      <c r="H123">
        <v>114</v>
      </c>
      <c r="I123">
        <v>65</v>
      </c>
      <c r="J123">
        <v>79</v>
      </c>
      <c r="K123">
        <v>144</v>
      </c>
      <c r="L123">
        <v>69</v>
      </c>
      <c r="M123" s="7">
        <v>0.44700000000000001</v>
      </c>
      <c r="N123" s="7">
        <v>0.81399999999999995</v>
      </c>
      <c r="O123">
        <v>791.4</v>
      </c>
      <c r="P123">
        <v>155.4</v>
      </c>
      <c r="Q123" t="s">
        <v>612</v>
      </c>
      <c r="R123">
        <v>187</v>
      </c>
      <c r="S123">
        <v>123</v>
      </c>
    </row>
    <row r="124" spans="1:19" x14ac:dyDescent="0.2">
      <c r="A124" t="s">
        <v>250</v>
      </c>
      <c r="B124" t="s">
        <v>343</v>
      </c>
      <c r="C124" t="s">
        <v>333</v>
      </c>
      <c r="D124">
        <v>72</v>
      </c>
      <c r="E124">
        <v>1707</v>
      </c>
      <c r="F124">
        <v>944</v>
      </c>
      <c r="G124">
        <v>155</v>
      </c>
      <c r="H124">
        <v>204</v>
      </c>
      <c r="I124">
        <v>37</v>
      </c>
      <c r="J124">
        <v>8</v>
      </c>
      <c r="K124">
        <v>151</v>
      </c>
      <c r="L124">
        <v>91</v>
      </c>
      <c r="M124" s="7">
        <v>0.442</v>
      </c>
      <c r="N124" s="7">
        <v>0.90100000000000002</v>
      </c>
      <c r="O124">
        <v>777.1</v>
      </c>
      <c r="P124">
        <v>117.7</v>
      </c>
      <c r="Q124" t="s">
        <v>597</v>
      </c>
      <c r="R124">
        <v>146</v>
      </c>
      <c r="S124">
        <v>95</v>
      </c>
    </row>
    <row r="125" spans="1:19" x14ac:dyDescent="0.2">
      <c r="A125" t="s">
        <v>118</v>
      </c>
      <c r="B125" t="s">
        <v>348</v>
      </c>
      <c r="C125" t="s">
        <v>333</v>
      </c>
      <c r="D125">
        <v>73</v>
      </c>
      <c r="E125">
        <v>2370</v>
      </c>
      <c r="F125">
        <v>957</v>
      </c>
      <c r="G125">
        <v>245</v>
      </c>
      <c r="H125">
        <v>397</v>
      </c>
      <c r="I125">
        <v>92</v>
      </c>
      <c r="J125">
        <v>33</v>
      </c>
      <c r="K125">
        <v>178</v>
      </c>
      <c r="L125">
        <v>103</v>
      </c>
      <c r="M125" s="7">
        <v>0.39800000000000002</v>
      </c>
      <c r="N125" s="7">
        <v>0.83899999999999997</v>
      </c>
      <c r="O125">
        <v>770.1</v>
      </c>
      <c r="P125">
        <v>197.8</v>
      </c>
      <c r="Q125" t="s">
        <v>523</v>
      </c>
      <c r="R125">
        <v>183</v>
      </c>
      <c r="S125">
        <v>157</v>
      </c>
    </row>
    <row r="126" spans="1:19" x14ac:dyDescent="0.2">
      <c r="A126" t="s">
        <v>145</v>
      </c>
      <c r="B126" t="s">
        <v>341</v>
      </c>
      <c r="C126" t="s">
        <v>338</v>
      </c>
      <c r="D126">
        <v>75</v>
      </c>
      <c r="E126">
        <v>2200</v>
      </c>
      <c r="F126">
        <v>958</v>
      </c>
      <c r="G126">
        <v>356</v>
      </c>
      <c r="H126">
        <v>142</v>
      </c>
      <c r="I126">
        <v>72</v>
      </c>
      <c r="J126">
        <v>96</v>
      </c>
      <c r="K126">
        <v>101</v>
      </c>
      <c r="L126">
        <v>109</v>
      </c>
      <c r="M126" s="7">
        <v>0.47899999999999998</v>
      </c>
      <c r="N126" s="7">
        <v>0.71699999999999997</v>
      </c>
      <c r="O126">
        <v>728.3</v>
      </c>
      <c r="P126">
        <v>222.1</v>
      </c>
      <c r="Q126" t="s">
        <v>613</v>
      </c>
      <c r="R126">
        <v>154</v>
      </c>
      <c r="S126">
        <v>164</v>
      </c>
    </row>
    <row r="127" spans="1:19" x14ac:dyDescent="0.2">
      <c r="A127" t="s">
        <v>165</v>
      </c>
      <c r="B127" t="s">
        <v>373</v>
      </c>
      <c r="C127" t="s">
        <v>338</v>
      </c>
      <c r="D127">
        <v>75</v>
      </c>
      <c r="E127">
        <v>2276</v>
      </c>
      <c r="F127">
        <v>957</v>
      </c>
      <c r="G127">
        <v>311</v>
      </c>
      <c r="H127">
        <v>81</v>
      </c>
      <c r="I127">
        <v>54</v>
      </c>
      <c r="J127">
        <v>29</v>
      </c>
      <c r="K127">
        <v>142</v>
      </c>
      <c r="L127">
        <v>52</v>
      </c>
      <c r="M127" s="7">
        <v>0.51900000000000002</v>
      </c>
      <c r="N127" s="7">
        <v>0.73299999999999998</v>
      </c>
      <c r="O127">
        <v>709</v>
      </c>
      <c r="P127">
        <v>107.8</v>
      </c>
      <c r="Q127" t="s">
        <v>614</v>
      </c>
      <c r="R127">
        <v>129</v>
      </c>
      <c r="S127">
        <v>170</v>
      </c>
    </row>
    <row r="128" spans="1:19" x14ac:dyDescent="0.2">
      <c r="A128" t="s">
        <v>233</v>
      </c>
      <c r="B128" t="s">
        <v>329</v>
      </c>
      <c r="C128" t="s">
        <v>371</v>
      </c>
      <c r="D128">
        <v>74</v>
      </c>
      <c r="E128">
        <v>1749</v>
      </c>
      <c r="F128">
        <v>941</v>
      </c>
      <c r="G128">
        <v>184</v>
      </c>
      <c r="H128">
        <v>126</v>
      </c>
      <c r="I128">
        <v>43</v>
      </c>
      <c r="J128">
        <v>22</v>
      </c>
      <c r="K128">
        <v>223</v>
      </c>
      <c r="L128">
        <v>73</v>
      </c>
      <c r="M128" s="7">
        <v>0.41</v>
      </c>
      <c r="N128" s="7">
        <v>0.83199999999999996</v>
      </c>
      <c r="O128">
        <v>796.1</v>
      </c>
      <c r="P128">
        <v>78.400000000000006</v>
      </c>
      <c r="Q128" t="s">
        <v>615</v>
      </c>
      <c r="R128">
        <v>130</v>
      </c>
      <c r="S128">
        <v>127</v>
      </c>
    </row>
    <row r="129" spans="1:19" x14ac:dyDescent="0.2">
      <c r="A129" t="s">
        <v>177</v>
      </c>
      <c r="B129" t="s">
        <v>366</v>
      </c>
      <c r="C129" t="s">
        <v>349</v>
      </c>
      <c r="D129">
        <v>71</v>
      </c>
      <c r="E129">
        <v>1982</v>
      </c>
      <c r="F129">
        <v>901</v>
      </c>
      <c r="G129">
        <v>290</v>
      </c>
      <c r="H129">
        <v>105</v>
      </c>
      <c r="I129">
        <v>50</v>
      </c>
      <c r="J129">
        <v>33</v>
      </c>
      <c r="K129">
        <v>145</v>
      </c>
      <c r="L129">
        <v>70</v>
      </c>
      <c r="M129" s="7">
        <v>0.47199999999999998</v>
      </c>
      <c r="N129" s="7">
        <v>0.85499999999999998</v>
      </c>
      <c r="O129">
        <v>666</v>
      </c>
      <c r="P129">
        <v>148.9</v>
      </c>
      <c r="Q129" t="s">
        <v>547</v>
      </c>
      <c r="R129">
        <v>41</v>
      </c>
    </row>
    <row r="130" spans="1:19" x14ac:dyDescent="0.2">
      <c r="A130" t="s">
        <v>230</v>
      </c>
      <c r="B130" t="s">
        <v>385</v>
      </c>
      <c r="C130" t="s">
        <v>333</v>
      </c>
      <c r="D130">
        <v>73</v>
      </c>
      <c r="E130">
        <v>1689</v>
      </c>
      <c r="F130">
        <v>923</v>
      </c>
      <c r="G130">
        <v>174</v>
      </c>
      <c r="H130">
        <v>275</v>
      </c>
      <c r="I130">
        <v>46</v>
      </c>
      <c r="J130">
        <v>32</v>
      </c>
      <c r="K130">
        <v>130</v>
      </c>
      <c r="L130">
        <v>127</v>
      </c>
      <c r="M130" s="7">
        <v>0.44500000000000001</v>
      </c>
      <c r="N130" s="7">
        <v>0.86299999999999999</v>
      </c>
      <c r="O130">
        <v>752.2</v>
      </c>
      <c r="P130">
        <v>143.19999999999999</v>
      </c>
      <c r="Q130" t="s">
        <v>616</v>
      </c>
      <c r="S130">
        <v>110</v>
      </c>
    </row>
    <row r="131" spans="1:19" x14ac:dyDescent="0.2">
      <c r="A131" t="s">
        <v>242</v>
      </c>
      <c r="B131" t="s">
        <v>373</v>
      </c>
      <c r="C131" t="s">
        <v>382</v>
      </c>
      <c r="D131">
        <v>66</v>
      </c>
      <c r="E131">
        <v>1569</v>
      </c>
      <c r="F131">
        <v>813</v>
      </c>
      <c r="G131">
        <v>171</v>
      </c>
      <c r="H131">
        <v>180</v>
      </c>
      <c r="I131">
        <v>54</v>
      </c>
      <c r="J131">
        <v>23</v>
      </c>
      <c r="K131">
        <v>91</v>
      </c>
      <c r="L131">
        <v>95</v>
      </c>
      <c r="M131" s="7">
        <v>0.497</v>
      </c>
      <c r="N131" s="7">
        <v>0.80400000000000005</v>
      </c>
      <c r="O131">
        <v>612.1</v>
      </c>
      <c r="P131">
        <v>141.19999999999999</v>
      </c>
      <c r="Q131" t="s">
        <v>617</v>
      </c>
    </row>
    <row r="132" spans="1:19" x14ac:dyDescent="0.2">
      <c r="A132" t="s">
        <v>198</v>
      </c>
      <c r="B132" t="s">
        <v>329</v>
      </c>
      <c r="C132" t="s">
        <v>330</v>
      </c>
      <c r="D132">
        <v>72</v>
      </c>
      <c r="E132">
        <v>1628</v>
      </c>
      <c r="F132">
        <v>889</v>
      </c>
      <c r="G132">
        <v>462</v>
      </c>
      <c r="H132">
        <v>116</v>
      </c>
      <c r="I132">
        <v>45</v>
      </c>
      <c r="J132">
        <v>17</v>
      </c>
      <c r="K132">
        <v>109</v>
      </c>
      <c r="L132">
        <v>65</v>
      </c>
      <c r="M132" s="7">
        <v>0.47799999999999998</v>
      </c>
      <c r="N132" s="7">
        <v>0.752</v>
      </c>
      <c r="O132">
        <v>744.3</v>
      </c>
      <c r="P132">
        <v>91</v>
      </c>
      <c r="Q132" t="s">
        <v>618</v>
      </c>
      <c r="R132">
        <v>152</v>
      </c>
      <c r="S132">
        <v>133</v>
      </c>
    </row>
    <row r="133" spans="1:19" x14ac:dyDescent="0.2">
      <c r="A133" t="s">
        <v>142</v>
      </c>
      <c r="B133" t="s">
        <v>369</v>
      </c>
      <c r="C133" t="s">
        <v>340</v>
      </c>
      <c r="D133">
        <v>75</v>
      </c>
      <c r="E133">
        <v>2086</v>
      </c>
      <c r="F133">
        <v>925</v>
      </c>
      <c r="G133">
        <v>393</v>
      </c>
      <c r="H133">
        <v>105</v>
      </c>
      <c r="I133">
        <v>49</v>
      </c>
      <c r="J133">
        <v>114</v>
      </c>
      <c r="K133">
        <v>147</v>
      </c>
      <c r="L133">
        <v>102</v>
      </c>
      <c r="M133" s="7">
        <v>0.44900000000000001</v>
      </c>
      <c r="N133" s="7">
        <v>0.753</v>
      </c>
      <c r="O133">
        <v>698.5</v>
      </c>
      <c r="P133">
        <v>200.2</v>
      </c>
      <c r="Q133" t="s">
        <v>619</v>
      </c>
      <c r="R133">
        <v>110</v>
      </c>
      <c r="S133">
        <v>60</v>
      </c>
    </row>
    <row r="134" spans="1:19" x14ac:dyDescent="0.2">
      <c r="A134" t="s">
        <v>216</v>
      </c>
      <c r="B134" t="s">
        <v>377</v>
      </c>
      <c r="C134" t="s">
        <v>333</v>
      </c>
      <c r="D134">
        <v>75</v>
      </c>
      <c r="E134">
        <v>1908</v>
      </c>
      <c r="F134">
        <v>909</v>
      </c>
      <c r="G134">
        <v>184</v>
      </c>
      <c r="H134">
        <v>297</v>
      </c>
      <c r="I134">
        <v>88</v>
      </c>
      <c r="J134">
        <v>24</v>
      </c>
      <c r="K134">
        <v>96</v>
      </c>
      <c r="L134">
        <v>151</v>
      </c>
      <c r="M134" s="7">
        <v>0.441</v>
      </c>
      <c r="N134" s="7">
        <v>0.79400000000000004</v>
      </c>
      <c r="O134">
        <v>748.6</v>
      </c>
      <c r="P134">
        <v>192.3</v>
      </c>
      <c r="Q134" t="s">
        <v>523</v>
      </c>
    </row>
    <row r="135" spans="1:19" x14ac:dyDescent="0.2">
      <c r="A135" t="s">
        <v>182</v>
      </c>
      <c r="B135" t="s">
        <v>368</v>
      </c>
      <c r="C135" t="s">
        <v>349</v>
      </c>
      <c r="D135">
        <v>72</v>
      </c>
      <c r="E135">
        <v>2053</v>
      </c>
      <c r="F135">
        <v>872</v>
      </c>
      <c r="G135">
        <v>335</v>
      </c>
      <c r="H135">
        <v>258</v>
      </c>
      <c r="I135">
        <v>69</v>
      </c>
      <c r="J135">
        <v>59</v>
      </c>
      <c r="K135">
        <v>127</v>
      </c>
      <c r="L135">
        <v>153</v>
      </c>
      <c r="M135" s="7">
        <v>0.42499999999999999</v>
      </c>
      <c r="N135" s="7">
        <v>0.78800000000000003</v>
      </c>
      <c r="O135">
        <v>722.1</v>
      </c>
      <c r="P135">
        <v>166.5</v>
      </c>
      <c r="Q135" t="s">
        <v>620</v>
      </c>
      <c r="R135">
        <v>143</v>
      </c>
      <c r="S135">
        <v>145</v>
      </c>
    </row>
    <row r="136" spans="1:19" x14ac:dyDescent="0.2">
      <c r="A136" t="s">
        <v>100</v>
      </c>
      <c r="B136" t="s">
        <v>342</v>
      </c>
      <c r="C136" t="s">
        <v>382</v>
      </c>
      <c r="D136">
        <v>73</v>
      </c>
      <c r="E136">
        <v>2385</v>
      </c>
      <c r="F136">
        <v>884</v>
      </c>
      <c r="G136">
        <v>604</v>
      </c>
      <c r="H136">
        <v>365</v>
      </c>
      <c r="I136">
        <v>93</v>
      </c>
      <c r="J136">
        <v>24</v>
      </c>
      <c r="K136">
        <v>100</v>
      </c>
      <c r="L136">
        <v>144</v>
      </c>
      <c r="M136" s="7">
        <v>0.50600000000000001</v>
      </c>
      <c r="N136" s="7">
        <v>0.74099999999999999</v>
      </c>
      <c r="O136">
        <v>667.2</v>
      </c>
      <c r="P136">
        <v>146.80000000000001</v>
      </c>
      <c r="Q136" t="s">
        <v>621</v>
      </c>
      <c r="R136">
        <v>114</v>
      </c>
      <c r="S136">
        <v>48</v>
      </c>
    </row>
    <row r="137" spans="1:19" x14ac:dyDescent="0.2">
      <c r="A137" t="s">
        <v>179</v>
      </c>
      <c r="B137" t="s">
        <v>357</v>
      </c>
      <c r="C137" t="s">
        <v>371</v>
      </c>
      <c r="D137">
        <v>78</v>
      </c>
      <c r="E137">
        <v>2403</v>
      </c>
      <c r="F137">
        <v>934</v>
      </c>
      <c r="G137">
        <v>262</v>
      </c>
      <c r="H137">
        <v>165</v>
      </c>
      <c r="I137">
        <v>54</v>
      </c>
      <c r="J137">
        <v>31</v>
      </c>
      <c r="K137">
        <v>167</v>
      </c>
      <c r="L137">
        <v>95</v>
      </c>
      <c r="M137" s="7">
        <v>0.44</v>
      </c>
      <c r="N137" s="7">
        <v>0.88500000000000001</v>
      </c>
      <c r="O137">
        <v>726.7</v>
      </c>
      <c r="P137">
        <v>144</v>
      </c>
      <c r="Q137" t="s">
        <v>622</v>
      </c>
    </row>
    <row r="138" spans="1:19" x14ac:dyDescent="0.2">
      <c r="A138" t="s">
        <v>174</v>
      </c>
      <c r="B138" t="s">
        <v>339</v>
      </c>
      <c r="C138" t="s">
        <v>349</v>
      </c>
      <c r="D138">
        <v>72</v>
      </c>
      <c r="E138">
        <v>2189</v>
      </c>
      <c r="F138">
        <v>853</v>
      </c>
      <c r="G138">
        <v>322</v>
      </c>
      <c r="H138">
        <v>166</v>
      </c>
      <c r="I138">
        <v>54</v>
      </c>
      <c r="J138">
        <v>29</v>
      </c>
      <c r="K138">
        <v>68</v>
      </c>
      <c r="L138">
        <v>60</v>
      </c>
      <c r="M138" s="7">
        <v>0.53600000000000003</v>
      </c>
      <c r="N138" s="7">
        <v>0.79500000000000004</v>
      </c>
      <c r="O138">
        <v>616.5</v>
      </c>
      <c r="P138">
        <v>156.1</v>
      </c>
      <c r="Q138" t="s">
        <v>623</v>
      </c>
      <c r="R138">
        <v>169</v>
      </c>
      <c r="S138">
        <v>83</v>
      </c>
    </row>
    <row r="139" spans="1:19" x14ac:dyDescent="0.2">
      <c r="A139" t="s">
        <v>131</v>
      </c>
      <c r="B139" t="s">
        <v>353</v>
      </c>
      <c r="C139" t="s">
        <v>340</v>
      </c>
      <c r="D139">
        <v>72</v>
      </c>
      <c r="E139">
        <v>1959</v>
      </c>
      <c r="F139">
        <v>858</v>
      </c>
      <c r="G139">
        <v>582</v>
      </c>
      <c r="H139">
        <v>168</v>
      </c>
      <c r="I139">
        <v>67</v>
      </c>
      <c r="J139">
        <v>77</v>
      </c>
      <c r="K139">
        <v>0</v>
      </c>
      <c r="L139">
        <v>109</v>
      </c>
      <c r="M139" s="7">
        <v>0.65900000000000003</v>
      </c>
      <c r="N139" s="7">
        <v>0.628</v>
      </c>
      <c r="O139">
        <v>564.70000000000005</v>
      </c>
      <c r="P139">
        <v>181</v>
      </c>
      <c r="Q139" t="s">
        <v>624</v>
      </c>
      <c r="R139">
        <v>177</v>
      </c>
      <c r="S139">
        <v>76</v>
      </c>
    </row>
    <row r="140" spans="1:19" x14ac:dyDescent="0.2">
      <c r="A140" t="s">
        <v>213</v>
      </c>
      <c r="B140" t="s">
        <v>378</v>
      </c>
      <c r="C140" t="s">
        <v>335</v>
      </c>
      <c r="D140">
        <v>71</v>
      </c>
      <c r="E140">
        <v>1631</v>
      </c>
      <c r="F140">
        <v>839</v>
      </c>
      <c r="G140">
        <v>180</v>
      </c>
      <c r="H140">
        <v>181</v>
      </c>
      <c r="I140">
        <v>61</v>
      </c>
      <c r="J140">
        <v>17</v>
      </c>
      <c r="K140">
        <v>173</v>
      </c>
      <c r="L140">
        <v>84</v>
      </c>
      <c r="M140" s="7">
        <v>0.41699999999999998</v>
      </c>
      <c r="N140" s="7">
        <v>0.84699999999999998</v>
      </c>
      <c r="O140">
        <v>635.29999999999995</v>
      </c>
      <c r="P140">
        <v>160.80000000000001</v>
      </c>
      <c r="Q140" t="s">
        <v>625</v>
      </c>
    </row>
    <row r="141" spans="1:19" x14ac:dyDescent="0.2">
      <c r="A141" t="s">
        <v>175</v>
      </c>
      <c r="B141" t="s">
        <v>379</v>
      </c>
      <c r="C141" t="s">
        <v>333</v>
      </c>
      <c r="D141">
        <v>75</v>
      </c>
      <c r="E141">
        <v>2148</v>
      </c>
      <c r="F141">
        <v>882</v>
      </c>
      <c r="G141">
        <v>261</v>
      </c>
      <c r="H141">
        <v>273</v>
      </c>
      <c r="I141">
        <v>65</v>
      </c>
      <c r="J141">
        <v>27</v>
      </c>
      <c r="K141">
        <v>196</v>
      </c>
      <c r="L141">
        <v>136</v>
      </c>
      <c r="M141" s="7">
        <v>0.42199999999999999</v>
      </c>
      <c r="N141" s="7">
        <v>0.83499999999999996</v>
      </c>
      <c r="O141">
        <v>690.3</v>
      </c>
      <c r="P141">
        <v>123.8</v>
      </c>
      <c r="Q141" t="s">
        <v>626</v>
      </c>
      <c r="R141">
        <v>185</v>
      </c>
      <c r="S141">
        <v>134</v>
      </c>
    </row>
    <row r="142" spans="1:19" x14ac:dyDescent="0.2">
      <c r="A142" t="s">
        <v>268</v>
      </c>
      <c r="B142" t="s">
        <v>361</v>
      </c>
      <c r="C142" t="s">
        <v>333</v>
      </c>
      <c r="D142">
        <v>72</v>
      </c>
      <c r="E142">
        <v>1696</v>
      </c>
      <c r="F142">
        <v>848</v>
      </c>
      <c r="G142">
        <v>179</v>
      </c>
      <c r="H142">
        <v>267</v>
      </c>
      <c r="I142">
        <v>62</v>
      </c>
      <c r="J142">
        <v>18</v>
      </c>
      <c r="K142">
        <v>109</v>
      </c>
      <c r="L142">
        <v>162</v>
      </c>
      <c r="M142" s="7">
        <v>0.41799999999999998</v>
      </c>
      <c r="N142" s="7">
        <v>0.80500000000000005</v>
      </c>
      <c r="O142">
        <v>696.6</v>
      </c>
      <c r="P142">
        <v>194.6</v>
      </c>
      <c r="Q142" t="s">
        <v>627</v>
      </c>
      <c r="S142">
        <v>148</v>
      </c>
    </row>
    <row r="143" spans="1:19" x14ac:dyDescent="0.2">
      <c r="A143" t="s">
        <v>80</v>
      </c>
      <c r="B143" t="s">
        <v>377</v>
      </c>
      <c r="C143" t="s">
        <v>335</v>
      </c>
      <c r="D143">
        <v>77</v>
      </c>
      <c r="E143">
        <v>2530</v>
      </c>
      <c r="F143">
        <v>901</v>
      </c>
      <c r="G143">
        <v>464</v>
      </c>
      <c r="H143">
        <v>399</v>
      </c>
      <c r="I143">
        <v>159</v>
      </c>
      <c r="J143">
        <v>35</v>
      </c>
      <c r="K143">
        <v>38</v>
      </c>
      <c r="L143">
        <v>132</v>
      </c>
      <c r="M143" s="7">
        <v>0.50700000000000001</v>
      </c>
      <c r="N143" s="7">
        <v>0.60699999999999998</v>
      </c>
      <c r="O143">
        <v>769.4</v>
      </c>
      <c r="P143">
        <v>136.5</v>
      </c>
      <c r="Q143" t="s">
        <v>628</v>
      </c>
      <c r="R143">
        <v>64</v>
      </c>
      <c r="S143">
        <v>49</v>
      </c>
    </row>
    <row r="144" spans="1:19" x14ac:dyDescent="0.2">
      <c r="A144" t="s">
        <v>202</v>
      </c>
      <c r="B144" t="s">
        <v>358</v>
      </c>
      <c r="C144" t="s">
        <v>395</v>
      </c>
      <c r="D144">
        <v>74</v>
      </c>
      <c r="E144">
        <v>1917</v>
      </c>
      <c r="F144">
        <v>860</v>
      </c>
      <c r="G144">
        <v>243</v>
      </c>
      <c r="H144">
        <v>226</v>
      </c>
      <c r="I144">
        <v>91</v>
      </c>
      <c r="J144">
        <v>45</v>
      </c>
      <c r="K144">
        <v>84</v>
      </c>
      <c r="L144">
        <v>126</v>
      </c>
      <c r="M144" s="7">
        <v>0.442</v>
      </c>
      <c r="N144" s="7">
        <v>0.73699999999999999</v>
      </c>
      <c r="O144">
        <v>706.7</v>
      </c>
      <c r="P144">
        <v>205.3</v>
      </c>
      <c r="Q144" t="s">
        <v>629</v>
      </c>
      <c r="R144">
        <v>174</v>
      </c>
      <c r="S144">
        <v>149</v>
      </c>
    </row>
    <row r="145" spans="1:19" x14ac:dyDescent="0.2">
      <c r="A145" t="s">
        <v>280</v>
      </c>
      <c r="B145" t="s">
        <v>369</v>
      </c>
      <c r="C145" t="s">
        <v>338</v>
      </c>
      <c r="D145">
        <v>73</v>
      </c>
      <c r="E145">
        <v>1791</v>
      </c>
      <c r="F145">
        <v>851</v>
      </c>
      <c r="G145">
        <v>301</v>
      </c>
      <c r="H145">
        <v>164</v>
      </c>
      <c r="I145">
        <v>39</v>
      </c>
      <c r="J145">
        <v>25</v>
      </c>
      <c r="K145">
        <v>80</v>
      </c>
      <c r="L145">
        <v>120</v>
      </c>
      <c r="M145" s="7">
        <v>0.46500000000000002</v>
      </c>
      <c r="N145" s="7">
        <v>0.69699999999999995</v>
      </c>
      <c r="O145">
        <v>691.8</v>
      </c>
      <c r="P145">
        <v>183</v>
      </c>
      <c r="Q145" t="s">
        <v>630</v>
      </c>
      <c r="R145">
        <v>171</v>
      </c>
      <c r="S145">
        <v>172</v>
      </c>
    </row>
    <row r="146" spans="1:19" x14ac:dyDescent="0.2">
      <c r="A146" t="s">
        <v>167</v>
      </c>
      <c r="B146" t="s">
        <v>370</v>
      </c>
      <c r="C146" t="s">
        <v>340</v>
      </c>
      <c r="D146">
        <v>74</v>
      </c>
      <c r="E146">
        <v>2031</v>
      </c>
      <c r="F146">
        <v>854</v>
      </c>
      <c r="G146">
        <v>500</v>
      </c>
      <c r="H146">
        <v>238</v>
      </c>
      <c r="I146">
        <v>50</v>
      </c>
      <c r="J146">
        <v>92</v>
      </c>
      <c r="K146">
        <v>6</v>
      </c>
      <c r="L146">
        <v>95</v>
      </c>
      <c r="M146" s="7">
        <v>0.58699999999999997</v>
      </c>
      <c r="N146" s="7">
        <v>0.59099999999999997</v>
      </c>
      <c r="O146">
        <v>607.29999999999995</v>
      </c>
      <c r="P146">
        <v>228.4</v>
      </c>
      <c r="Q146" t="s">
        <v>631</v>
      </c>
      <c r="R146">
        <v>108</v>
      </c>
      <c r="S146">
        <v>107</v>
      </c>
    </row>
    <row r="147" spans="1:19" x14ac:dyDescent="0.2">
      <c r="A147" t="s">
        <v>208</v>
      </c>
      <c r="B147" t="s">
        <v>355</v>
      </c>
      <c r="C147" t="s">
        <v>371</v>
      </c>
      <c r="D147">
        <v>77</v>
      </c>
      <c r="E147">
        <v>1969</v>
      </c>
      <c r="F147">
        <v>879</v>
      </c>
      <c r="G147">
        <v>192</v>
      </c>
      <c r="H147">
        <v>161</v>
      </c>
      <c r="I147">
        <v>47</v>
      </c>
      <c r="J147">
        <v>15</v>
      </c>
      <c r="K147">
        <v>205</v>
      </c>
      <c r="L147">
        <v>67</v>
      </c>
      <c r="M147" s="7">
        <v>0.45200000000000001</v>
      </c>
      <c r="N147" s="7">
        <v>0.77600000000000002</v>
      </c>
      <c r="O147">
        <v>649.70000000000005</v>
      </c>
      <c r="P147">
        <v>111.7</v>
      </c>
      <c r="Q147" t="s">
        <v>632</v>
      </c>
      <c r="R147">
        <v>113</v>
      </c>
    </row>
    <row r="148" spans="1:19" x14ac:dyDescent="0.2">
      <c r="A148" t="s">
        <v>212</v>
      </c>
      <c r="B148" t="s">
        <v>366</v>
      </c>
      <c r="C148" t="s">
        <v>349</v>
      </c>
      <c r="D148">
        <v>73</v>
      </c>
      <c r="E148">
        <v>1872</v>
      </c>
      <c r="F148">
        <v>832</v>
      </c>
      <c r="G148">
        <v>307</v>
      </c>
      <c r="H148">
        <v>100</v>
      </c>
      <c r="I148">
        <v>67</v>
      </c>
      <c r="J148">
        <v>31</v>
      </c>
      <c r="K148">
        <v>80</v>
      </c>
      <c r="L148">
        <v>71</v>
      </c>
      <c r="M148" s="7">
        <v>0.48399999999999999</v>
      </c>
      <c r="N148" s="7">
        <v>0.75800000000000001</v>
      </c>
      <c r="O148">
        <v>645.6</v>
      </c>
      <c r="P148">
        <v>167.6</v>
      </c>
      <c r="Q148" t="s">
        <v>633</v>
      </c>
      <c r="R148">
        <v>139</v>
      </c>
      <c r="S148">
        <v>150</v>
      </c>
    </row>
    <row r="149" spans="1:19" x14ac:dyDescent="0.2">
      <c r="A149" t="s">
        <v>143</v>
      </c>
      <c r="B149" t="s">
        <v>396</v>
      </c>
      <c r="C149" t="s">
        <v>340</v>
      </c>
      <c r="D149">
        <v>70</v>
      </c>
      <c r="E149">
        <v>1813</v>
      </c>
      <c r="F149">
        <v>801</v>
      </c>
      <c r="G149">
        <v>642</v>
      </c>
      <c r="H149">
        <v>83</v>
      </c>
      <c r="I149">
        <v>44</v>
      </c>
      <c r="J149">
        <v>106</v>
      </c>
      <c r="K149">
        <v>17</v>
      </c>
      <c r="L149">
        <v>131</v>
      </c>
      <c r="M149" s="7">
        <v>0.59499999999999997</v>
      </c>
      <c r="N149" s="7">
        <v>0.73599999999999999</v>
      </c>
      <c r="O149">
        <v>548</v>
      </c>
      <c r="P149">
        <v>179.2</v>
      </c>
      <c r="Q149" t="s">
        <v>634</v>
      </c>
      <c r="R149">
        <v>72</v>
      </c>
      <c r="S149">
        <v>122</v>
      </c>
    </row>
    <row r="150" spans="1:19" x14ac:dyDescent="0.2">
      <c r="A150" t="s">
        <v>164</v>
      </c>
      <c r="B150" t="s">
        <v>358</v>
      </c>
      <c r="C150" t="s">
        <v>340</v>
      </c>
      <c r="D150">
        <v>75</v>
      </c>
      <c r="E150">
        <v>1695</v>
      </c>
      <c r="F150">
        <v>857</v>
      </c>
      <c r="G150">
        <v>501</v>
      </c>
      <c r="H150">
        <v>164</v>
      </c>
      <c r="I150">
        <v>44</v>
      </c>
      <c r="J150">
        <v>40</v>
      </c>
      <c r="K150">
        <v>71</v>
      </c>
      <c r="L150">
        <v>76</v>
      </c>
      <c r="M150" s="7">
        <v>0.501</v>
      </c>
      <c r="N150" s="7">
        <v>0.81399999999999995</v>
      </c>
      <c r="O150">
        <v>694.9</v>
      </c>
      <c r="P150">
        <v>110.2</v>
      </c>
      <c r="Q150" t="s">
        <v>515</v>
      </c>
      <c r="R150">
        <v>141</v>
      </c>
      <c r="S150">
        <v>40</v>
      </c>
    </row>
    <row r="151" spans="1:19" x14ac:dyDescent="0.2">
      <c r="A151" t="s">
        <v>197</v>
      </c>
      <c r="B151" t="s">
        <v>345</v>
      </c>
      <c r="C151" t="s">
        <v>333</v>
      </c>
      <c r="D151">
        <v>72</v>
      </c>
      <c r="E151">
        <v>1575</v>
      </c>
      <c r="F151">
        <v>823</v>
      </c>
      <c r="G151">
        <v>224</v>
      </c>
      <c r="H151">
        <v>173</v>
      </c>
      <c r="I151">
        <v>109</v>
      </c>
      <c r="J151">
        <v>27</v>
      </c>
      <c r="K151">
        <v>106</v>
      </c>
      <c r="L151">
        <v>122</v>
      </c>
      <c r="M151" s="7">
        <v>0.39800000000000002</v>
      </c>
      <c r="N151" s="7">
        <v>0.81699999999999995</v>
      </c>
      <c r="O151">
        <v>724.6</v>
      </c>
      <c r="P151">
        <v>171.6</v>
      </c>
      <c r="Q151" t="s">
        <v>588</v>
      </c>
    </row>
    <row r="152" spans="1:19" x14ac:dyDescent="0.2">
      <c r="A152" t="s">
        <v>83</v>
      </c>
      <c r="B152" t="s">
        <v>332</v>
      </c>
      <c r="C152" t="s">
        <v>340</v>
      </c>
      <c r="D152">
        <v>72</v>
      </c>
      <c r="E152">
        <v>2213</v>
      </c>
      <c r="F152">
        <v>817</v>
      </c>
      <c r="G152">
        <v>825</v>
      </c>
      <c r="H152">
        <v>118</v>
      </c>
      <c r="I152">
        <v>53</v>
      </c>
      <c r="J152">
        <v>158</v>
      </c>
      <c r="K152">
        <v>11</v>
      </c>
      <c r="L152">
        <v>105</v>
      </c>
      <c r="M152" s="7">
        <v>0.68100000000000005</v>
      </c>
      <c r="N152" s="7">
        <v>0.53600000000000003</v>
      </c>
      <c r="O152">
        <v>518.20000000000005</v>
      </c>
      <c r="P152">
        <v>186.9</v>
      </c>
      <c r="Q152" t="s">
        <v>635</v>
      </c>
      <c r="R152">
        <v>28</v>
      </c>
      <c r="S152">
        <v>63</v>
      </c>
    </row>
    <row r="153" spans="1:19" x14ac:dyDescent="0.2">
      <c r="A153" t="s">
        <v>238</v>
      </c>
      <c r="B153" t="s">
        <v>329</v>
      </c>
      <c r="C153" t="s">
        <v>371</v>
      </c>
      <c r="D153">
        <v>79</v>
      </c>
      <c r="E153">
        <v>1984</v>
      </c>
      <c r="F153">
        <v>902</v>
      </c>
      <c r="G153">
        <v>186</v>
      </c>
      <c r="H153">
        <v>103</v>
      </c>
      <c r="I153">
        <v>40</v>
      </c>
      <c r="J153">
        <v>8</v>
      </c>
      <c r="K153">
        <v>182</v>
      </c>
      <c r="L153">
        <v>42</v>
      </c>
      <c r="M153" s="7">
        <v>0.43</v>
      </c>
      <c r="N153" s="7">
        <v>0.82399999999999995</v>
      </c>
      <c r="O153">
        <v>677.8</v>
      </c>
      <c r="P153">
        <v>166.4</v>
      </c>
      <c r="Q153" t="s">
        <v>581</v>
      </c>
    </row>
    <row r="154" spans="1:19" x14ac:dyDescent="0.2">
      <c r="A154" t="s">
        <v>260</v>
      </c>
      <c r="B154" t="s">
        <v>362</v>
      </c>
      <c r="C154" t="s">
        <v>349</v>
      </c>
      <c r="D154">
        <v>75</v>
      </c>
      <c r="E154">
        <v>1486</v>
      </c>
      <c r="F154">
        <v>854</v>
      </c>
      <c r="G154">
        <v>190</v>
      </c>
      <c r="H154">
        <v>113</v>
      </c>
      <c r="I154">
        <v>48</v>
      </c>
      <c r="J154">
        <v>7</v>
      </c>
      <c r="K154">
        <v>133</v>
      </c>
      <c r="L154">
        <v>97</v>
      </c>
      <c r="M154" s="7">
        <v>0.46</v>
      </c>
      <c r="N154" s="7">
        <v>0.83599999999999997</v>
      </c>
      <c r="O154">
        <v>645.4</v>
      </c>
      <c r="P154">
        <v>152.1</v>
      </c>
      <c r="Q154" t="s">
        <v>636</v>
      </c>
      <c r="S154">
        <v>191</v>
      </c>
    </row>
    <row r="155" spans="1:19" x14ac:dyDescent="0.2">
      <c r="A155" t="s">
        <v>157</v>
      </c>
      <c r="B155" t="s">
        <v>364</v>
      </c>
      <c r="C155" t="s">
        <v>365</v>
      </c>
      <c r="D155">
        <v>77</v>
      </c>
      <c r="E155">
        <v>1916</v>
      </c>
      <c r="F155">
        <v>876</v>
      </c>
      <c r="G155">
        <v>522</v>
      </c>
      <c r="H155">
        <v>269</v>
      </c>
      <c r="I155">
        <v>75</v>
      </c>
      <c r="J155">
        <v>68</v>
      </c>
      <c r="K155">
        <v>24</v>
      </c>
      <c r="L155">
        <v>177</v>
      </c>
      <c r="M155" s="7">
        <v>0.47499999999999998</v>
      </c>
      <c r="N155" s="7">
        <v>0.80100000000000005</v>
      </c>
      <c r="O155">
        <v>689.3</v>
      </c>
      <c r="P155">
        <v>246.1</v>
      </c>
      <c r="Q155" t="s">
        <v>637</v>
      </c>
      <c r="R155">
        <v>92</v>
      </c>
      <c r="S155">
        <v>139</v>
      </c>
    </row>
    <row r="156" spans="1:19" x14ac:dyDescent="0.2">
      <c r="A156" t="s">
        <v>106</v>
      </c>
      <c r="B156" t="s">
        <v>334</v>
      </c>
      <c r="C156" t="s">
        <v>340</v>
      </c>
      <c r="D156">
        <v>75</v>
      </c>
      <c r="E156">
        <v>2411</v>
      </c>
      <c r="F156">
        <v>853</v>
      </c>
      <c r="G156">
        <v>836</v>
      </c>
      <c r="H156">
        <v>127</v>
      </c>
      <c r="I156">
        <v>60</v>
      </c>
      <c r="J156">
        <v>118</v>
      </c>
      <c r="K156">
        <v>0</v>
      </c>
      <c r="L156">
        <v>99</v>
      </c>
      <c r="M156" s="7">
        <v>0.66600000000000004</v>
      </c>
      <c r="N156" s="7">
        <v>0.59</v>
      </c>
      <c r="O156">
        <v>518.29999999999995</v>
      </c>
      <c r="P156">
        <v>275.60000000000002</v>
      </c>
      <c r="Q156" t="s">
        <v>638</v>
      </c>
      <c r="R156">
        <v>80</v>
      </c>
      <c r="S156">
        <v>70</v>
      </c>
    </row>
    <row r="157" spans="1:19" x14ac:dyDescent="0.2">
      <c r="A157" t="s">
        <v>181</v>
      </c>
      <c r="B157" t="s">
        <v>369</v>
      </c>
      <c r="C157" t="s">
        <v>333</v>
      </c>
      <c r="D157">
        <v>72</v>
      </c>
      <c r="E157">
        <v>1617</v>
      </c>
      <c r="F157">
        <v>809</v>
      </c>
      <c r="G157">
        <v>251</v>
      </c>
      <c r="H157">
        <v>327</v>
      </c>
      <c r="I157">
        <v>94</v>
      </c>
      <c r="J157">
        <v>21</v>
      </c>
      <c r="K157">
        <v>59</v>
      </c>
      <c r="L157">
        <v>140</v>
      </c>
      <c r="M157" s="7">
        <v>0.45100000000000001</v>
      </c>
      <c r="N157" s="7">
        <v>0.84099999999999997</v>
      </c>
      <c r="O157">
        <v>654.29999999999995</v>
      </c>
      <c r="P157">
        <v>190</v>
      </c>
      <c r="Q157" t="s">
        <v>639</v>
      </c>
      <c r="R157">
        <v>161</v>
      </c>
      <c r="S157">
        <v>79</v>
      </c>
    </row>
    <row r="158" spans="1:19" x14ac:dyDescent="0.2">
      <c r="A158" t="s">
        <v>249</v>
      </c>
      <c r="B158" t="s">
        <v>351</v>
      </c>
      <c r="C158" t="s">
        <v>359</v>
      </c>
      <c r="D158">
        <v>78</v>
      </c>
      <c r="E158">
        <v>1631</v>
      </c>
      <c r="F158">
        <v>864</v>
      </c>
      <c r="G158">
        <v>336</v>
      </c>
      <c r="H158">
        <v>108</v>
      </c>
      <c r="I158">
        <v>40</v>
      </c>
      <c r="J158">
        <v>12</v>
      </c>
      <c r="K158">
        <v>81</v>
      </c>
      <c r="L158">
        <v>67</v>
      </c>
      <c r="M158" s="7">
        <v>0.49399999999999999</v>
      </c>
      <c r="N158" s="7">
        <v>0.77400000000000002</v>
      </c>
      <c r="O158">
        <v>665.8</v>
      </c>
      <c r="P158">
        <v>161.69999999999999</v>
      </c>
      <c r="Q158" t="s">
        <v>640</v>
      </c>
    </row>
    <row r="159" spans="1:19" x14ac:dyDescent="0.2">
      <c r="A159" t="s">
        <v>295</v>
      </c>
      <c r="B159" t="s">
        <v>364</v>
      </c>
      <c r="C159" t="s">
        <v>333</v>
      </c>
      <c r="D159">
        <v>47</v>
      </c>
      <c r="E159">
        <v>923</v>
      </c>
      <c r="F159">
        <v>525</v>
      </c>
      <c r="G159">
        <v>80</v>
      </c>
      <c r="H159">
        <v>121</v>
      </c>
      <c r="I159">
        <v>31</v>
      </c>
      <c r="J159">
        <v>13</v>
      </c>
      <c r="K159">
        <v>81</v>
      </c>
      <c r="L159">
        <v>73</v>
      </c>
      <c r="M159" s="7">
        <v>0.43</v>
      </c>
      <c r="N159" s="7">
        <v>0.877</v>
      </c>
      <c r="O159">
        <v>409.1</v>
      </c>
      <c r="P159">
        <v>105.1</v>
      </c>
      <c r="Q159" t="s">
        <v>641</v>
      </c>
      <c r="S159">
        <v>75</v>
      </c>
    </row>
    <row r="160" spans="1:19" x14ac:dyDescent="0.2">
      <c r="A160" t="s">
        <v>232</v>
      </c>
      <c r="B160" t="s">
        <v>341</v>
      </c>
      <c r="C160" t="s">
        <v>349</v>
      </c>
      <c r="D160">
        <v>70</v>
      </c>
      <c r="E160">
        <v>1642</v>
      </c>
      <c r="F160">
        <v>774</v>
      </c>
      <c r="G160">
        <v>324</v>
      </c>
      <c r="H160">
        <v>143</v>
      </c>
      <c r="I160">
        <v>51</v>
      </c>
      <c r="J160">
        <v>24</v>
      </c>
      <c r="K160">
        <v>114</v>
      </c>
      <c r="L160">
        <v>91</v>
      </c>
      <c r="M160" s="7">
        <v>0.48499999999999999</v>
      </c>
      <c r="N160" s="7">
        <v>0.74099999999999999</v>
      </c>
      <c r="O160">
        <v>598.79999999999995</v>
      </c>
      <c r="P160">
        <v>106.8</v>
      </c>
      <c r="Q160" t="s">
        <v>642</v>
      </c>
    </row>
    <row r="161" spans="1:19" x14ac:dyDescent="0.2">
      <c r="A161" t="s">
        <v>147</v>
      </c>
      <c r="B161" t="s">
        <v>361</v>
      </c>
      <c r="C161" t="s">
        <v>359</v>
      </c>
      <c r="D161">
        <v>77</v>
      </c>
      <c r="E161">
        <v>2379</v>
      </c>
      <c r="F161">
        <v>844</v>
      </c>
      <c r="G161">
        <v>390</v>
      </c>
      <c r="H161">
        <v>156</v>
      </c>
      <c r="I161">
        <v>92</v>
      </c>
      <c r="J161">
        <v>40</v>
      </c>
      <c r="K161">
        <v>147</v>
      </c>
      <c r="L161">
        <v>111</v>
      </c>
      <c r="M161" s="7">
        <v>0.44900000000000001</v>
      </c>
      <c r="N161" s="7">
        <v>0.72199999999999998</v>
      </c>
      <c r="O161">
        <v>683</v>
      </c>
      <c r="P161">
        <v>115.9</v>
      </c>
      <c r="Q161" t="s">
        <v>643</v>
      </c>
      <c r="R161">
        <v>172</v>
      </c>
      <c r="S161">
        <v>132</v>
      </c>
    </row>
    <row r="162" spans="1:19" x14ac:dyDescent="0.2">
      <c r="A162" t="s">
        <v>259</v>
      </c>
      <c r="B162" t="s">
        <v>396</v>
      </c>
      <c r="C162" t="s">
        <v>382</v>
      </c>
      <c r="D162">
        <v>75</v>
      </c>
      <c r="E162">
        <v>1909</v>
      </c>
      <c r="F162">
        <v>819</v>
      </c>
      <c r="G162">
        <v>216</v>
      </c>
      <c r="H162">
        <v>112</v>
      </c>
      <c r="I162">
        <v>54</v>
      </c>
      <c r="J162">
        <v>7</v>
      </c>
      <c r="K162">
        <v>131</v>
      </c>
      <c r="L162">
        <v>70</v>
      </c>
      <c r="M162" s="7">
        <v>0.43</v>
      </c>
      <c r="N162" s="7">
        <v>0.79400000000000004</v>
      </c>
      <c r="O162">
        <v>652.29999999999995</v>
      </c>
      <c r="P162">
        <v>160</v>
      </c>
      <c r="Q162" t="s">
        <v>632</v>
      </c>
    </row>
    <row r="163" spans="1:19" x14ac:dyDescent="0.2">
      <c r="A163" t="s">
        <v>188</v>
      </c>
      <c r="B163" t="s">
        <v>357</v>
      </c>
      <c r="C163" t="s">
        <v>365</v>
      </c>
      <c r="D163">
        <v>75</v>
      </c>
      <c r="E163">
        <v>1903</v>
      </c>
      <c r="F163">
        <v>806</v>
      </c>
      <c r="G163">
        <v>420</v>
      </c>
      <c r="H163">
        <v>117</v>
      </c>
      <c r="I163">
        <v>51</v>
      </c>
      <c r="J163">
        <v>73</v>
      </c>
      <c r="K163">
        <v>27</v>
      </c>
      <c r="L163">
        <v>77</v>
      </c>
      <c r="M163" s="7">
        <v>0.51700000000000002</v>
      </c>
      <c r="N163" s="7">
        <v>0.73799999999999999</v>
      </c>
      <c r="O163">
        <v>610.70000000000005</v>
      </c>
      <c r="P163">
        <v>199.9</v>
      </c>
      <c r="Q163" t="s">
        <v>644</v>
      </c>
      <c r="R163">
        <v>192</v>
      </c>
    </row>
    <row r="164" spans="1:19" x14ac:dyDescent="0.2">
      <c r="A164" t="s">
        <v>296</v>
      </c>
      <c r="B164" t="s">
        <v>346</v>
      </c>
      <c r="C164" t="s">
        <v>340</v>
      </c>
      <c r="D164">
        <v>29</v>
      </c>
      <c r="E164">
        <v>602</v>
      </c>
      <c r="F164">
        <v>307</v>
      </c>
      <c r="G164">
        <v>209</v>
      </c>
      <c r="H164">
        <v>37</v>
      </c>
      <c r="I164">
        <v>21</v>
      </c>
      <c r="J164">
        <v>25</v>
      </c>
      <c r="K164">
        <v>0</v>
      </c>
      <c r="L164">
        <v>28</v>
      </c>
      <c r="M164" s="7">
        <v>0.63500000000000001</v>
      </c>
      <c r="N164" s="7">
        <v>0.78300000000000003</v>
      </c>
      <c r="O164">
        <v>196.2</v>
      </c>
      <c r="P164">
        <v>73.900000000000006</v>
      </c>
      <c r="Q164" t="s">
        <v>645</v>
      </c>
      <c r="R164">
        <v>122</v>
      </c>
      <c r="S164">
        <v>103</v>
      </c>
    </row>
    <row r="165" spans="1:19" x14ac:dyDescent="0.2">
      <c r="A165" t="s">
        <v>244</v>
      </c>
      <c r="B165" t="s">
        <v>357</v>
      </c>
      <c r="C165" t="s">
        <v>349</v>
      </c>
      <c r="D165">
        <v>74</v>
      </c>
      <c r="E165">
        <v>1682</v>
      </c>
      <c r="F165">
        <v>794</v>
      </c>
      <c r="G165">
        <v>270</v>
      </c>
      <c r="H165">
        <v>185</v>
      </c>
      <c r="I165">
        <v>60</v>
      </c>
      <c r="J165">
        <v>7</v>
      </c>
      <c r="K165">
        <v>52</v>
      </c>
      <c r="L165">
        <v>87</v>
      </c>
      <c r="M165" s="7">
        <v>0.51100000000000001</v>
      </c>
      <c r="N165" s="7">
        <v>0.77900000000000003</v>
      </c>
      <c r="O165">
        <v>576.20000000000005</v>
      </c>
      <c r="P165">
        <v>196.5</v>
      </c>
      <c r="Q165" t="s">
        <v>583</v>
      </c>
    </row>
    <row r="166" spans="1:19" x14ac:dyDescent="0.2">
      <c r="A166" t="s">
        <v>207</v>
      </c>
      <c r="B166" t="s">
        <v>361</v>
      </c>
      <c r="C166" t="s">
        <v>333</v>
      </c>
      <c r="D166">
        <v>73</v>
      </c>
      <c r="E166">
        <v>1879</v>
      </c>
      <c r="F166">
        <v>769</v>
      </c>
      <c r="G166">
        <v>279</v>
      </c>
      <c r="H166">
        <v>277</v>
      </c>
      <c r="I166">
        <v>61</v>
      </c>
      <c r="J166">
        <v>22</v>
      </c>
      <c r="K166">
        <v>115</v>
      </c>
      <c r="L166">
        <v>125</v>
      </c>
      <c r="M166" s="7">
        <v>0.45400000000000001</v>
      </c>
      <c r="N166" s="7">
        <v>0.85799999999999998</v>
      </c>
      <c r="O166">
        <v>619.5</v>
      </c>
      <c r="P166">
        <v>106.6</v>
      </c>
      <c r="Q166" t="s">
        <v>646</v>
      </c>
      <c r="R166">
        <v>159</v>
      </c>
      <c r="S166">
        <v>140</v>
      </c>
    </row>
    <row r="167" spans="1:19" x14ac:dyDescent="0.2">
      <c r="A167" t="s">
        <v>185</v>
      </c>
      <c r="B167" t="s">
        <v>345</v>
      </c>
      <c r="C167" t="s">
        <v>359</v>
      </c>
      <c r="D167">
        <v>75</v>
      </c>
      <c r="E167">
        <v>1873</v>
      </c>
      <c r="F167">
        <v>790</v>
      </c>
      <c r="G167">
        <v>394</v>
      </c>
      <c r="H167">
        <v>138</v>
      </c>
      <c r="I167">
        <v>65</v>
      </c>
      <c r="J167">
        <v>61</v>
      </c>
      <c r="K167">
        <v>47</v>
      </c>
      <c r="L167">
        <v>96</v>
      </c>
      <c r="M167" s="7">
        <v>0.49099999999999999</v>
      </c>
      <c r="N167" s="7">
        <v>0.755</v>
      </c>
      <c r="O167">
        <v>638.4</v>
      </c>
      <c r="P167">
        <v>153.69999999999999</v>
      </c>
      <c r="Q167" t="s">
        <v>566</v>
      </c>
      <c r="R167">
        <v>157</v>
      </c>
      <c r="S167">
        <v>141</v>
      </c>
    </row>
    <row r="168" spans="1:19" x14ac:dyDescent="0.2">
      <c r="A168" t="s">
        <v>128</v>
      </c>
      <c r="B168" t="s">
        <v>369</v>
      </c>
      <c r="C168" t="s">
        <v>340</v>
      </c>
      <c r="D168">
        <v>75</v>
      </c>
      <c r="E168">
        <v>1752</v>
      </c>
      <c r="F168">
        <v>781</v>
      </c>
      <c r="G168">
        <v>620</v>
      </c>
      <c r="H168">
        <v>58</v>
      </c>
      <c r="I168">
        <v>53</v>
      </c>
      <c r="J168">
        <v>81</v>
      </c>
      <c r="K168">
        <v>77</v>
      </c>
      <c r="L168">
        <v>65</v>
      </c>
      <c r="M168" s="7">
        <v>0.53200000000000003</v>
      </c>
      <c r="N168" s="7">
        <v>0.72699999999999998</v>
      </c>
      <c r="O168">
        <v>585.6</v>
      </c>
      <c r="P168">
        <v>111.4</v>
      </c>
      <c r="Q168" t="s">
        <v>608</v>
      </c>
      <c r="R168">
        <v>78</v>
      </c>
      <c r="S168">
        <v>124</v>
      </c>
    </row>
    <row r="169" spans="1:19" x14ac:dyDescent="0.2">
      <c r="A169" t="s">
        <v>297</v>
      </c>
      <c r="B169" t="s">
        <v>345</v>
      </c>
      <c r="C169" t="s">
        <v>349</v>
      </c>
      <c r="D169">
        <v>36</v>
      </c>
      <c r="E169">
        <v>817</v>
      </c>
      <c r="F169">
        <v>371</v>
      </c>
      <c r="G169">
        <v>102</v>
      </c>
      <c r="H169">
        <v>48</v>
      </c>
      <c r="I169">
        <v>31</v>
      </c>
      <c r="J169">
        <v>15</v>
      </c>
      <c r="K169">
        <v>74</v>
      </c>
      <c r="L169">
        <v>29</v>
      </c>
      <c r="M169" s="7">
        <v>0.435</v>
      </c>
      <c r="N169" s="7">
        <v>0.78300000000000003</v>
      </c>
      <c r="O169">
        <v>286.5</v>
      </c>
      <c r="P169">
        <v>61</v>
      </c>
      <c r="Q169" t="s">
        <v>647</v>
      </c>
    </row>
    <row r="170" spans="1:19" x14ac:dyDescent="0.2">
      <c r="A170" t="s">
        <v>270</v>
      </c>
      <c r="B170" t="s">
        <v>325</v>
      </c>
      <c r="C170" t="s">
        <v>333</v>
      </c>
      <c r="D170">
        <v>74</v>
      </c>
      <c r="E170">
        <v>1501</v>
      </c>
      <c r="F170">
        <v>757</v>
      </c>
      <c r="G170">
        <v>168</v>
      </c>
      <c r="H170">
        <v>120</v>
      </c>
      <c r="I170">
        <v>43</v>
      </c>
      <c r="J170">
        <v>4</v>
      </c>
      <c r="K170">
        <v>128</v>
      </c>
      <c r="L170">
        <v>70</v>
      </c>
      <c r="M170" s="7">
        <v>0.439</v>
      </c>
      <c r="N170" s="7">
        <v>0.86299999999999999</v>
      </c>
      <c r="O170">
        <v>617.79999999999995</v>
      </c>
      <c r="P170">
        <v>100.3</v>
      </c>
      <c r="Q170" t="s">
        <v>648</v>
      </c>
      <c r="R170">
        <v>121</v>
      </c>
      <c r="S170">
        <v>137</v>
      </c>
    </row>
    <row r="171" spans="1:19" x14ac:dyDescent="0.2">
      <c r="A171" t="s">
        <v>159</v>
      </c>
      <c r="B171" t="s">
        <v>348</v>
      </c>
      <c r="C171" t="s">
        <v>333</v>
      </c>
      <c r="D171">
        <v>77</v>
      </c>
      <c r="E171">
        <v>1644</v>
      </c>
      <c r="F171">
        <v>791</v>
      </c>
      <c r="G171">
        <v>180</v>
      </c>
      <c r="H171">
        <v>202</v>
      </c>
      <c r="I171">
        <v>90</v>
      </c>
      <c r="J171">
        <v>42</v>
      </c>
      <c r="K171">
        <v>165</v>
      </c>
      <c r="L171">
        <v>92</v>
      </c>
      <c r="M171" s="7">
        <v>0.42299999999999999</v>
      </c>
      <c r="N171" s="7">
        <v>0.80200000000000005</v>
      </c>
      <c r="O171">
        <v>664.4</v>
      </c>
      <c r="P171">
        <v>79.7</v>
      </c>
      <c r="Q171" t="s">
        <v>649</v>
      </c>
      <c r="R171">
        <v>160</v>
      </c>
      <c r="S171">
        <v>91</v>
      </c>
    </row>
    <row r="172" spans="1:19" x14ac:dyDescent="0.2">
      <c r="A172" t="s">
        <v>184</v>
      </c>
      <c r="B172" t="s">
        <v>358</v>
      </c>
      <c r="C172" t="s">
        <v>340</v>
      </c>
      <c r="D172">
        <v>75</v>
      </c>
      <c r="E172">
        <v>2021</v>
      </c>
      <c r="F172">
        <v>766</v>
      </c>
      <c r="G172">
        <v>526</v>
      </c>
      <c r="H172">
        <v>142</v>
      </c>
      <c r="I172">
        <v>54</v>
      </c>
      <c r="J172">
        <v>43</v>
      </c>
      <c r="K172">
        <v>57</v>
      </c>
      <c r="L172">
        <v>86</v>
      </c>
      <c r="M172" s="7">
        <v>0.5</v>
      </c>
      <c r="N172" s="7">
        <v>0.76100000000000001</v>
      </c>
      <c r="O172">
        <v>551</v>
      </c>
      <c r="P172">
        <v>207.7</v>
      </c>
      <c r="Q172" t="s">
        <v>650</v>
      </c>
      <c r="R172">
        <v>135</v>
      </c>
    </row>
    <row r="173" spans="1:19" x14ac:dyDescent="0.2">
      <c r="A173" t="s">
        <v>203</v>
      </c>
      <c r="B173" t="s">
        <v>355</v>
      </c>
      <c r="C173" t="s">
        <v>382</v>
      </c>
      <c r="D173">
        <v>75</v>
      </c>
      <c r="E173">
        <v>1625</v>
      </c>
      <c r="F173">
        <v>762</v>
      </c>
      <c r="G173">
        <v>198</v>
      </c>
      <c r="H173">
        <v>108</v>
      </c>
      <c r="I173">
        <v>51</v>
      </c>
      <c r="J173">
        <v>15</v>
      </c>
      <c r="K173">
        <v>178</v>
      </c>
      <c r="L173">
        <v>48</v>
      </c>
      <c r="M173" s="7">
        <v>0.44700000000000001</v>
      </c>
      <c r="N173" s="7">
        <v>0.879</v>
      </c>
      <c r="O173">
        <v>532</v>
      </c>
      <c r="P173">
        <v>123.3</v>
      </c>
      <c r="Q173" t="s">
        <v>651</v>
      </c>
    </row>
    <row r="174" spans="1:19" x14ac:dyDescent="0.2">
      <c r="A174" t="s">
        <v>108</v>
      </c>
      <c r="B174" t="s">
        <v>361</v>
      </c>
      <c r="C174" t="s">
        <v>340</v>
      </c>
      <c r="D174">
        <v>76</v>
      </c>
      <c r="E174">
        <v>1908</v>
      </c>
      <c r="F174">
        <v>764</v>
      </c>
      <c r="G174">
        <v>766</v>
      </c>
      <c r="H174">
        <v>134</v>
      </c>
      <c r="I174">
        <v>42</v>
      </c>
      <c r="J174">
        <v>128</v>
      </c>
      <c r="K174">
        <v>62</v>
      </c>
      <c r="L174">
        <v>87</v>
      </c>
      <c r="M174" s="7">
        <v>0.52100000000000002</v>
      </c>
      <c r="N174" s="7">
        <v>0.66200000000000003</v>
      </c>
      <c r="O174">
        <v>564.70000000000005</v>
      </c>
      <c r="P174">
        <v>171.5</v>
      </c>
      <c r="Q174" t="s">
        <v>652</v>
      </c>
      <c r="R174">
        <v>42</v>
      </c>
      <c r="S174">
        <v>96</v>
      </c>
    </row>
    <row r="175" spans="1:19" x14ac:dyDescent="0.2">
      <c r="A175" t="s">
        <v>237</v>
      </c>
      <c r="B175" t="s">
        <v>368</v>
      </c>
      <c r="C175" t="s">
        <v>340</v>
      </c>
      <c r="D175">
        <v>71</v>
      </c>
      <c r="E175">
        <v>1597</v>
      </c>
      <c r="F175">
        <v>711</v>
      </c>
      <c r="G175">
        <v>491</v>
      </c>
      <c r="H175">
        <v>61</v>
      </c>
      <c r="I175">
        <v>35</v>
      </c>
      <c r="J175">
        <v>53</v>
      </c>
      <c r="K175">
        <v>1</v>
      </c>
      <c r="L175">
        <v>77</v>
      </c>
      <c r="M175" s="7">
        <v>0.59</v>
      </c>
      <c r="N175" s="7">
        <v>0.67100000000000004</v>
      </c>
      <c r="O175">
        <v>524.79999999999995</v>
      </c>
      <c r="P175">
        <v>135.30000000000001</v>
      </c>
      <c r="Q175" t="s">
        <v>653</v>
      </c>
      <c r="R175">
        <v>168</v>
      </c>
      <c r="S175">
        <v>104</v>
      </c>
    </row>
    <row r="176" spans="1:19" x14ac:dyDescent="0.2">
      <c r="A176" t="s">
        <v>251</v>
      </c>
      <c r="B176" t="s">
        <v>325</v>
      </c>
      <c r="C176" t="s">
        <v>333</v>
      </c>
      <c r="D176">
        <v>67</v>
      </c>
      <c r="E176">
        <v>1313</v>
      </c>
      <c r="F176">
        <v>660</v>
      </c>
      <c r="G176">
        <v>160</v>
      </c>
      <c r="H176">
        <v>174</v>
      </c>
      <c r="I176">
        <v>60</v>
      </c>
      <c r="J176">
        <v>14</v>
      </c>
      <c r="K176">
        <v>53</v>
      </c>
      <c r="L176">
        <v>70</v>
      </c>
      <c r="M176" s="7">
        <v>0.48299999999999998</v>
      </c>
      <c r="N176" s="7">
        <v>0.87</v>
      </c>
      <c r="O176">
        <v>505.4</v>
      </c>
      <c r="P176">
        <v>136.5</v>
      </c>
      <c r="Q176" t="s">
        <v>654</v>
      </c>
      <c r="R176">
        <v>144</v>
      </c>
    </row>
    <row r="177" spans="1:19" x14ac:dyDescent="0.2">
      <c r="A177" t="s">
        <v>219</v>
      </c>
      <c r="B177" t="s">
        <v>370</v>
      </c>
      <c r="C177" t="s">
        <v>330</v>
      </c>
      <c r="D177">
        <v>72</v>
      </c>
      <c r="E177">
        <v>1501</v>
      </c>
      <c r="F177">
        <v>712</v>
      </c>
      <c r="G177">
        <v>454</v>
      </c>
      <c r="H177">
        <v>87</v>
      </c>
      <c r="I177">
        <v>28</v>
      </c>
      <c r="J177">
        <v>58</v>
      </c>
      <c r="K177">
        <v>98</v>
      </c>
      <c r="L177">
        <v>65</v>
      </c>
      <c r="M177" s="7">
        <v>0.47799999999999998</v>
      </c>
      <c r="N177" s="7">
        <v>0.76</v>
      </c>
      <c r="O177">
        <v>541.6</v>
      </c>
      <c r="P177">
        <v>126.6</v>
      </c>
      <c r="Q177" t="s">
        <v>655</v>
      </c>
    </row>
    <row r="178" spans="1:19" x14ac:dyDescent="0.2">
      <c r="A178" t="s">
        <v>236</v>
      </c>
      <c r="B178" t="s">
        <v>357</v>
      </c>
      <c r="C178" t="s">
        <v>359</v>
      </c>
      <c r="D178">
        <v>72</v>
      </c>
      <c r="E178">
        <v>1577</v>
      </c>
      <c r="F178">
        <v>712</v>
      </c>
      <c r="G178">
        <v>349</v>
      </c>
      <c r="H178">
        <v>156</v>
      </c>
      <c r="I178">
        <v>43</v>
      </c>
      <c r="J178">
        <v>35</v>
      </c>
      <c r="K178">
        <v>93</v>
      </c>
      <c r="L178">
        <v>60</v>
      </c>
      <c r="M178" s="7">
        <v>0.48399999999999999</v>
      </c>
      <c r="N178" s="7">
        <v>0.67100000000000004</v>
      </c>
      <c r="O178">
        <v>548.29999999999995</v>
      </c>
      <c r="P178">
        <v>131.5</v>
      </c>
      <c r="Q178" t="s">
        <v>656</v>
      </c>
      <c r="S178">
        <v>131</v>
      </c>
    </row>
    <row r="179" spans="1:19" x14ac:dyDescent="0.2">
      <c r="A179" t="s">
        <v>122</v>
      </c>
      <c r="B179" t="s">
        <v>355</v>
      </c>
      <c r="C179" t="s">
        <v>349</v>
      </c>
      <c r="D179">
        <v>74</v>
      </c>
      <c r="E179">
        <v>1930</v>
      </c>
      <c r="F179">
        <v>730</v>
      </c>
      <c r="G179">
        <v>431</v>
      </c>
      <c r="H179">
        <v>214</v>
      </c>
      <c r="I179">
        <v>142</v>
      </c>
      <c r="J179">
        <v>73</v>
      </c>
      <c r="K179">
        <v>8</v>
      </c>
      <c r="L179">
        <v>113</v>
      </c>
      <c r="M179" s="7">
        <v>0.52300000000000002</v>
      </c>
      <c r="N179" s="7">
        <v>0.58499999999999996</v>
      </c>
      <c r="O179">
        <v>588.9</v>
      </c>
      <c r="P179">
        <v>181.3</v>
      </c>
      <c r="Q179" t="s">
        <v>620</v>
      </c>
      <c r="R179">
        <v>100</v>
      </c>
      <c r="S179">
        <v>98</v>
      </c>
    </row>
    <row r="180" spans="1:19" x14ac:dyDescent="0.2">
      <c r="A180" t="s">
        <v>153</v>
      </c>
      <c r="B180" t="s">
        <v>346</v>
      </c>
      <c r="C180" t="s">
        <v>333</v>
      </c>
      <c r="D180">
        <v>76</v>
      </c>
      <c r="E180">
        <v>1738</v>
      </c>
      <c r="F180">
        <v>741</v>
      </c>
      <c r="G180">
        <v>261</v>
      </c>
      <c r="H180">
        <v>279</v>
      </c>
      <c r="I180">
        <v>84</v>
      </c>
      <c r="J180">
        <v>15</v>
      </c>
      <c r="K180">
        <v>167</v>
      </c>
      <c r="L180">
        <v>88</v>
      </c>
      <c r="M180" s="7">
        <v>0.42</v>
      </c>
      <c r="N180" s="7">
        <v>0.871</v>
      </c>
      <c r="O180">
        <v>600.6</v>
      </c>
      <c r="P180">
        <v>79.8</v>
      </c>
      <c r="Q180" t="s">
        <v>657</v>
      </c>
      <c r="R180">
        <v>194</v>
      </c>
    </row>
    <row r="181" spans="1:19" x14ac:dyDescent="0.2">
      <c r="A181" t="s">
        <v>204</v>
      </c>
      <c r="B181" t="s">
        <v>373</v>
      </c>
      <c r="C181" t="s">
        <v>338</v>
      </c>
      <c r="D181">
        <v>73</v>
      </c>
      <c r="E181">
        <v>1852</v>
      </c>
      <c r="F181">
        <v>716</v>
      </c>
      <c r="G181">
        <v>245</v>
      </c>
      <c r="H181">
        <v>76</v>
      </c>
      <c r="I181">
        <v>66</v>
      </c>
      <c r="J181">
        <v>52</v>
      </c>
      <c r="K181">
        <v>80</v>
      </c>
      <c r="L181">
        <v>57</v>
      </c>
      <c r="M181" s="7">
        <v>0.50600000000000001</v>
      </c>
      <c r="N181" s="7">
        <v>0.72899999999999998</v>
      </c>
      <c r="O181">
        <v>534</v>
      </c>
      <c r="P181">
        <v>131.19999999999999</v>
      </c>
      <c r="Q181" t="s">
        <v>658</v>
      </c>
    </row>
    <row r="182" spans="1:19" x14ac:dyDescent="0.2">
      <c r="A182" t="s">
        <v>247</v>
      </c>
      <c r="B182" t="s">
        <v>366</v>
      </c>
      <c r="C182" t="s">
        <v>359</v>
      </c>
      <c r="D182">
        <v>71</v>
      </c>
      <c r="E182">
        <v>1304</v>
      </c>
      <c r="F182">
        <v>687</v>
      </c>
      <c r="G182">
        <v>262</v>
      </c>
      <c r="H182">
        <v>111</v>
      </c>
      <c r="I182">
        <v>36</v>
      </c>
      <c r="J182">
        <v>21</v>
      </c>
      <c r="K182">
        <v>85</v>
      </c>
      <c r="L182">
        <v>58</v>
      </c>
      <c r="M182" s="7">
        <v>0.53600000000000003</v>
      </c>
      <c r="N182" s="7">
        <v>0.79900000000000004</v>
      </c>
      <c r="O182">
        <v>477.6</v>
      </c>
      <c r="P182">
        <v>112.7</v>
      </c>
      <c r="Q182" t="s">
        <v>659</v>
      </c>
      <c r="S182">
        <v>165</v>
      </c>
    </row>
    <row r="183" spans="1:19" x14ac:dyDescent="0.2">
      <c r="A183" t="s">
        <v>150</v>
      </c>
      <c r="B183" t="s">
        <v>325</v>
      </c>
      <c r="C183" t="s">
        <v>340</v>
      </c>
      <c r="D183">
        <v>71</v>
      </c>
      <c r="E183">
        <v>1788</v>
      </c>
      <c r="F183">
        <v>691</v>
      </c>
      <c r="G183">
        <v>640</v>
      </c>
      <c r="H183">
        <v>234</v>
      </c>
      <c r="I183">
        <v>67</v>
      </c>
      <c r="J183">
        <v>55</v>
      </c>
      <c r="K183">
        <v>0</v>
      </c>
      <c r="L183">
        <v>116</v>
      </c>
      <c r="M183" s="7">
        <v>0.61199999999999999</v>
      </c>
      <c r="N183" s="7">
        <v>0.64900000000000002</v>
      </c>
      <c r="O183">
        <v>477.5</v>
      </c>
      <c r="P183">
        <v>164.1</v>
      </c>
      <c r="Q183" t="s">
        <v>660</v>
      </c>
      <c r="R183">
        <v>120</v>
      </c>
      <c r="S183">
        <v>112</v>
      </c>
    </row>
    <row r="184" spans="1:19" x14ac:dyDescent="0.2">
      <c r="A184" t="s">
        <v>239</v>
      </c>
      <c r="B184" t="s">
        <v>341</v>
      </c>
      <c r="C184" t="s">
        <v>382</v>
      </c>
      <c r="D184">
        <v>70</v>
      </c>
      <c r="E184">
        <v>1585</v>
      </c>
      <c r="F184">
        <v>680</v>
      </c>
      <c r="G184">
        <v>164</v>
      </c>
      <c r="H184">
        <v>136</v>
      </c>
      <c r="I184">
        <v>46</v>
      </c>
      <c r="J184">
        <v>10</v>
      </c>
      <c r="K184">
        <v>167</v>
      </c>
      <c r="L184">
        <v>46</v>
      </c>
      <c r="M184" s="7">
        <v>0.441</v>
      </c>
      <c r="N184" s="7">
        <v>0.86799999999999999</v>
      </c>
      <c r="O184">
        <v>497.1</v>
      </c>
      <c r="P184">
        <v>85.9</v>
      </c>
      <c r="Q184" t="s">
        <v>661</v>
      </c>
    </row>
    <row r="185" spans="1:19" x14ac:dyDescent="0.2">
      <c r="A185" t="s">
        <v>218</v>
      </c>
      <c r="B185" t="s">
        <v>396</v>
      </c>
      <c r="C185" t="s">
        <v>333</v>
      </c>
      <c r="D185">
        <v>71</v>
      </c>
      <c r="E185">
        <v>1483</v>
      </c>
      <c r="F185">
        <v>680</v>
      </c>
      <c r="G185">
        <v>191</v>
      </c>
      <c r="H185">
        <v>292</v>
      </c>
      <c r="I185">
        <v>96</v>
      </c>
      <c r="J185">
        <v>25</v>
      </c>
      <c r="K185">
        <v>74</v>
      </c>
      <c r="L185">
        <v>133</v>
      </c>
      <c r="M185" s="7">
        <v>0.45900000000000002</v>
      </c>
      <c r="N185" s="7">
        <v>0.747</v>
      </c>
      <c r="O185">
        <v>548.1</v>
      </c>
      <c r="P185">
        <v>137.69999999999999</v>
      </c>
      <c r="Q185" t="s">
        <v>662</v>
      </c>
      <c r="S185">
        <v>159</v>
      </c>
    </row>
    <row r="186" spans="1:19" x14ac:dyDescent="0.2">
      <c r="A186" t="s">
        <v>274</v>
      </c>
      <c r="B186" t="s">
        <v>378</v>
      </c>
      <c r="C186" t="s">
        <v>333</v>
      </c>
      <c r="D186">
        <v>75</v>
      </c>
      <c r="E186">
        <v>1643</v>
      </c>
      <c r="F186">
        <v>717</v>
      </c>
      <c r="G186">
        <v>164</v>
      </c>
      <c r="H186">
        <v>306</v>
      </c>
      <c r="I186">
        <v>44</v>
      </c>
      <c r="J186">
        <v>11</v>
      </c>
      <c r="K186">
        <v>96</v>
      </c>
      <c r="L186">
        <v>111</v>
      </c>
      <c r="M186" s="7">
        <v>0.40799999999999997</v>
      </c>
      <c r="N186" s="7">
        <v>0.83299999999999996</v>
      </c>
      <c r="O186">
        <v>578.4</v>
      </c>
      <c r="P186">
        <v>178.9</v>
      </c>
      <c r="Q186" t="s">
        <v>663</v>
      </c>
      <c r="S186">
        <v>175</v>
      </c>
    </row>
    <row r="187" spans="1:19" x14ac:dyDescent="0.2">
      <c r="A187" t="s">
        <v>226</v>
      </c>
      <c r="B187" t="s">
        <v>370</v>
      </c>
      <c r="C187" t="s">
        <v>333</v>
      </c>
      <c r="D187">
        <v>73</v>
      </c>
      <c r="E187">
        <v>1478</v>
      </c>
      <c r="F187">
        <v>682</v>
      </c>
      <c r="G187">
        <v>161</v>
      </c>
      <c r="H187">
        <v>281</v>
      </c>
      <c r="I187">
        <v>62</v>
      </c>
      <c r="J187">
        <v>7</v>
      </c>
      <c r="K187">
        <v>32</v>
      </c>
      <c r="L187">
        <v>69</v>
      </c>
      <c r="M187" s="7">
        <v>0.54500000000000004</v>
      </c>
      <c r="N187" s="7">
        <v>0.84099999999999997</v>
      </c>
      <c r="O187">
        <v>472.2</v>
      </c>
      <c r="P187">
        <v>160.9</v>
      </c>
      <c r="Q187" t="s">
        <v>664</v>
      </c>
    </row>
    <row r="188" spans="1:19" x14ac:dyDescent="0.2">
      <c r="A188" t="s">
        <v>211</v>
      </c>
      <c r="B188" t="s">
        <v>337</v>
      </c>
      <c r="C188" t="s">
        <v>338</v>
      </c>
      <c r="D188">
        <v>78</v>
      </c>
      <c r="E188">
        <v>1880</v>
      </c>
      <c r="F188">
        <v>723</v>
      </c>
      <c r="G188">
        <v>286</v>
      </c>
      <c r="H188">
        <v>96</v>
      </c>
      <c r="I188">
        <v>37</v>
      </c>
      <c r="J188">
        <v>19</v>
      </c>
      <c r="K188">
        <v>198</v>
      </c>
      <c r="L188">
        <v>32</v>
      </c>
      <c r="M188" s="7">
        <v>0.42299999999999999</v>
      </c>
      <c r="N188" s="7">
        <v>0.88800000000000001</v>
      </c>
      <c r="O188">
        <v>569</v>
      </c>
      <c r="P188">
        <v>49.2</v>
      </c>
      <c r="Q188" t="s">
        <v>653</v>
      </c>
      <c r="R188">
        <v>133</v>
      </c>
    </row>
    <row r="189" spans="1:19" x14ac:dyDescent="0.2">
      <c r="A189" t="s">
        <v>235</v>
      </c>
      <c r="B189" t="s">
        <v>362</v>
      </c>
      <c r="C189" t="s">
        <v>340</v>
      </c>
      <c r="D189">
        <v>68</v>
      </c>
      <c r="E189">
        <v>1557</v>
      </c>
      <c r="F189">
        <v>627</v>
      </c>
      <c r="G189">
        <v>560</v>
      </c>
      <c r="H189">
        <v>220</v>
      </c>
      <c r="I189">
        <v>68</v>
      </c>
      <c r="J189">
        <v>40</v>
      </c>
      <c r="K189">
        <v>33</v>
      </c>
      <c r="L189">
        <v>132</v>
      </c>
      <c r="M189" s="7">
        <v>0.495</v>
      </c>
      <c r="N189" s="7">
        <v>0.61499999999999999</v>
      </c>
      <c r="O189">
        <v>500.6</v>
      </c>
      <c r="P189">
        <v>160.1</v>
      </c>
      <c r="Q189" t="s">
        <v>665</v>
      </c>
      <c r="R189">
        <v>166</v>
      </c>
      <c r="S189">
        <v>158</v>
      </c>
    </row>
    <row r="190" spans="1:19" x14ac:dyDescent="0.2">
      <c r="A190" t="s">
        <v>240</v>
      </c>
      <c r="B190" t="s">
        <v>368</v>
      </c>
      <c r="C190" t="s">
        <v>371</v>
      </c>
      <c r="D190">
        <v>73</v>
      </c>
      <c r="E190">
        <v>1686</v>
      </c>
      <c r="F190">
        <v>677</v>
      </c>
      <c r="G190">
        <v>260</v>
      </c>
      <c r="H190">
        <v>154</v>
      </c>
      <c r="I190">
        <v>76</v>
      </c>
      <c r="J190">
        <v>50</v>
      </c>
      <c r="K190">
        <v>60</v>
      </c>
      <c r="L190">
        <v>96</v>
      </c>
      <c r="M190" s="7">
        <v>0.433</v>
      </c>
      <c r="N190" s="7">
        <v>0.747</v>
      </c>
      <c r="O190">
        <v>566.5</v>
      </c>
      <c r="P190">
        <v>169.2</v>
      </c>
      <c r="Q190" t="s">
        <v>666</v>
      </c>
    </row>
    <row r="191" spans="1:19" x14ac:dyDescent="0.2">
      <c r="A191" t="s">
        <v>162</v>
      </c>
      <c r="B191" t="s">
        <v>373</v>
      </c>
      <c r="C191" t="s">
        <v>340</v>
      </c>
      <c r="D191">
        <v>75</v>
      </c>
      <c r="E191">
        <v>1760</v>
      </c>
      <c r="F191">
        <v>694</v>
      </c>
      <c r="G191">
        <v>289</v>
      </c>
      <c r="H191">
        <v>99</v>
      </c>
      <c r="I191">
        <v>42</v>
      </c>
      <c r="J191">
        <v>104</v>
      </c>
      <c r="K191">
        <v>106</v>
      </c>
      <c r="L191">
        <v>59</v>
      </c>
      <c r="M191" s="7">
        <v>0.47299999999999998</v>
      </c>
      <c r="N191" s="7">
        <v>0.80800000000000005</v>
      </c>
      <c r="O191">
        <v>535.6</v>
      </c>
      <c r="P191">
        <v>100.7</v>
      </c>
      <c r="Q191" t="s">
        <v>667</v>
      </c>
      <c r="R191">
        <v>77</v>
      </c>
    </row>
    <row r="192" spans="1:19" x14ac:dyDescent="0.2">
      <c r="A192" t="s">
        <v>255</v>
      </c>
      <c r="B192" t="s">
        <v>379</v>
      </c>
      <c r="C192" t="s">
        <v>365</v>
      </c>
      <c r="D192">
        <v>75</v>
      </c>
      <c r="E192">
        <v>1569</v>
      </c>
      <c r="F192">
        <v>689</v>
      </c>
      <c r="G192">
        <v>356</v>
      </c>
      <c r="H192">
        <v>161</v>
      </c>
      <c r="I192">
        <v>38</v>
      </c>
      <c r="J192">
        <v>41</v>
      </c>
      <c r="K192">
        <v>87</v>
      </c>
      <c r="L192">
        <v>93</v>
      </c>
      <c r="M192" s="7">
        <v>0.436</v>
      </c>
      <c r="N192" s="7">
        <v>0.77100000000000002</v>
      </c>
      <c r="O192">
        <v>556.29999999999995</v>
      </c>
      <c r="P192">
        <v>151.6</v>
      </c>
      <c r="Q192" t="s">
        <v>668</v>
      </c>
    </row>
    <row r="193" spans="1:19" x14ac:dyDescent="0.2">
      <c r="A193" t="s">
        <v>229</v>
      </c>
      <c r="B193" t="s">
        <v>362</v>
      </c>
      <c r="C193" t="s">
        <v>365</v>
      </c>
      <c r="D193">
        <v>76</v>
      </c>
      <c r="E193">
        <v>1514</v>
      </c>
      <c r="F193">
        <v>695</v>
      </c>
      <c r="G193">
        <v>430</v>
      </c>
      <c r="H193">
        <v>156</v>
      </c>
      <c r="I193">
        <v>60</v>
      </c>
      <c r="J193">
        <v>30</v>
      </c>
      <c r="K193">
        <v>62</v>
      </c>
      <c r="L193">
        <v>97</v>
      </c>
      <c r="M193" s="7">
        <v>0.49199999999999999</v>
      </c>
      <c r="N193" s="7">
        <v>0.72499999999999998</v>
      </c>
      <c r="O193">
        <v>519.4</v>
      </c>
      <c r="P193">
        <v>168.2</v>
      </c>
      <c r="Q193" t="s">
        <v>669</v>
      </c>
      <c r="R193">
        <v>173</v>
      </c>
      <c r="S193">
        <v>183</v>
      </c>
    </row>
    <row r="194" spans="1:19" x14ac:dyDescent="0.2">
      <c r="A194" t="s">
        <v>171</v>
      </c>
      <c r="B194" t="s">
        <v>357</v>
      </c>
      <c r="C194" t="s">
        <v>340</v>
      </c>
      <c r="D194">
        <v>73</v>
      </c>
      <c r="E194">
        <v>1403</v>
      </c>
      <c r="F194">
        <v>671</v>
      </c>
      <c r="G194">
        <v>419</v>
      </c>
      <c r="H194">
        <v>81</v>
      </c>
      <c r="I194">
        <v>40</v>
      </c>
      <c r="J194">
        <v>95</v>
      </c>
      <c r="K194">
        <v>0</v>
      </c>
      <c r="L194">
        <v>66</v>
      </c>
      <c r="M194" s="7">
        <v>0.69599999999999995</v>
      </c>
      <c r="N194" s="7">
        <v>0.68700000000000006</v>
      </c>
      <c r="O194">
        <v>396.2</v>
      </c>
      <c r="P194">
        <v>173.9</v>
      </c>
      <c r="Q194" t="s">
        <v>670</v>
      </c>
      <c r="R194">
        <v>109</v>
      </c>
      <c r="S194">
        <v>130</v>
      </c>
    </row>
    <row r="195" spans="1:19" x14ac:dyDescent="0.2">
      <c r="A195" t="s">
        <v>225</v>
      </c>
      <c r="B195" t="s">
        <v>355</v>
      </c>
      <c r="C195" t="s">
        <v>371</v>
      </c>
      <c r="D195">
        <v>74</v>
      </c>
      <c r="E195">
        <v>1645</v>
      </c>
      <c r="F195">
        <v>673</v>
      </c>
      <c r="G195">
        <v>233</v>
      </c>
      <c r="H195">
        <v>165</v>
      </c>
      <c r="I195">
        <v>69</v>
      </c>
      <c r="J195">
        <v>34</v>
      </c>
      <c r="K195">
        <v>105</v>
      </c>
      <c r="L195">
        <v>73</v>
      </c>
      <c r="M195" s="7">
        <v>0.44400000000000001</v>
      </c>
      <c r="N195" s="7">
        <v>0.76400000000000001</v>
      </c>
      <c r="O195">
        <v>568.70000000000005</v>
      </c>
      <c r="P195">
        <v>82.4</v>
      </c>
      <c r="Q195" t="s">
        <v>671</v>
      </c>
    </row>
    <row r="196" spans="1:19" x14ac:dyDescent="0.2">
      <c r="A196" t="s">
        <v>200</v>
      </c>
      <c r="B196" t="s">
        <v>348</v>
      </c>
      <c r="C196" t="s">
        <v>349</v>
      </c>
      <c r="D196">
        <v>72</v>
      </c>
      <c r="E196">
        <v>1583</v>
      </c>
      <c r="F196">
        <v>653</v>
      </c>
      <c r="G196">
        <v>381</v>
      </c>
      <c r="H196">
        <v>86</v>
      </c>
      <c r="I196">
        <v>81</v>
      </c>
      <c r="J196">
        <v>36</v>
      </c>
      <c r="K196">
        <v>86</v>
      </c>
      <c r="L196">
        <v>80</v>
      </c>
      <c r="M196" s="7">
        <v>0.44400000000000001</v>
      </c>
      <c r="N196" s="7">
        <v>0.76500000000000001</v>
      </c>
      <c r="O196">
        <v>566.5</v>
      </c>
      <c r="P196">
        <v>83.6</v>
      </c>
      <c r="Q196" t="s">
        <v>672</v>
      </c>
      <c r="S196">
        <v>142</v>
      </c>
    </row>
    <row r="197" spans="1:19" x14ac:dyDescent="0.2">
      <c r="A197" t="s">
        <v>156</v>
      </c>
      <c r="B197" t="s">
        <v>337</v>
      </c>
      <c r="C197" t="s">
        <v>340</v>
      </c>
      <c r="D197">
        <v>75</v>
      </c>
      <c r="E197">
        <v>1640</v>
      </c>
      <c r="F197">
        <v>679</v>
      </c>
      <c r="G197">
        <v>534</v>
      </c>
      <c r="H197">
        <v>99</v>
      </c>
      <c r="I197">
        <v>45</v>
      </c>
      <c r="J197">
        <v>79</v>
      </c>
      <c r="K197">
        <v>0</v>
      </c>
      <c r="L197">
        <v>70</v>
      </c>
      <c r="M197" s="7">
        <v>0.64200000000000002</v>
      </c>
      <c r="N197" s="7">
        <v>0.71299999999999997</v>
      </c>
      <c r="O197">
        <v>444</v>
      </c>
      <c r="P197">
        <v>152.69999999999999</v>
      </c>
      <c r="Q197" t="s">
        <v>673</v>
      </c>
      <c r="R197">
        <v>124</v>
      </c>
      <c r="S197">
        <v>147</v>
      </c>
    </row>
    <row r="198" spans="1:19" x14ac:dyDescent="0.2">
      <c r="A198" t="s">
        <v>187</v>
      </c>
      <c r="B198" t="s">
        <v>351</v>
      </c>
      <c r="C198" t="s">
        <v>349</v>
      </c>
      <c r="D198">
        <v>80</v>
      </c>
      <c r="E198">
        <v>1873</v>
      </c>
      <c r="F198">
        <v>719</v>
      </c>
      <c r="G198">
        <v>359</v>
      </c>
      <c r="H198">
        <v>101</v>
      </c>
      <c r="I198">
        <v>51</v>
      </c>
      <c r="J198">
        <v>32</v>
      </c>
      <c r="K198">
        <v>154</v>
      </c>
      <c r="L198">
        <v>55</v>
      </c>
      <c r="M198" s="7">
        <v>0.432</v>
      </c>
      <c r="N198" s="7">
        <v>0.85499999999999998</v>
      </c>
      <c r="O198">
        <v>543.20000000000005</v>
      </c>
      <c r="P198">
        <v>111.9</v>
      </c>
      <c r="Q198" t="s">
        <v>630</v>
      </c>
      <c r="R198">
        <v>165</v>
      </c>
      <c r="S198">
        <v>163</v>
      </c>
    </row>
    <row r="199" spans="1:19" x14ac:dyDescent="0.2">
      <c r="A199" t="s">
        <v>272</v>
      </c>
      <c r="B199" t="s">
        <v>362</v>
      </c>
      <c r="C199" t="s">
        <v>333</v>
      </c>
      <c r="D199">
        <v>73</v>
      </c>
      <c r="E199">
        <v>1666</v>
      </c>
      <c r="F199">
        <v>651</v>
      </c>
      <c r="G199">
        <v>171</v>
      </c>
      <c r="H199">
        <v>425</v>
      </c>
      <c r="I199">
        <v>70</v>
      </c>
      <c r="J199">
        <v>18</v>
      </c>
      <c r="K199">
        <v>30</v>
      </c>
      <c r="L199">
        <v>157</v>
      </c>
      <c r="M199" s="7">
        <v>0.46700000000000003</v>
      </c>
      <c r="N199" s="7">
        <v>0.71399999999999997</v>
      </c>
      <c r="O199">
        <v>520.1</v>
      </c>
      <c r="P199">
        <v>189.4</v>
      </c>
      <c r="Q199" t="s">
        <v>535</v>
      </c>
      <c r="R199">
        <v>178</v>
      </c>
      <c r="S199">
        <v>169</v>
      </c>
    </row>
    <row r="200" spans="1:19" x14ac:dyDescent="0.2">
      <c r="A200" t="s">
        <v>221</v>
      </c>
      <c r="B200" t="s">
        <v>377</v>
      </c>
      <c r="C200" t="s">
        <v>371</v>
      </c>
      <c r="D200">
        <v>75</v>
      </c>
      <c r="E200">
        <v>2090</v>
      </c>
      <c r="F200">
        <v>669</v>
      </c>
      <c r="G200">
        <v>267</v>
      </c>
      <c r="H200">
        <v>107</v>
      </c>
      <c r="I200">
        <v>67</v>
      </c>
      <c r="J200">
        <v>32</v>
      </c>
      <c r="K200">
        <v>152</v>
      </c>
      <c r="L200">
        <v>61</v>
      </c>
      <c r="M200" s="7">
        <v>0.40899999999999997</v>
      </c>
      <c r="N200" s="7">
        <v>0.749</v>
      </c>
      <c r="O200">
        <v>559.6</v>
      </c>
      <c r="P200">
        <v>79.099999999999994</v>
      </c>
      <c r="Q200" t="s">
        <v>674</v>
      </c>
      <c r="S200">
        <v>188</v>
      </c>
    </row>
    <row r="201" spans="1:19" x14ac:dyDescent="0.2">
      <c r="A201" t="s">
        <v>148</v>
      </c>
      <c r="B201" t="s">
        <v>357</v>
      </c>
      <c r="C201" t="s">
        <v>340</v>
      </c>
      <c r="D201">
        <v>72</v>
      </c>
      <c r="E201">
        <v>1678</v>
      </c>
      <c r="F201">
        <v>634</v>
      </c>
      <c r="G201">
        <v>487</v>
      </c>
      <c r="H201">
        <v>152</v>
      </c>
      <c r="I201">
        <v>42</v>
      </c>
      <c r="J201">
        <v>98</v>
      </c>
      <c r="K201">
        <v>0</v>
      </c>
      <c r="L201">
        <v>72</v>
      </c>
      <c r="M201" s="7">
        <v>0.72499999999999998</v>
      </c>
      <c r="N201" s="7">
        <v>0.61799999999999999</v>
      </c>
      <c r="O201">
        <v>381</v>
      </c>
      <c r="P201">
        <v>131.9</v>
      </c>
      <c r="Q201" t="s">
        <v>675</v>
      </c>
    </row>
    <row r="202" spans="1:19" x14ac:dyDescent="0.2">
      <c r="A202" t="s">
        <v>205</v>
      </c>
      <c r="B202" t="s">
        <v>329</v>
      </c>
      <c r="C202" t="s">
        <v>326</v>
      </c>
      <c r="D202">
        <v>75</v>
      </c>
      <c r="E202">
        <v>2096</v>
      </c>
      <c r="F202">
        <v>659</v>
      </c>
      <c r="G202">
        <v>182</v>
      </c>
      <c r="H202">
        <v>437</v>
      </c>
      <c r="I202">
        <v>73</v>
      </c>
      <c r="J202">
        <v>15</v>
      </c>
      <c r="K202">
        <v>92</v>
      </c>
      <c r="L202">
        <v>114</v>
      </c>
      <c r="M202" s="7">
        <v>0.48799999999999999</v>
      </c>
      <c r="N202" s="7">
        <v>0.65400000000000003</v>
      </c>
      <c r="O202">
        <v>525.1</v>
      </c>
      <c r="P202">
        <v>83.4</v>
      </c>
      <c r="Q202" t="s">
        <v>676</v>
      </c>
      <c r="R202">
        <v>151</v>
      </c>
      <c r="S202">
        <v>185</v>
      </c>
    </row>
    <row r="203" spans="1:19" x14ac:dyDescent="0.2">
      <c r="A203" t="s">
        <v>193</v>
      </c>
      <c r="B203" t="s">
        <v>379</v>
      </c>
      <c r="C203" t="s">
        <v>340</v>
      </c>
      <c r="D203">
        <v>74</v>
      </c>
      <c r="E203">
        <v>1503</v>
      </c>
      <c r="F203">
        <v>648</v>
      </c>
      <c r="G203">
        <v>511</v>
      </c>
      <c r="H203">
        <v>153</v>
      </c>
      <c r="I203">
        <v>65</v>
      </c>
      <c r="J203">
        <v>59</v>
      </c>
      <c r="K203">
        <v>15</v>
      </c>
      <c r="L203">
        <v>111</v>
      </c>
      <c r="M203" s="7">
        <v>0.55800000000000005</v>
      </c>
      <c r="N203" s="7">
        <v>0.69799999999999995</v>
      </c>
      <c r="O203">
        <v>455.7</v>
      </c>
      <c r="P203">
        <v>178.2</v>
      </c>
      <c r="Q203" t="s">
        <v>677</v>
      </c>
      <c r="R203">
        <v>103</v>
      </c>
    </row>
    <row r="204" spans="1:19" x14ac:dyDescent="0.2">
      <c r="A204" t="s">
        <v>199</v>
      </c>
      <c r="B204" t="s">
        <v>364</v>
      </c>
      <c r="C204" t="s">
        <v>349</v>
      </c>
      <c r="D204">
        <v>71</v>
      </c>
      <c r="E204">
        <v>1997</v>
      </c>
      <c r="F204">
        <v>617</v>
      </c>
      <c r="G204">
        <v>230</v>
      </c>
      <c r="H204">
        <v>184</v>
      </c>
      <c r="I204">
        <v>101</v>
      </c>
      <c r="J204">
        <v>32</v>
      </c>
      <c r="K204">
        <v>90</v>
      </c>
      <c r="L204">
        <v>90</v>
      </c>
      <c r="M204" s="7">
        <v>0.40200000000000002</v>
      </c>
      <c r="N204" s="7">
        <v>0.81299999999999994</v>
      </c>
      <c r="O204">
        <v>563</v>
      </c>
      <c r="P204">
        <v>91.5</v>
      </c>
      <c r="Q204" t="s">
        <v>678</v>
      </c>
    </row>
    <row r="205" spans="1:19" x14ac:dyDescent="0.2">
      <c r="A205" t="s">
        <v>287</v>
      </c>
      <c r="B205" t="s">
        <v>368</v>
      </c>
      <c r="C205" t="s">
        <v>349</v>
      </c>
      <c r="D205">
        <v>66</v>
      </c>
      <c r="E205">
        <v>1222</v>
      </c>
      <c r="F205">
        <v>564</v>
      </c>
      <c r="G205">
        <v>193</v>
      </c>
      <c r="H205">
        <v>174</v>
      </c>
      <c r="I205">
        <v>39</v>
      </c>
      <c r="J205">
        <v>10</v>
      </c>
      <c r="K205">
        <v>59</v>
      </c>
      <c r="L205">
        <v>92</v>
      </c>
      <c r="M205" s="7">
        <v>0.45</v>
      </c>
      <c r="N205" s="7">
        <v>0.86399999999999999</v>
      </c>
      <c r="O205">
        <v>452.9</v>
      </c>
      <c r="P205">
        <v>112.7</v>
      </c>
      <c r="Q205" t="s">
        <v>679</v>
      </c>
    </row>
    <row r="206" spans="1:19" x14ac:dyDescent="0.2">
      <c r="A206" t="s">
        <v>243</v>
      </c>
      <c r="B206" t="s">
        <v>366</v>
      </c>
      <c r="C206" t="s">
        <v>326</v>
      </c>
      <c r="D206">
        <v>74</v>
      </c>
      <c r="E206">
        <v>1208</v>
      </c>
      <c r="F206">
        <v>631</v>
      </c>
      <c r="G206">
        <v>165</v>
      </c>
      <c r="H206">
        <v>321</v>
      </c>
      <c r="I206">
        <v>63</v>
      </c>
      <c r="J206">
        <v>12</v>
      </c>
      <c r="K206">
        <v>16</v>
      </c>
      <c r="L206">
        <v>89</v>
      </c>
      <c r="M206" s="7">
        <v>0.53800000000000003</v>
      </c>
      <c r="N206" s="7">
        <v>0.77800000000000002</v>
      </c>
      <c r="O206">
        <v>524.70000000000005</v>
      </c>
      <c r="P206">
        <v>64.900000000000006</v>
      </c>
      <c r="Q206" t="s">
        <v>680</v>
      </c>
      <c r="R206">
        <v>96</v>
      </c>
      <c r="S206">
        <v>105</v>
      </c>
    </row>
    <row r="207" spans="1:19" x14ac:dyDescent="0.2">
      <c r="A207" t="s">
        <v>275</v>
      </c>
      <c r="B207" t="s">
        <v>377</v>
      </c>
      <c r="C207" t="s">
        <v>371</v>
      </c>
      <c r="D207">
        <v>75</v>
      </c>
      <c r="E207">
        <v>1319</v>
      </c>
      <c r="F207">
        <v>623</v>
      </c>
      <c r="G207">
        <v>201</v>
      </c>
      <c r="H207">
        <v>101</v>
      </c>
      <c r="I207">
        <v>43</v>
      </c>
      <c r="J207">
        <v>15</v>
      </c>
      <c r="K207">
        <v>91</v>
      </c>
      <c r="L207">
        <v>63</v>
      </c>
      <c r="M207" s="7">
        <v>0.46899999999999997</v>
      </c>
      <c r="N207" s="7">
        <v>0.80200000000000005</v>
      </c>
      <c r="O207">
        <v>499.6</v>
      </c>
      <c r="P207">
        <v>79</v>
      </c>
      <c r="Q207" t="s">
        <v>681</v>
      </c>
      <c r="R207">
        <v>90</v>
      </c>
      <c r="S207">
        <v>199</v>
      </c>
    </row>
    <row r="208" spans="1:19" x14ac:dyDescent="0.2">
      <c r="A208" t="s">
        <v>189</v>
      </c>
      <c r="B208" t="s">
        <v>345</v>
      </c>
      <c r="C208" t="s">
        <v>330</v>
      </c>
      <c r="D208">
        <v>72</v>
      </c>
      <c r="E208">
        <v>1940</v>
      </c>
      <c r="F208">
        <v>591</v>
      </c>
      <c r="G208">
        <v>405</v>
      </c>
      <c r="H208">
        <v>377</v>
      </c>
      <c r="I208">
        <v>82</v>
      </c>
      <c r="J208">
        <v>52</v>
      </c>
      <c r="K208">
        <v>90</v>
      </c>
      <c r="L208">
        <v>180</v>
      </c>
      <c r="M208" s="7">
        <v>0.42499999999999999</v>
      </c>
      <c r="N208" s="7">
        <v>0.69599999999999995</v>
      </c>
      <c r="O208">
        <v>509.6</v>
      </c>
      <c r="P208">
        <v>97.5</v>
      </c>
      <c r="Q208" t="s">
        <v>638</v>
      </c>
      <c r="R208">
        <v>145</v>
      </c>
      <c r="S208">
        <v>106</v>
      </c>
    </row>
    <row r="209" spans="1:19" x14ac:dyDescent="0.2">
      <c r="A209" t="s">
        <v>252</v>
      </c>
      <c r="B209" t="s">
        <v>373</v>
      </c>
      <c r="C209" t="s">
        <v>359</v>
      </c>
      <c r="D209">
        <v>70</v>
      </c>
      <c r="E209">
        <v>1559</v>
      </c>
      <c r="F209">
        <v>572</v>
      </c>
      <c r="G209">
        <v>257</v>
      </c>
      <c r="H209">
        <v>178</v>
      </c>
      <c r="I209">
        <v>41</v>
      </c>
      <c r="J209">
        <v>17</v>
      </c>
      <c r="K209">
        <v>125</v>
      </c>
      <c r="L209">
        <v>68</v>
      </c>
      <c r="M209" s="7">
        <v>0.437</v>
      </c>
      <c r="N209" s="7">
        <v>0.82399999999999995</v>
      </c>
      <c r="O209">
        <v>434.9</v>
      </c>
      <c r="P209">
        <v>81.2</v>
      </c>
      <c r="Q209" t="s">
        <v>682</v>
      </c>
    </row>
    <row r="210" spans="1:19" x14ac:dyDescent="0.2">
      <c r="A210" t="s">
        <v>124</v>
      </c>
      <c r="B210" t="s">
        <v>325</v>
      </c>
      <c r="C210" t="s">
        <v>335</v>
      </c>
      <c r="D210">
        <v>77</v>
      </c>
      <c r="E210">
        <v>2028</v>
      </c>
      <c r="F210">
        <v>632</v>
      </c>
      <c r="G210">
        <v>230</v>
      </c>
      <c r="H210">
        <v>186</v>
      </c>
      <c r="I210">
        <v>142</v>
      </c>
      <c r="J210">
        <v>30</v>
      </c>
      <c r="K210">
        <v>94</v>
      </c>
      <c r="L210">
        <v>67</v>
      </c>
      <c r="M210" s="7">
        <v>0.44500000000000001</v>
      </c>
      <c r="N210" s="7">
        <v>0.80400000000000005</v>
      </c>
      <c r="O210">
        <v>531.4</v>
      </c>
      <c r="P210">
        <v>80.900000000000006</v>
      </c>
      <c r="Q210" t="s">
        <v>683</v>
      </c>
      <c r="R210">
        <v>150</v>
      </c>
      <c r="S210">
        <v>155</v>
      </c>
    </row>
    <row r="211" spans="1:19" x14ac:dyDescent="0.2">
      <c r="A211" t="s">
        <v>191</v>
      </c>
      <c r="B211" t="s">
        <v>345</v>
      </c>
      <c r="C211" t="s">
        <v>330</v>
      </c>
      <c r="D211">
        <v>68</v>
      </c>
      <c r="E211">
        <v>1628</v>
      </c>
      <c r="F211">
        <v>550</v>
      </c>
      <c r="G211">
        <v>362</v>
      </c>
      <c r="H211">
        <v>152</v>
      </c>
      <c r="I211">
        <v>45</v>
      </c>
      <c r="J211">
        <v>59</v>
      </c>
      <c r="K211">
        <v>110</v>
      </c>
      <c r="L211">
        <v>57</v>
      </c>
      <c r="M211" s="7">
        <v>0.436</v>
      </c>
      <c r="N211" s="7">
        <v>0.875</v>
      </c>
      <c r="O211">
        <v>441.8</v>
      </c>
      <c r="P211">
        <v>62.5</v>
      </c>
      <c r="Q211" t="s">
        <v>684</v>
      </c>
      <c r="R211">
        <v>87</v>
      </c>
      <c r="S211">
        <v>196</v>
      </c>
    </row>
    <row r="212" spans="1:19" x14ac:dyDescent="0.2">
      <c r="A212" t="s">
        <v>245</v>
      </c>
      <c r="B212" t="s">
        <v>385</v>
      </c>
      <c r="C212" t="s">
        <v>330</v>
      </c>
      <c r="D212">
        <v>75</v>
      </c>
      <c r="E212">
        <v>1578</v>
      </c>
      <c r="F212">
        <v>604</v>
      </c>
      <c r="G212">
        <v>419</v>
      </c>
      <c r="H212">
        <v>85</v>
      </c>
      <c r="I212">
        <v>57</v>
      </c>
      <c r="J212">
        <v>49</v>
      </c>
      <c r="K212">
        <v>21</v>
      </c>
      <c r="L212">
        <v>58</v>
      </c>
      <c r="M212" s="7">
        <v>0.52800000000000002</v>
      </c>
      <c r="N212" s="7">
        <v>0.56499999999999995</v>
      </c>
      <c r="O212">
        <v>490.5</v>
      </c>
      <c r="P212">
        <v>115</v>
      </c>
      <c r="Q212" t="s">
        <v>507</v>
      </c>
    </row>
    <row r="213" spans="1:19" x14ac:dyDescent="0.2">
      <c r="A213" t="s">
        <v>285</v>
      </c>
      <c r="B213" t="s">
        <v>379</v>
      </c>
      <c r="C213" t="s">
        <v>365</v>
      </c>
      <c r="D213">
        <v>74</v>
      </c>
      <c r="E213">
        <v>1420</v>
      </c>
      <c r="F213">
        <v>594</v>
      </c>
      <c r="G213">
        <v>214</v>
      </c>
      <c r="H213">
        <v>74</v>
      </c>
      <c r="I213">
        <v>36</v>
      </c>
      <c r="J213">
        <v>36</v>
      </c>
      <c r="K213">
        <v>98</v>
      </c>
      <c r="L213">
        <v>73</v>
      </c>
      <c r="M213" s="7">
        <v>0.38700000000000001</v>
      </c>
      <c r="N213" s="7">
        <v>0.80800000000000005</v>
      </c>
      <c r="O213">
        <v>469.9</v>
      </c>
      <c r="P213">
        <v>163.69999999999999</v>
      </c>
      <c r="Q213" t="s">
        <v>685</v>
      </c>
    </row>
    <row r="214" spans="1:19" x14ac:dyDescent="0.2">
      <c r="A214" t="s">
        <v>279</v>
      </c>
      <c r="B214" t="s">
        <v>368</v>
      </c>
      <c r="C214" t="s">
        <v>333</v>
      </c>
      <c r="D214">
        <v>80</v>
      </c>
      <c r="E214">
        <v>1892</v>
      </c>
      <c r="F214">
        <v>644</v>
      </c>
      <c r="G214">
        <v>230</v>
      </c>
      <c r="H214">
        <v>283</v>
      </c>
      <c r="I214">
        <v>41</v>
      </c>
      <c r="J214">
        <v>16</v>
      </c>
      <c r="K214">
        <v>115</v>
      </c>
      <c r="L214">
        <v>137</v>
      </c>
      <c r="M214" s="7">
        <v>0.41499999999999998</v>
      </c>
      <c r="N214" s="7">
        <v>0.755</v>
      </c>
      <c r="O214">
        <v>550.9</v>
      </c>
      <c r="P214">
        <v>95.1</v>
      </c>
      <c r="Q214" t="s">
        <v>686</v>
      </c>
    </row>
    <row r="215" spans="1:19" x14ac:dyDescent="0.2">
      <c r="A215" t="s">
        <v>276</v>
      </c>
      <c r="B215" t="s">
        <v>339</v>
      </c>
      <c r="C215" t="s">
        <v>330</v>
      </c>
      <c r="D215">
        <v>70</v>
      </c>
      <c r="E215">
        <v>1073</v>
      </c>
      <c r="F215">
        <v>558</v>
      </c>
      <c r="G215">
        <v>322</v>
      </c>
      <c r="H215">
        <v>73</v>
      </c>
      <c r="I215">
        <v>23</v>
      </c>
      <c r="J215">
        <v>38</v>
      </c>
      <c r="K215">
        <v>20</v>
      </c>
      <c r="L215">
        <v>52</v>
      </c>
      <c r="M215" s="7">
        <v>0.626</v>
      </c>
      <c r="N215" s="7">
        <v>0.66300000000000003</v>
      </c>
      <c r="O215">
        <v>368.4</v>
      </c>
      <c r="P215">
        <v>115.9</v>
      </c>
      <c r="Q215" t="s">
        <v>687</v>
      </c>
    </row>
    <row r="216" spans="1:19" x14ac:dyDescent="0.2">
      <c r="A216" t="s">
        <v>224</v>
      </c>
      <c r="B216" t="s">
        <v>364</v>
      </c>
      <c r="C216" t="s">
        <v>340</v>
      </c>
      <c r="D216">
        <v>73</v>
      </c>
      <c r="E216">
        <v>1831</v>
      </c>
      <c r="F216">
        <v>574</v>
      </c>
      <c r="G216">
        <v>529</v>
      </c>
      <c r="H216">
        <v>106</v>
      </c>
      <c r="I216">
        <v>29</v>
      </c>
      <c r="J216">
        <v>113</v>
      </c>
      <c r="K216">
        <v>0</v>
      </c>
      <c r="L216">
        <v>73</v>
      </c>
      <c r="M216" s="7">
        <v>0.55300000000000005</v>
      </c>
      <c r="N216" s="7">
        <v>0.58799999999999997</v>
      </c>
      <c r="O216">
        <v>439.7</v>
      </c>
      <c r="P216">
        <v>149.1</v>
      </c>
      <c r="Q216" t="s">
        <v>688</v>
      </c>
    </row>
    <row r="217" spans="1:19" x14ac:dyDescent="0.2">
      <c r="A217" t="s">
        <v>223</v>
      </c>
      <c r="B217" t="s">
        <v>378</v>
      </c>
      <c r="C217" t="s">
        <v>338</v>
      </c>
      <c r="D217">
        <v>77</v>
      </c>
      <c r="E217">
        <v>1718</v>
      </c>
      <c r="F217">
        <v>608</v>
      </c>
      <c r="G217">
        <v>295</v>
      </c>
      <c r="H217">
        <v>152</v>
      </c>
      <c r="I217">
        <v>56</v>
      </c>
      <c r="J217">
        <v>26</v>
      </c>
      <c r="K217">
        <v>169</v>
      </c>
      <c r="L217">
        <v>73</v>
      </c>
      <c r="M217" s="7">
        <v>0.42499999999999999</v>
      </c>
      <c r="N217" s="7">
        <v>0.72099999999999997</v>
      </c>
      <c r="O217">
        <v>474</v>
      </c>
      <c r="P217">
        <v>50.1</v>
      </c>
      <c r="Q217" t="s">
        <v>689</v>
      </c>
    </row>
    <row r="218" spans="1:19" x14ac:dyDescent="0.2">
      <c r="A218" t="s">
        <v>231</v>
      </c>
      <c r="B218" t="s">
        <v>346</v>
      </c>
      <c r="C218" t="s">
        <v>335</v>
      </c>
      <c r="D218">
        <v>76</v>
      </c>
      <c r="E218">
        <v>1614</v>
      </c>
      <c r="F218">
        <v>597</v>
      </c>
      <c r="G218">
        <v>183</v>
      </c>
      <c r="H218">
        <v>171</v>
      </c>
      <c r="I218">
        <v>57</v>
      </c>
      <c r="J218">
        <v>8</v>
      </c>
      <c r="K218">
        <v>112</v>
      </c>
      <c r="L218">
        <v>59</v>
      </c>
      <c r="M218" s="7">
        <v>0.501</v>
      </c>
      <c r="N218" s="7">
        <v>0.9</v>
      </c>
      <c r="O218">
        <v>414.4</v>
      </c>
      <c r="P218">
        <v>77.599999999999994</v>
      </c>
      <c r="Q218" t="s">
        <v>690</v>
      </c>
      <c r="R218">
        <v>95</v>
      </c>
    </row>
    <row r="219" spans="1:19" x14ac:dyDescent="0.2">
      <c r="A219" t="s">
        <v>222</v>
      </c>
      <c r="B219" t="s">
        <v>353</v>
      </c>
      <c r="C219" t="s">
        <v>365</v>
      </c>
      <c r="D219">
        <v>72</v>
      </c>
      <c r="E219">
        <v>1435</v>
      </c>
      <c r="F219">
        <v>566</v>
      </c>
      <c r="G219">
        <v>319</v>
      </c>
      <c r="H219">
        <v>116</v>
      </c>
      <c r="I219">
        <v>61</v>
      </c>
      <c r="J219">
        <v>60</v>
      </c>
      <c r="K219">
        <v>18</v>
      </c>
      <c r="L219">
        <v>69</v>
      </c>
      <c r="M219" s="7">
        <v>0.6</v>
      </c>
      <c r="N219" s="7">
        <v>0.67500000000000004</v>
      </c>
      <c r="O219">
        <v>387</v>
      </c>
      <c r="P219">
        <v>123.9</v>
      </c>
      <c r="Q219" t="s">
        <v>627</v>
      </c>
      <c r="R219">
        <v>184</v>
      </c>
      <c r="S219">
        <v>180</v>
      </c>
    </row>
    <row r="220" spans="1:19" x14ac:dyDescent="0.2">
      <c r="A220" t="s">
        <v>262</v>
      </c>
      <c r="B220" t="s">
        <v>369</v>
      </c>
      <c r="C220" t="s">
        <v>359</v>
      </c>
      <c r="D220">
        <v>74</v>
      </c>
      <c r="E220">
        <v>1592</v>
      </c>
      <c r="F220">
        <v>580</v>
      </c>
      <c r="G220">
        <v>339</v>
      </c>
      <c r="H220">
        <v>86</v>
      </c>
      <c r="I220">
        <v>48</v>
      </c>
      <c r="J220">
        <v>54</v>
      </c>
      <c r="K220">
        <v>35</v>
      </c>
      <c r="L220">
        <v>86</v>
      </c>
      <c r="M220" s="7">
        <v>0.47499999999999998</v>
      </c>
      <c r="N220" s="7">
        <v>0.71099999999999997</v>
      </c>
      <c r="O220">
        <v>486.1</v>
      </c>
      <c r="P220">
        <v>117.1</v>
      </c>
      <c r="Q220" t="s">
        <v>566</v>
      </c>
    </row>
    <row r="221" spans="1:19" x14ac:dyDescent="0.2">
      <c r="A221" t="s">
        <v>214</v>
      </c>
      <c r="B221" t="s">
        <v>332</v>
      </c>
      <c r="C221" t="s">
        <v>338</v>
      </c>
      <c r="D221">
        <v>78</v>
      </c>
      <c r="E221">
        <v>1928</v>
      </c>
      <c r="F221">
        <v>608</v>
      </c>
      <c r="G221">
        <v>312</v>
      </c>
      <c r="H221">
        <v>143</v>
      </c>
      <c r="I221">
        <v>88</v>
      </c>
      <c r="J221">
        <v>31</v>
      </c>
      <c r="K221">
        <v>74</v>
      </c>
      <c r="L221">
        <v>89</v>
      </c>
      <c r="M221" s="7">
        <v>0.45400000000000001</v>
      </c>
      <c r="N221" s="7">
        <v>0.74299999999999999</v>
      </c>
      <c r="O221">
        <v>479</v>
      </c>
      <c r="P221">
        <v>133.30000000000001</v>
      </c>
      <c r="Q221" t="s">
        <v>691</v>
      </c>
    </row>
    <row r="222" spans="1:19" x14ac:dyDescent="0.2">
      <c r="A222" t="s">
        <v>292</v>
      </c>
      <c r="B222" t="s">
        <v>368</v>
      </c>
      <c r="C222" t="s">
        <v>330</v>
      </c>
      <c r="D222">
        <v>67</v>
      </c>
      <c r="E222">
        <v>812</v>
      </c>
      <c r="F222">
        <v>508</v>
      </c>
      <c r="G222">
        <v>181</v>
      </c>
      <c r="H222">
        <v>61</v>
      </c>
      <c r="I222">
        <v>27</v>
      </c>
      <c r="J222">
        <v>39</v>
      </c>
      <c r="K222">
        <v>54</v>
      </c>
      <c r="L222">
        <v>72</v>
      </c>
      <c r="M222" s="7">
        <v>0.496</v>
      </c>
      <c r="N222" s="7">
        <v>0.78200000000000003</v>
      </c>
      <c r="O222">
        <v>368.3</v>
      </c>
      <c r="P222">
        <v>113.4</v>
      </c>
      <c r="Q222" t="s">
        <v>692</v>
      </c>
    </row>
    <row r="223" spans="1:19" x14ac:dyDescent="0.2">
      <c r="A223" t="s">
        <v>248</v>
      </c>
      <c r="B223" t="s">
        <v>396</v>
      </c>
      <c r="C223" t="s">
        <v>365</v>
      </c>
      <c r="D223">
        <v>74</v>
      </c>
      <c r="E223">
        <v>1455</v>
      </c>
      <c r="F223">
        <v>556</v>
      </c>
      <c r="G223">
        <v>325</v>
      </c>
      <c r="H223">
        <v>87</v>
      </c>
      <c r="I223">
        <v>18</v>
      </c>
      <c r="J223">
        <v>91</v>
      </c>
      <c r="K223">
        <v>39</v>
      </c>
      <c r="L223">
        <v>69</v>
      </c>
      <c r="M223" s="7">
        <v>0.54400000000000004</v>
      </c>
      <c r="N223" s="7">
        <v>0.753</v>
      </c>
      <c r="O223">
        <v>387.6</v>
      </c>
      <c r="P223">
        <v>126.5</v>
      </c>
      <c r="Q223" t="s">
        <v>693</v>
      </c>
      <c r="R223">
        <v>142</v>
      </c>
    </row>
    <row r="224" spans="1:19" x14ac:dyDescent="0.2">
      <c r="A224" t="s">
        <v>263</v>
      </c>
      <c r="B224" t="s">
        <v>378</v>
      </c>
      <c r="C224" t="s">
        <v>387</v>
      </c>
      <c r="D224">
        <v>75</v>
      </c>
      <c r="E224">
        <v>1533</v>
      </c>
      <c r="F224">
        <v>556</v>
      </c>
      <c r="G224">
        <v>317</v>
      </c>
      <c r="H224">
        <v>89</v>
      </c>
      <c r="I224">
        <v>42</v>
      </c>
      <c r="J224">
        <v>55</v>
      </c>
      <c r="K224">
        <v>31</v>
      </c>
      <c r="L224">
        <v>70</v>
      </c>
      <c r="M224" s="7">
        <v>0.48099999999999998</v>
      </c>
      <c r="N224" s="7">
        <v>0.73099999999999998</v>
      </c>
      <c r="O224">
        <v>461.3</v>
      </c>
      <c r="P224">
        <v>111.1</v>
      </c>
      <c r="Q224" t="s">
        <v>566</v>
      </c>
    </row>
    <row r="225" spans="1:19" x14ac:dyDescent="0.2">
      <c r="A225" t="s">
        <v>301</v>
      </c>
      <c r="B225" t="s">
        <v>329</v>
      </c>
      <c r="C225" t="s">
        <v>365</v>
      </c>
      <c r="D225">
        <v>50</v>
      </c>
      <c r="E225">
        <v>856</v>
      </c>
      <c r="F225">
        <v>354</v>
      </c>
      <c r="G225">
        <v>152</v>
      </c>
      <c r="H225">
        <v>103</v>
      </c>
      <c r="I225">
        <v>26</v>
      </c>
      <c r="J225">
        <v>17</v>
      </c>
      <c r="K225">
        <v>48</v>
      </c>
      <c r="L225">
        <v>59</v>
      </c>
      <c r="M225" s="7">
        <v>0.39300000000000002</v>
      </c>
      <c r="N225" s="7">
        <v>0.73199999999999998</v>
      </c>
      <c r="O225">
        <v>299.10000000000002</v>
      </c>
      <c r="P225">
        <v>96.9</v>
      </c>
      <c r="Q225" t="s">
        <v>694</v>
      </c>
      <c r="S225">
        <v>174</v>
      </c>
    </row>
    <row r="226" spans="1:19" x14ac:dyDescent="0.2">
      <c r="A226" t="s">
        <v>267</v>
      </c>
      <c r="B226" t="s">
        <v>358</v>
      </c>
      <c r="C226" t="s">
        <v>338</v>
      </c>
      <c r="D226">
        <v>78</v>
      </c>
      <c r="E226">
        <v>1487</v>
      </c>
      <c r="F226">
        <v>548</v>
      </c>
      <c r="G226">
        <v>224</v>
      </c>
      <c r="H226">
        <v>95</v>
      </c>
      <c r="I226">
        <v>45</v>
      </c>
      <c r="J226">
        <v>20</v>
      </c>
      <c r="K226">
        <v>85</v>
      </c>
      <c r="L226">
        <v>54</v>
      </c>
      <c r="M226" s="7">
        <v>0.443</v>
      </c>
      <c r="N226" s="7">
        <v>0.877</v>
      </c>
      <c r="O226">
        <v>445.1</v>
      </c>
      <c r="P226">
        <v>78.3</v>
      </c>
      <c r="Q226" t="s">
        <v>695</v>
      </c>
    </row>
    <row r="227" spans="1:19" x14ac:dyDescent="0.2">
      <c r="A227" t="s">
        <v>196</v>
      </c>
      <c r="B227" t="s">
        <v>378</v>
      </c>
      <c r="C227" t="s">
        <v>330</v>
      </c>
      <c r="D227">
        <v>74</v>
      </c>
      <c r="E227">
        <v>1806</v>
      </c>
      <c r="F227">
        <v>516</v>
      </c>
      <c r="G227">
        <v>569</v>
      </c>
      <c r="H227">
        <v>116</v>
      </c>
      <c r="I227">
        <v>52</v>
      </c>
      <c r="J227">
        <v>62</v>
      </c>
      <c r="K227">
        <v>0</v>
      </c>
      <c r="L227">
        <v>72</v>
      </c>
      <c r="M227" s="7">
        <v>0.623</v>
      </c>
      <c r="N227" s="7">
        <v>0.64100000000000001</v>
      </c>
      <c r="O227">
        <v>343.7</v>
      </c>
      <c r="P227">
        <v>136.9</v>
      </c>
      <c r="Q227" t="s">
        <v>696</v>
      </c>
      <c r="R227">
        <v>106</v>
      </c>
    </row>
    <row r="228" spans="1:19" x14ac:dyDescent="0.2">
      <c r="A228" t="s">
        <v>241</v>
      </c>
      <c r="B228" t="s">
        <v>373</v>
      </c>
      <c r="C228" t="s">
        <v>330</v>
      </c>
      <c r="D228">
        <v>73</v>
      </c>
      <c r="E228">
        <v>1276</v>
      </c>
      <c r="F228">
        <v>501</v>
      </c>
      <c r="G228">
        <v>399</v>
      </c>
      <c r="H228">
        <v>73</v>
      </c>
      <c r="I228">
        <v>50</v>
      </c>
      <c r="J228">
        <v>66</v>
      </c>
      <c r="K228">
        <v>0</v>
      </c>
      <c r="L228">
        <v>80</v>
      </c>
      <c r="M228" s="7">
        <v>0.64400000000000002</v>
      </c>
      <c r="N228" s="7">
        <v>0.63900000000000001</v>
      </c>
      <c r="O228">
        <v>331.4</v>
      </c>
      <c r="P228">
        <v>116.1</v>
      </c>
      <c r="Q228" t="s">
        <v>697</v>
      </c>
    </row>
    <row r="229" spans="1:19" x14ac:dyDescent="0.2">
      <c r="A229" t="s">
        <v>265</v>
      </c>
      <c r="B229" t="s">
        <v>342</v>
      </c>
      <c r="C229" t="s">
        <v>326</v>
      </c>
      <c r="D229">
        <v>72</v>
      </c>
      <c r="E229">
        <v>1268</v>
      </c>
      <c r="F229">
        <v>497</v>
      </c>
      <c r="G229">
        <v>155</v>
      </c>
      <c r="H229">
        <v>217</v>
      </c>
      <c r="I229">
        <v>62</v>
      </c>
      <c r="J229">
        <v>8</v>
      </c>
      <c r="K229">
        <v>99</v>
      </c>
      <c r="L229">
        <v>72</v>
      </c>
      <c r="M229" s="7">
        <v>0.41599999999999998</v>
      </c>
      <c r="N229" s="7">
        <v>0.77900000000000003</v>
      </c>
      <c r="O229">
        <v>419.4</v>
      </c>
      <c r="P229">
        <v>62.9</v>
      </c>
      <c r="Q229" t="s">
        <v>626</v>
      </c>
      <c r="S229">
        <v>179</v>
      </c>
    </row>
    <row r="230" spans="1:19" x14ac:dyDescent="0.2">
      <c r="A230" t="s">
        <v>291</v>
      </c>
      <c r="B230" t="s">
        <v>366</v>
      </c>
      <c r="C230" t="s">
        <v>359</v>
      </c>
      <c r="D230">
        <v>71</v>
      </c>
      <c r="E230">
        <v>1181</v>
      </c>
      <c r="F230">
        <v>485</v>
      </c>
      <c r="G230">
        <v>225</v>
      </c>
      <c r="H230">
        <v>113</v>
      </c>
      <c r="I230">
        <v>41</v>
      </c>
      <c r="J230">
        <v>18</v>
      </c>
      <c r="K230">
        <v>74</v>
      </c>
      <c r="L230">
        <v>74</v>
      </c>
      <c r="M230" s="7">
        <v>0.44400000000000001</v>
      </c>
      <c r="N230" s="7">
        <v>0.72399999999999998</v>
      </c>
      <c r="O230">
        <v>385.1</v>
      </c>
      <c r="P230">
        <v>95.4</v>
      </c>
      <c r="Q230" t="s">
        <v>698</v>
      </c>
    </row>
    <row r="231" spans="1:19" x14ac:dyDescent="0.2">
      <c r="A231" t="s">
        <v>269</v>
      </c>
      <c r="B231" t="s">
        <v>345</v>
      </c>
      <c r="C231" t="s">
        <v>338</v>
      </c>
      <c r="D231">
        <v>73</v>
      </c>
      <c r="E231">
        <v>1418</v>
      </c>
      <c r="F231">
        <v>490</v>
      </c>
      <c r="G231">
        <v>304</v>
      </c>
      <c r="H231">
        <v>147</v>
      </c>
      <c r="I231">
        <v>53</v>
      </c>
      <c r="J231">
        <v>19</v>
      </c>
      <c r="K231">
        <v>70</v>
      </c>
      <c r="L231">
        <v>86</v>
      </c>
      <c r="M231" s="7">
        <v>0.47699999999999998</v>
      </c>
      <c r="N231" s="7">
        <v>0.71899999999999997</v>
      </c>
      <c r="O231">
        <v>369</v>
      </c>
      <c r="P231">
        <v>94.6</v>
      </c>
      <c r="Q231" t="s">
        <v>699</v>
      </c>
    </row>
    <row r="232" spans="1:19" x14ac:dyDescent="0.2">
      <c r="A232" t="s">
        <v>273</v>
      </c>
      <c r="B232" t="s">
        <v>355</v>
      </c>
      <c r="C232" t="s">
        <v>359</v>
      </c>
      <c r="D232">
        <v>79</v>
      </c>
      <c r="E232">
        <v>1311</v>
      </c>
      <c r="F232">
        <v>528</v>
      </c>
      <c r="G232">
        <v>256</v>
      </c>
      <c r="H232">
        <v>81</v>
      </c>
      <c r="I232">
        <v>70</v>
      </c>
      <c r="J232">
        <v>24</v>
      </c>
      <c r="K232">
        <v>40</v>
      </c>
      <c r="L232">
        <v>77</v>
      </c>
      <c r="M232" s="7">
        <v>0.441</v>
      </c>
      <c r="N232" s="7">
        <v>0.78600000000000003</v>
      </c>
      <c r="O232">
        <v>455.5</v>
      </c>
      <c r="P232">
        <v>109.7</v>
      </c>
      <c r="Q232" t="s">
        <v>566</v>
      </c>
    </row>
    <row r="233" spans="1:19" x14ac:dyDescent="0.2">
      <c r="A233" t="s">
        <v>209</v>
      </c>
      <c r="B233" t="s">
        <v>346</v>
      </c>
      <c r="C233" t="s">
        <v>365</v>
      </c>
      <c r="D233">
        <v>79</v>
      </c>
      <c r="E233">
        <v>1869</v>
      </c>
      <c r="F233">
        <v>527</v>
      </c>
      <c r="G233">
        <v>433</v>
      </c>
      <c r="H233">
        <v>177</v>
      </c>
      <c r="I233">
        <v>76</v>
      </c>
      <c r="J233">
        <v>62</v>
      </c>
      <c r="K233">
        <v>0</v>
      </c>
      <c r="L233">
        <v>97</v>
      </c>
      <c r="M233" s="7">
        <v>0.63500000000000001</v>
      </c>
      <c r="N233" s="7">
        <v>0.48099999999999998</v>
      </c>
      <c r="O233">
        <v>369.8</v>
      </c>
      <c r="P233">
        <v>119.2</v>
      </c>
      <c r="Q233" t="s">
        <v>700</v>
      </c>
    </row>
    <row r="234" spans="1:19" x14ac:dyDescent="0.2">
      <c r="A234" t="s">
        <v>290</v>
      </c>
      <c r="B234" t="s">
        <v>370</v>
      </c>
      <c r="C234" t="s">
        <v>359</v>
      </c>
      <c r="D234">
        <v>75</v>
      </c>
      <c r="E234">
        <v>1542</v>
      </c>
      <c r="F234">
        <v>496</v>
      </c>
      <c r="G234">
        <v>207</v>
      </c>
      <c r="H234">
        <v>104</v>
      </c>
      <c r="I234">
        <v>49</v>
      </c>
      <c r="J234">
        <v>29</v>
      </c>
      <c r="K234">
        <v>87</v>
      </c>
      <c r="L234">
        <v>74</v>
      </c>
      <c r="M234" s="7">
        <v>0.38</v>
      </c>
      <c r="N234" s="7">
        <v>0.72199999999999998</v>
      </c>
      <c r="O234">
        <v>459</v>
      </c>
      <c r="P234">
        <v>83.4</v>
      </c>
      <c r="Q234" t="s">
        <v>678</v>
      </c>
    </row>
    <row r="235" spans="1:19" x14ac:dyDescent="0.2">
      <c r="A235" t="s">
        <v>261</v>
      </c>
      <c r="B235" t="s">
        <v>353</v>
      </c>
      <c r="C235" t="s">
        <v>326</v>
      </c>
      <c r="D235">
        <v>80</v>
      </c>
      <c r="E235">
        <v>1684</v>
      </c>
      <c r="F235">
        <v>518</v>
      </c>
      <c r="G235">
        <v>129</v>
      </c>
      <c r="H235">
        <v>380</v>
      </c>
      <c r="I235">
        <v>70</v>
      </c>
      <c r="J235">
        <v>13</v>
      </c>
      <c r="K235">
        <v>78</v>
      </c>
      <c r="L235">
        <v>107</v>
      </c>
      <c r="M235" s="7">
        <v>0.38700000000000001</v>
      </c>
      <c r="N235" s="7">
        <v>0.77700000000000002</v>
      </c>
      <c r="O235">
        <v>458.9</v>
      </c>
      <c r="P235">
        <v>109.1</v>
      </c>
      <c r="Q235" t="s">
        <v>701</v>
      </c>
    </row>
    <row r="236" spans="1:19" x14ac:dyDescent="0.2">
      <c r="A236" t="s">
        <v>257</v>
      </c>
      <c r="B236" t="s">
        <v>337</v>
      </c>
      <c r="C236" t="s">
        <v>371</v>
      </c>
      <c r="D236">
        <v>75</v>
      </c>
      <c r="E236">
        <v>1540</v>
      </c>
      <c r="F236">
        <v>483</v>
      </c>
      <c r="G236">
        <v>290</v>
      </c>
      <c r="H236">
        <v>121</v>
      </c>
      <c r="I236">
        <v>50</v>
      </c>
      <c r="J236">
        <v>8</v>
      </c>
      <c r="K236">
        <v>109</v>
      </c>
      <c r="L236">
        <v>53</v>
      </c>
      <c r="M236" s="7">
        <v>0.434</v>
      </c>
      <c r="N236" s="7">
        <v>0.877</v>
      </c>
      <c r="O236">
        <v>377</v>
      </c>
      <c r="P236">
        <v>53.3</v>
      </c>
      <c r="Q236" t="s">
        <v>702</v>
      </c>
    </row>
    <row r="237" spans="1:19" x14ac:dyDescent="0.2">
      <c r="A237" t="s">
        <v>246</v>
      </c>
      <c r="B237" t="s">
        <v>355</v>
      </c>
      <c r="C237" t="s">
        <v>365</v>
      </c>
      <c r="D237">
        <v>71</v>
      </c>
      <c r="E237">
        <v>864</v>
      </c>
      <c r="F237">
        <v>450</v>
      </c>
      <c r="G237">
        <v>273</v>
      </c>
      <c r="H237">
        <v>73</v>
      </c>
      <c r="I237">
        <v>58</v>
      </c>
      <c r="J237">
        <v>57</v>
      </c>
      <c r="K237">
        <v>14</v>
      </c>
      <c r="L237">
        <v>55</v>
      </c>
      <c r="M237" s="7">
        <v>0.60199999999999998</v>
      </c>
      <c r="N237" s="7">
        <v>0.68100000000000005</v>
      </c>
      <c r="O237">
        <v>305.8</v>
      </c>
      <c r="P237">
        <v>99.5</v>
      </c>
      <c r="Q237" t="s">
        <v>592</v>
      </c>
      <c r="R237">
        <v>189</v>
      </c>
    </row>
    <row r="238" spans="1:19" x14ac:dyDescent="0.2">
      <c r="A238" t="s">
        <v>299</v>
      </c>
      <c r="B238" t="s">
        <v>361</v>
      </c>
      <c r="C238" t="s">
        <v>365</v>
      </c>
      <c r="D238">
        <v>47</v>
      </c>
      <c r="E238">
        <v>715</v>
      </c>
      <c r="F238">
        <v>294</v>
      </c>
      <c r="G238">
        <v>172</v>
      </c>
      <c r="H238">
        <v>69</v>
      </c>
      <c r="I238">
        <v>23</v>
      </c>
      <c r="J238">
        <v>16</v>
      </c>
      <c r="K238">
        <v>19</v>
      </c>
      <c r="L238">
        <v>45</v>
      </c>
      <c r="M238" s="7">
        <v>0.51400000000000001</v>
      </c>
      <c r="N238" s="7">
        <v>0.71799999999999997</v>
      </c>
      <c r="O238">
        <v>224</v>
      </c>
      <c r="P238">
        <v>62.3</v>
      </c>
      <c r="Q238" t="s">
        <v>703</v>
      </c>
    </row>
    <row r="239" spans="1:19" x14ac:dyDescent="0.2">
      <c r="A239" t="s">
        <v>168</v>
      </c>
      <c r="B239" t="s">
        <v>337</v>
      </c>
      <c r="C239" t="s">
        <v>340</v>
      </c>
      <c r="D239">
        <v>70</v>
      </c>
      <c r="E239">
        <v>1543</v>
      </c>
      <c r="F239">
        <v>432</v>
      </c>
      <c r="G239">
        <v>661</v>
      </c>
      <c r="H239">
        <v>62</v>
      </c>
      <c r="I239">
        <v>65</v>
      </c>
      <c r="J239">
        <v>91</v>
      </c>
      <c r="K239">
        <v>0</v>
      </c>
      <c r="L239">
        <v>55</v>
      </c>
      <c r="M239" s="7">
        <v>0.69799999999999995</v>
      </c>
      <c r="N239" s="7">
        <v>0.40899999999999997</v>
      </c>
      <c r="O239">
        <v>275.89999999999998</v>
      </c>
      <c r="P239">
        <v>114.5</v>
      </c>
      <c r="Q239" t="s">
        <v>704</v>
      </c>
      <c r="R239">
        <v>148</v>
      </c>
      <c r="S239">
        <v>171</v>
      </c>
    </row>
    <row r="240" spans="1:19" x14ac:dyDescent="0.2">
      <c r="A240" t="s">
        <v>234</v>
      </c>
      <c r="B240" t="s">
        <v>378</v>
      </c>
      <c r="C240" t="s">
        <v>340</v>
      </c>
      <c r="D240">
        <v>74</v>
      </c>
      <c r="E240">
        <v>1438</v>
      </c>
      <c r="F240">
        <v>455</v>
      </c>
      <c r="G240">
        <v>342</v>
      </c>
      <c r="H240">
        <v>49</v>
      </c>
      <c r="I240">
        <v>31</v>
      </c>
      <c r="J240">
        <v>93</v>
      </c>
      <c r="K240">
        <v>0</v>
      </c>
      <c r="L240">
        <v>59</v>
      </c>
      <c r="M240" s="7">
        <v>0.70799999999999996</v>
      </c>
      <c r="N240" s="7">
        <v>0.72399999999999998</v>
      </c>
      <c r="O240">
        <v>270.3</v>
      </c>
      <c r="P240">
        <v>99.9</v>
      </c>
      <c r="Q240" t="s">
        <v>705</v>
      </c>
    </row>
    <row r="241" spans="1:19" x14ac:dyDescent="0.2">
      <c r="A241" t="s">
        <v>281</v>
      </c>
      <c r="B241" t="s">
        <v>378</v>
      </c>
      <c r="C241" t="s">
        <v>330</v>
      </c>
      <c r="D241">
        <v>71</v>
      </c>
      <c r="E241">
        <v>1282</v>
      </c>
      <c r="F241">
        <v>435</v>
      </c>
      <c r="G241">
        <v>227</v>
      </c>
      <c r="H241">
        <v>95</v>
      </c>
      <c r="I241">
        <v>33</v>
      </c>
      <c r="J241">
        <v>31</v>
      </c>
      <c r="K241">
        <v>84</v>
      </c>
      <c r="L241">
        <v>58</v>
      </c>
      <c r="M241" s="7">
        <v>0.42599999999999999</v>
      </c>
      <c r="N241" s="7">
        <v>0.81499999999999995</v>
      </c>
      <c r="O241">
        <v>328.2</v>
      </c>
      <c r="P241">
        <v>87.6</v>
      </c>
      <c r="Q241" t="s">
        <v>706</v>
      </c>
    </row>
    <row r="242" spans="1:19" x14ac:dyDescent="0.2">
      <c r="A242" t="s">
        <v>256</v>
      </c>
      <c r="B242" t="s">
        <v>325</v>
      </c>
      <c r="C242" t="s">
        <v>330</v>
      </c>
      <c r="D242">
        <v>73</v>
      </c>
      <c r="E242">
        <v>1266</v>
      </c>
      <c r="F242">
        <v>444</v>
      </c>
      <c r="G242">
        <v>350</v>
      </c>
      <c r="H242">
        <v>154</v>
      </c>
      <c r="I242">
        <v>36</v>
      </c>
      <c r="J242">
        <v>39</v>
      </c>
      <c r="K242">
        <v>93</v>
      </c>
      <c r="L242">
        <v>63</v>
      </c>
      <c r="M242" s="7">
        <v>0.42299999999999999</v>
      </c>
      <c r="N242" s="7">
        <v>0.77600000000000002</v>
      </c>
      <c r="O242">
        <v>336.5</v>
      </c>
      <c r="P242">
        <v>85.4</v>
      </c>
      <c r="Q242" t="s">
        <v>707</v>
      </c>
      <c r="S242">
        <v>193</v>
      </c>
    </row>
    <row r="243" spans="1:19" x14ac:dyDescent="0.2">
      <c r="A243" t="s">
        <v>194</v>
      </c>
      <c r="B243" t="s">
        <v>361</v>
      </c>
      <c r="C243" t="s">
        <v>340</v>
      </c>
      <c r="D243">
        <v>69</v>
      </c>
      <c r="E243">
        <v>1122</v>
      </c>
      <c r="F243">
        <v>412</v>
      </c>
      <c r="G243">
        <v>437</v>
      </c>
      <c r="H243">
        <v>67</v>
      </c>
      <c r="I243">
        <v>39</v>
      </c>
      <c r="J243">
        <v>94</v>
      </c>
      <c r="K243">
        <v>9</v>
      </c>
      <c r="L243">
        <v>53</v>
      </c>
      <c r="M243" s="7">
        <v>0.68700000000000006</v>
      </c>
      <c r="N243" s="7">
        <v>0.65500000000000003</v>
      </c>
      <c r="O243">
        <v>259.60000000000002</v>
      </c>
      <c r="P243">
        <v>70.599999999999994</v>
      </c>
      <c r="Q243" t="s">
        <v>708</v>
      </c>
    </row>
    <row r="244" spans="1:19" x14ac:dyDescent="0.2">
      <c r="A244" t="s">
        <v>271</v>
      </c>
      <c r="B244" t="s">
        <v>346</v>
      </c>
      <c r="C244" t="s">
        <v>338</v>
      </c>
      <c r="D244">
        <v>75</v>
      </c>
      <c r="E244">
        <v>1416</v>
      </c>
      <c r="F244">
        <v>432</v>
      </c>
      <c r="G244">
        <v>297</v>
      </c>
      <c r="H244">
        <v>90</v>
      </c>
      <c r="I244">
        <v>63</v>
      </c>
      <c r="J244">
        <v>34</v>
      </c>
      <c r="K244">
        <v>62</v>
      </c>
      <c r="L244">
        <v>52</v>
      </c>
      <c r="M244" s="7">
        <v>0.44500000000000001</v>
      </c>
      <c r="N244" s="7">
        <v>0.49</v>
      </c>
      <c r="O244">
        <v>379.9</v>
      </c>
      <c r="P244">
        <v>65</v>
      </c>
      <c r="Q244" t="s">
        <v>709</v>
      </c>
    </row>
    <row r="245" spans="1:19" x14ac:dyDescent="0.2">
      <c r="A245" t="s">
        <v>294</v>
      </c>
      <c r="B245" t="s">
        <v>370</v>
      </c>
      <c r="C245" t="s">
        <v>340</v>
      </c>
      <c r="D245">
        <v>67</v>
      </c>
      <c r="E245">
        <v>885</v>
      </c>
      <c r="F245">
        <v>386</v>
      </c>
      <c r="G245">
        <v>233</v>
      </c>
      <c r="H245">
        <v>87</v>
      </c>
      <c r="I245">
        <v>19</v>
      </c>
      <c r="J245">
        <v>22</v>
      </c>
      <c r="K245">
        <v>33</v>
      </c>
      <c r="L245">
        <v>52</v>
      </c>
      <c r="M245" s="7">
        <v>0.52</v>
      </c>
      <c r="N245" s="7">
        <v>0.80600000000000005</v>
      </c>
      <c r="O245">
        <v>271.39999999999998</v>
      </c>
      <c r="P245">
        <v>87.8</v>
      </c>
      <c r="Q245" t="s">
        <v>710</v>
      </c>
    </row>
    <row r="246" spans="1:19" x14ac:dyDescent="0.2">
      <c r="A246" t="s">
        <v>264</v>
      </c>
      <c r="B246" t="s">
        <v>342</v>
      </c>
      <c r="C246" t="s">
        <v>340</v>
      </c>
      <c r="D246">
        <v>69</v>
      </c>
      <c r="E246">
        <v>1146</v>
      </c>
      <c r="F246">
        <v>393</v>
      </c>
      <c r="G246">
        <v>505</v>
      </c>
      <c r="H246">
        <v>71</v>
      </c>
      <c r="I246">
        <v>41</v>
      </c>
      <c r="J246">
        <v>38</v>
      </c>
      <c r="K246">
        <v>24</v>
      </c>
      <c r="L246">
        <v>60</v>
      </c>
      <c r="M246" s="7">
        <v>0.50600000000000001</v>
      </c>
      <c r="N246" s="7">
        <v>0.63300000000000001</v>
      </c>
      <c r="O246">
        <v>310.60000000000002</v>
      </c>
      <c r="P246">
        <v>86.4</v>
      </c>
      <c r="Q246" t="s">
        <v>711</v>
      </c>
      <c r="R246">
        <v>101</v>
      </c>
    </row>
    <row r="247" spans="1:19" x14ac:dyDescent="0.2">
      <c r="A247" t="s">
        <v>195</v>
      </c>
      <c r="B247" t="s">
        <v>332</v>
      </c>
      <c r="C247" t="s">
        <v>349</v>
      </c>
      <c r="D247">
        <v>68</v>
      </c>
      <c r="E247">
        <v>1222</v>
      </c>
      <c r="F247">
        <v>384</v>
      </c>
      <c r="G247">
        <v>148</v>
      </c>
      <c r="H247">
        <v>77</v>
      </c>
      <c r="I247">
        <v>118</v>
      </c>
      <c r="J247">
        <v>33</v>
      </c>
      <c r="K247">
        <v>78</v>
      </c>
      <c r="L247">
        <v>53</v>
      </c>
      <c r="M247" s="7">
        <v>0.44700000000000001</v>
      </c>
      <c r="N247" s="7">
        <v>0.747</v>
      </c>
      <c r="O247">
        <v>289.3</v>
      </c>
      <c r="P247">
        <v>63.4</v>
      </c>
      <c r="Q247" t="s">
        <v>712</v>
      </c>
    </row>
    <row r="248" spans="1:19" x14ac:dyDescent="0.2">
      <c r="A248" t="s">
        <v>210</v>
      </c>
      <c r="B248" t="s">
        <v>373</v>
      </c>
      <c r="C248" t="s">
        <v>333</v>
      </c>
      <c r="D248">
        <v>77</v>
      </c>
      <c r="E248">
        <v>1590</v>
      </c>
      <c r="F248">
        <v>426</v>
      </c>
      <c r="G248">
        <v>213</v>
      </c>
      <c r="H248">
        <v>210</v>
      </c>
      <c r="I248">
        <v>100</v>
      </c>
      <c r="J248">
        <v>20</v>
      </c>
      <c r="K248">
        <v>63</v>
      </c>
      <c r="L248">
        <v>73</v>
      </c>
      <c r="M248" s="7">
        <v>0.46200000000000002</v>
      </c>
      <c r="N248" s="7">
        <v>0.745</v>
      </c>
      <c r="O248">
        <v>339.4</v>
      </c>
      <c r="P248">
        <v>66.400000000000006</v>
      </c>
      <c r="Q248" t="s">
        <v>713</v>
      </c>
    </row>
    <row r="249" spans="1:19" x14ac:dyDescent="0.2">
      <c r="A249" t="s">
        <v>286</v>
      </c>
      <c r="B249" t="s">
        <v>362</v>
      </c>
      <c r="C249" t="s">
        <v>340</v>
      </c>
      <c r="D249">
        <v>71</v>
      </c>
      <c r="E249">
        <v>1085</v>
      </c>
      <c r="F249">
        <v>386</v>
      </c>
      <c r="G249">
        <v>241</v>
      </c>
      <c r="H249">
        <v>53</v>
      </c>
      <c r="I249">
        <v>30</v>
      </c>
      <c r="J249">
        <v>41</v>
      </c>
      <c r="K249">
        <v>1</v>
      </c>
      <c r="L249">
        <v>37</v>
      </c>
      <c r="M249" s="7">
        <v>0.70899999999999996</v>
      </c>
      <c r="N249" s="7">
        <v>0.64500000000000002</v>
      </c>
      <c r="O249">
        <v>224</v>
      </c>
      <c r="P249">
        <v>104.5</v>
      </c>
      <c r="Q249" t="s">
        <v>714</v>
      </c>
    </row>
    <row r="250" spans="1:19" x14ac:dyDescent="0.2">
      <c r="A250" t="s">
        <v>282</v>
      </c>
      <c r="B250" t="s">
        <v>337</v>
      </c>
      <c r="C250" t="s">
        <v>326</v>
      </c>
      <c r="D250">
        <v>67</v>
      </c>
      <c r="E250">
        <v>1218</v>
      </c>
      <c r="F250">
        <v>358</v>
      </c>
      <c r="G250">
        <v>125</v>
      </c>
      <c r="H250">
        <v>188</v>
      </c>
      <c r="I250">
        <v>44</v>
      </c>
      <c r="J250">
        <v>13</v>
      </c>
      <c r="K250">
        <v>82</v>
      </c>
      <c r="L250">
        <v>44</v>
      </c>
      <c r="M250" s="7">
        <v>0.36799999999999999</v>
      </c>
      <c r="N250" s="7">
        <v>0.90100000000000002</v>
      </c>
      <c r="O250">
        <v>288.7</v>
      </c>
      <c r="P250">
        <v>70.5</v>
      </c>
      <c r="Q250" t="s">
        <v>570</v>
      </c>
    </row>
    <row r="251" spans="1:19" x14ac:dyDescent="0.2">
      <c r="A251" t="s">
        <v>293</v>
      </c>
      <c r="B251" t="s">
        <v>366</v>
      </c>
      <c r="C251" t="s">
        <v>371</v>
      </c>
      <c r="D251">
        <v>70</v>
      </c>
      <c r="E251">
        <v>1285</v>
      </c>
      <c r="F251">
        <v>365</v>
      </c>
      <c r="G251">
        <v>168</v>
      </c>
      <c r="H251">
        <v>92</v>
      </c>
      <c r="I251">
        <v>37</v>
      </c>
      <c r="J251">
        <v>7</v>
      </c>
      <c r="K251">
        <v>69</v>
      </c>
      <c r="L251">
        <v>27</v>
      </c>
      <c r="M251" s="7">
        <v>0.43</v>
      </c>
      <c r="N251" s="7">
        <v>0.82599999999999996</v>
      </c>
      <c r="O251">
        <v>297.7</v>
      </c>
      <c r="P251">
        <v>48.4</v>
      </c>
      <c r="Q251" t="s">
        <v>715</v>
      </c>
    </row>
    <row r="252" spans="1:19" x14ac:dyDescent="0.2">
      <c r="A252" t="s">
        <v>278</v>
      </c>
      <c r="B252" t="s">
        <v>346</v>
      </c>
      <c r="C252" t="s">
        <v>340</v>
      </c>
      <c r="D252">
        <v>72</v>
      </c>
      <c r="E252">
        <v>1070</v>
      </c>
      <c r="F252">
        <v>361</v>
      </c>
      <c r="G252">
        <v>352</v>
      </c>
      <c r="H252">
        <v>15</v>
      </c>
      <c r="I252">
        <v>15</v>
      </c>
      <c r="J252">
        <v>88</v>
      </c>
      <c r="K252">
        <v>18</v>
      </c>
      <c r="L252">
        <v>65</v>
      </c>
      <c r="M252" s="7">
        <v>0.54100000000000004</v>
      </c>
      <c r="N252" s="7">
        <v>0.71599999999999997</v>
      </c>
      <c r="O252">
        <v>262.10000000000002</v>
      </c>
      <c r="P252">
        <v>82.9</v>
      </c>
      <c r="Q252" t="s">
        <v>716</v>
      </c>
    </row>
    <row r="253" spans="1:19" x14ac:dyDescent="0.2">
      <c r="A253" t="s">
        <v>303</v>
      </c>
      <c r="B253" t="s">
        <v>353</v>
      </c>
      <c r="C253" t="s">
        <v>330</v>
      </c>
      <c r="D253">
        <v>47</v>
      </c>
      <c r="E253">
        <v>506</v>
      </c>
      <c r="F253">
        <v>226</v>
      </c>
      <c r="G253">
        <v>160</v>
      </c>
      <c r="H253">
        <v>45</v>
      </c>
      <c r="I253">
        <v>15</v>
      </c>
      <c r="J253">
        <v>25</v>
      </c>
      <c r="K253">
        <v>0</v>
      </c>
      <c r="L253">
        <v>23</v>
      </c>
      <c r="M253" s="7">
        <v>0.59899999999999998</v>
      </c>
      <c r="N253" s="7">
        <v>0.55100000000000005</v>
      </c>
      <c r="O253">
        <v>160.80000000000001</v>
      </c>
      <c r="P253">
        <v>60.6</v>
      </c>
      <c r="Q253" t="s">
        <v>717</v>
      </c>
    </row>
    <row r="254" spans="1:19" x14ac:dyDescent="0.2">
      <c r="A254" t="s">
        <v>283</v>
      </c>
      <c r="B254" t="s">
        <v>353</v>
      </c>
      <c r="C254" t="s">
        <v>359</v>
      </c>
      <c r="D254">
        <v>70</v>
      </c>
      <c r="E254">
        <v>1067</v>
      </c>
      <c r="F254">
        <v>338</v>
      </c>
      <c r="G254">
        <v>188</v>
      </c>
      <c r="H254">
        <v>167</v>
      </c>
      <c r="I254">
        <v>48</v>
      </c>
      <c r="J254">
        <v>32</v>
      </c>
      <c r="K254">
        <v>13</v>
      </c>
      <c r="L254">
        <v>46</v>
      </c>
      <c r="M254" s="7">
        <v>0.48599999999999999</v>
      </c>
      <c r="N254" s="7">
        <v>0.70199999999999996</v>
      </c>
      <c r="O254">
        <v>276.60000000000002</v>
      </c>
      <c r="P254">
        <v>79.900000000000006</v>
      </c>
      <c r="Q254" t="s">
        <v>718</v>
      </c>
    </row>
    <row r="255" spans="1:19" x14ac:dyDescent="0.2">
      <c r="A255" t="s">
        <v>258</v>
      </c>
      <c r="B255" t="s">
        <v>351</v>
      </c>
      <c r="C255" t="s">
        <v>340</v>
      </c>
      <c r="D255">
        <v>75</v>
      </c>
      <c r="E255">
        <v>1095</v>
      </c>
      <c r="F255">
        <v>353</v>
      </c>
      <c r="G255">
        <v>303</v>
      </c>
      <c r="H255">
        <v>90</v>
      </c>
      <c r="I255">
        <v>29</v>
      </c>
      <c r="J255">
        <v>54</v>
      </c>
      <c r="K255">
        <v>0</v>
      </c>
      <c r="L255">
        <v>23</v>
      </c>
      <c r="M255" s="7">
        <v>0.65800000000000003</v>
      </c>
      <c r="N255" s="7">
        <v>0.78300000000000003</v>
      </c>
      <c r="O255">
        <v>218.8</v>
      </c>
      <c r="P255">
        <v>83.2</v>
      </c>
      <c r="Q255" t="s">
        <v>719</v>
      </c>
      <c r="R255">
        <v>79</v>
      </c>
      <c r="S255">
        <v>200</v>
      </c>
    </row>
    <row r="256" spans="1:19" x14ac:dyDescent="0.2">
      <c r="A256" t="s">
        <v>266</v>
      </c>
      <c r="B256" t="s">
        <v>358</v>
      </c>
      <c r="C256" t="s">
        <v>340</v>
      </c>
      <c r="D256">
        <v>72</v>
      </c>
      <c r="E256">
        <v>930</v>
      </c>
      <c r="F256">
        <v>335</v>
      </c>
      <c r="G256">
        <v>300</v>
      </c>
      <c r="H256">
        <v>82</v>
      </c>
      <c r="I256">
        <v>35</v>
      </c>
      <c r="J256">
        <v>61</v>
      </c>
      <c r="K256">
        <v>1</v>
      </c>
      <c r="L256">
        <v>42</v>
      </c>
      <c r="M256" s="7">
        <v>0.63500000000000001</v>
      </c>
      <c r="N256" s="7">
        <v>0.68799999999999994</v>
      </c>
      <c r="O256">
        <v>217.9</v>
      </c>
      <c r="P256">
        <v>83.3</v>
      </c>
      <c r="Q256" t="s">
        <v>720</v>
      </c>
    </row>
    <row r="257" spans="1:18" x14ac:dyDescent="0.2">
      <c r="A257" t="s">
        <v>302</v>
      </c>
      <c r="B257" t="s">
        <v>341</v>
      </c>
      <c r="C257" t="s">
        <v>340</v>
      </c>
      <c r="D257">
        <v>48</v>
      </c>
      <c r="E257">
        <v>443</v>
      </c>
      <c r="F257">
        <v>224</v>
      </c>
      <c r="G257">
        <v>131</v>
      </c>
      <c r="H257">
        <v>22</v>
      </c>
      <c r="I257">
        <v>15</v>
      </c>
      <c r="J257">
        <v>18</v>
      </c>
      <c r="K257">
        <v>26</v>
      </c>
      <c r="L257">
        <v>19</v>
      </c>
      <c r="M257" s="7">
        <v>0.50900000000000001</v>
      </c>
      <c r="N257" s="7">
        <v>0.81699999999999995</v>
      </c>
      <c r="O257">
        <v>158.69999999999999</v>
      </c>
      <c r="P257">
        <v>44.7</v>
      </c>
      <c r="Q257" t="s">
        <v>721</v>
      </c>
    </row>
    <row r="258" spans="1:18" x14ac:dyDescent="0.2">
      <c r="A258" t="s">
        <v>300</v>
      </c>
      <c r="B258" t="s">
        <v>348</v>
      </c>
      <c r="C258" t="s">
        <v>340</v>
      </c>
      <c r="D258">
        <v>45</v>
      </c>
      <c r="E258">
        <v>518</v>
      </c>
      <c r="F258">
        <v>201</v>
      </c>
      <c r="G258">
        <v>211</v>
      </c>
      <c r="H258">
        <v>26</v>
      </c>
      <c r="I258">
        <v>17</v>
      </c>
      <c r="J258">
        <v>27</v>
      </c>
      <c r="K258">
        <v>0</v>
      </c>
      <c r="L258">
        <v>22</v>
      </c>
      <c r="M258" s="7">
        <v>0.59799999999999998</v>
      </c>
      <c r="N258" s="7">
        <v>0.57299999999999995</v>
      </c>
      <c r="O258">
        <v>144.80000000000001</v>
      </c>
      <c r="P258">
        <v>48.6</v>
      </c>
      <c r="Q258" t="s">
        <v>722</v>
      </c>
    </row>
    <row r="259" spans="1:18" x14ac:dyDescent="0.2">
      <c r="A259" t="s">
        <v>277</v>
      </c>
      <c r="B259" t="s">
        <v>343</v>
      </c>
      <c r="C259" t="s">
        <v>340</v>
      </c>
      <c r="D259">
        <v>74</v>
      </c>
      <c r="E259">
        <v>1099</v>
      </c>
      <c r="F259">
        <v>317</v>
      </c>
      <c r="G259">
        <v>277</v>
      </c>
      <c r="H259">
        <v>29</v>
      </c>
      <c r="I259">
        <v>26</v>
      </c>
      <c r="J259">
        <v>80</v>
      </c>
      <c r="K259">
        <v>1</v>
      </c>
      <c r="L259">
        <v>53</v>
      </c>
      <c r="M259" s="7">
        <v>0.64</v>
      </c>
      <c r="N259" s="7">
        <v>0.69699999999999995</v>
      </c>
      <c r="O259">
        <v>200.5</v>
      </c>
      <c r="P259">
        <v>85.2</v>
      </c>
      <c r="Q259" t="s">
        <v>723</v>
      </c>
      <c r="R259">
        <v>89</v>
      </c>
    </row>
    <row r="260" spans="1:18" x14ac:dyDescent="0.2">
      <c r="A260" t="s">
        <v>288</v>
      </c>
      <c r="B260" t="s">
        <v>332</v>
      </c>
      <c r="C260" t="s">
        <v>367</v>
      </c>
      <c r="D260">
        <v>71</v>
      </c>
      <c r="E260">
        <v>1142</v>
      </c>
      <c r="F260">
        <v>277</v>
      </c>
      <c r="G260">
        <v>309</v>
      </c>
      <c r="H260">
        <v>74</v>
      </c>
      <c r="I260">
        <v>59</v>
      </c>
      <c r="J260">
        <v>18</v>
      </c>
      <c r="K260">
        <v>23</v>
      </c>
      <c r="L260">
        <v>56</v>
      </c>
      <c r="M260" s="7">
        <v>0.47199999999999998</v>
      </c>
      <c r="N260" s="7">
        <v>0.59</v>
      </c>
      <c r="O260">
        <v>229.5</v>
      </c>
      <c r="P260">
        <v>63.3</v>
      </c>
      <c r="Q260" t="s">
        <v>724</v>
      </c>
    </row>
    <row r="261" spans="1:18" x14ac:dyDescent="0.2">
      <c r="A261" t="s">
        <v>284</v>
      </c>
      <c r="B261" t="s">
        <v>377</v>
      </c>
      <c r="C261" t="s">
        <v>330</v>
      </c>
      <c r="D261">
        <v>74</v>
      </c>
      <c r="E261">
        <v>998</v>
      </c>
      <c r="F261">
        <v>290</v>
      </c>
      <c r="G261">
        <v>222</v>
      </c>
      <c r="H261">
        <v>55</v>
      </c>
      <c r="I261">
        <v>49</v>
      </c>
      <c r="J261">
        <v>35</v>
      </c>
      <c r="K261">
        <v>33</v>
      </c>
      <c r="L261">
        <v>25</v>
      </c>
      <c r="M261" s="7">
        <v>0.45</v>
      </c>
      <c r="N261" s="7">
        <v>0.66900000000000004</v>
      </c>
      <c r="O261">
        <v>244.7</v>
      </c>
      <c r="P261">
        <v>55</v>
      </c>
      <c r="Q261" t="s">
        <v>725</v>
      </c>
    </row>
    <row r="262" spans="1:18" x14ac:dyDescent="0.2">
      <c r="A262" t="s">
        <v>289</v>
      </c>
      <c r="B262" t="s">
        <v>332</v>
      </c>
      <c r="C262" t="s">
        <v>365</v>
      </c>
      <c r="D262">
        <v>72</v>
      </c>
      <c r="E262">
        <v>1016</v>
      </c>
      <c r="F262">
        <v>272</v>
      </c>
      <c r="G262">
        <v>375</v>
      </c>
      <c r="H262">
        <v>99</v>
      </c>
      <c r="I262">
        <v>33</v>
      </c>
      <c r="J262">
        <v>27</v>
      </c>
      <c r="K262">
        <v>1</v>
      </c>
      <c r="L262">
        <v>37</v>
      </c>
      <c r="M262" s="7">
        <v>0.53200000000000003</v>
      </c>
      <c r="N262" s="7">
        <v>0.60599999999999998</v>
      </c>
      <c r="O262">
        <v>218.6</v>
      </c>
      <c r="P262">
        <v>63.4</v>
      </c>
      <c r="Q262" t="s">
        <v>726</v>
      </c>
    </row>
    <row r="263" spans="1:18" x14ac:dyDescent="0.2">
      <c r="A263" t="s">
        <v>304</v>
      </c>
      <c r="B263" t="s">
        <v>369</v>
      </c>
      <c r="C263" t="s">
        <v>365</v>
      </c>
      <c r="D263">
        <v>46</v>
      </c>
      <c r="E263">
        <v>695</v>
      </c>
      <c r="F263">
        <v>157</v>
      </c>
      <c r="G263">
        <v>188</v>
      </c>
      <c r="H263">
        <v>51</v>
      </c>
      <c r="I263">
        <v>13</v>
      </c>
      <c r="J263">
        <v>13</v>
      </c>
      <c r="K263">
        <v>0</v>
      </c>
      <c r="L263">
        <v>38</v>
      </c>
      <c r="M263" s="7">
        <v>0.79600000000000004</v>
      </c>
      <c r="N263" s="7">
        <v>0.621</v>
      </c>
      <c r="O263">
        <v>86.6</v>
      </c>
      <c r="P263">
        <v>30.7</v>
      </c>
      <c r="Q263" t="s">
        <v>727</v>
      </c>
    </row>
    <row r="264" spans="1:18" x14ac:dyDescent="0.2">
      <c r="A264" t="s">
        <v>298</v>
      </c>
      <c r="B264" t="s">
        <v>348</v>
      </c>
      <c r="C264" t="s">
        <v>340</v>
      </c>
      <c r="D264">
        <v>71</v>
      </c>
      <c r="E264">
        <v>906</v>
      </c>
      <c r="F264">
        <v>229</v>
      </c>
      <c r="G264">
        <v>332</v>
      </c>
      <c r="H264">
        <v>64</v>
      </c>
      <c r="I264">
        <v>24</v>
      </c>
      <c r="J264">
        <v>30</v>
      </c>
      <c r="K264">
        <v>0</v>
      </c>
      <c r="L264">
        <v>50</v>
      </c>
      <c r="M264" s="7">
        <v>0.53700000000000003</v>
      </c>
      <c r="N264" s="7">
        <v>0.52300000000000002</v>
      </c>
      <c r="O264">
        <v>176.2</v>
      </c>
      <c r="P264">
        <v>76.099999999999994</v>
      </c>
      <c r="Q264" t="s">
        <v>728</v>
      </c>
    </row>
    <row r="265" spans="1:18" x14ac:dyDescent="0.2">
      <c r="A265" t="s">
        <v>306</v>
      </c>
      <c r="B265" t="s">
        <v>358</v>
      </c>
      <c r="C265" t="s">
        <v>365</v>
      </c>
      <c r="D265">
        <v>42</v>
      </c>
      <c r="E265">
        <v>414</v>
      </c>
      <c r="F265">
        <v>118</v>
      </c>
      <c r="G265">
        <v>104</v>
      </c>
      <c r="H265">
        <v>16</v>
      </c>
      <c r="I265">
        <v>17</v>
      </c>
      <c r="J265">
        <v>23</v>
      </c>
      <c r="K265">
        <v>11</v>
      </c>
      <c r="L265">
        <v>14</v>
      </c>
      <c r="M265" s="7">
        <v>0.434</v>
      </c>
      <c r="N265" s="7">
        <v>0.64</v>
      </c>
      <c r="O265">
        <v>95.2</v>
      </c>
      <c r="P265">
        <v>38</v>
      </c>
      <c r="Q265" t="s">
        <v>729</v>
      </c>
    </row>
    <row r="266" spans="1:18" x14ac:dyDescent="0.2">
      <c r="A266" t="s">
        <v>305</v>
      </c>
      <c r="B266" t="s">
        <v>385</v>
      </c>
      <c r="C266" t="s">
        <v>365</v>
      </c>
      <c r="D266">
        <v>47</v>
      </c>
      <c r="E266">
        <v>500</v>
      </c>
      <c r="F266">
        <v>130</v>
      </c>
      <c r="G266">
        <v>118</v>
      </c>
      <c r="H266">
        <v>49</v>
      </c>
      <c r="I266">
        <v>18</v>
      </c>
      <c r="J266">
        <v>16</v>
      </c>
      <c r="K266">
        <v>2</v>
      </c>
      <c r="L266">
        <v>27</v>
      </c>
      <c r="M266" s="7">
        <v>0.50600000000000001</v>
      </c>
      <c r="N266" s="7">
        <v>0.70399999999999996</v>
      </c>
      <c r="O266">
        <v>103.1</v>
      </c>
      <c r="P266">
        <v>33.6</v>
      </c>
      <c r="Q266" t="s">
        <v>730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/>
  </sheetViews>
  <sheetFormatPr baseColWidth="10" defaultColWidth="8.83203125" defaultRowHeight="15" x14ac:dyDescent="0.2"/>
  <cols>
    <col min="1" max="1" width="34" customWidth="1"/>
  </cols>
  <sheetData>
    <row r="1" spans="1:5" x14ac:dyDescent="0.2">
      <c r="A1" s="1" t="s">
        <v>453</v>
      </c>
      <c r="B1" s="1" t="s">
        <v>731</v>
      </c>
      <c r="C1" s="1" t="s">
        <v>732</v>
      </c>
      <c r="D1" s="1" t="s">
        <v>733</v>
      </c>
      <c r="E1" s="1" t="s">
        <v>734</v>
      </c>
    </row>
    <row r="2" spans="1:5" x14ac:dyDescent="0.2">
      <c r="A2" t="s">
        <v>12</v>
      </c>
      <c r="B2" s="15">
        <f>AVERAGE('The List'!$N$2:$N$266)</f>
        <v>978.31662267473405</v>
      </c>
      <c r="C2" s="15">
        <f>STDEV('The List'!$N$2:$N$266)</f>
        <v>467.82738744511477</v>
      </c>
      <c r="D2" s="15">
        <f>SUMPRODUCT('The List'!$AR$2:$AR$266,'The List'!$N$2:$N$266)/SUM('The List'!$AR$2:$AR$266)</f>
        <v>1239.3799100494907</v>
      </c>
      <c r="E2" s="15">
        <f>SQRT(SUMPRODUCT('The List'!$AR$2:$AR$266,('The List'!$N$2:$N$266-D2)^2)/(SUM('The List'!$AR$2:$AR$266)-1))</f>
        <v>405.68590675557516</v>
      </c>
    </row>
    <row r="3" spans="1:5" x14ac:dyDescent="0.2">
      <c r="A3" t="s">
        <v>13</v>
      </c>
      <c r="B3" s="15">
        <f>AVERAGE('The List'!$O$2:$O$266)</f>
        <v>357.48330442334537</v>
      </c>
      <c r="C3" s="15">
        <f>STDEV('The List'!$O$2:$O$266)</f>
        <v>169.46819005865842</v>
      </c>
      <c r="D3" s="15">
        <f>SUMPRODUCT('The List'!$AR$2:$AR$266,'The List'!$O$2:$O$266)/SUM('The List'!$AR$2:$AR$266)</f>
        <v>429.42478635359276</v>
      </c>
      <c r="E3" s="15">
        <f>SQRT(SUMPRODUCT('The List'!$AR$2:$AR$266,('The List'!$O$2:$O$266-D3)^2)/(SUM('The List'!$AR$2:$AR$266)-1))</f>
        <v>171.806260308205</v>
      </c>
    </row>
    <row r="4" spans="1:5" x14ac:dyDescent="0.2">
      <c r="A4" t="s">
        <v>14</v>
      </c>
      <c r="B4" s="15">
        <f>AVERAGE('The List'!$P$2:$P$266)</f>
        <v>223.17275659945</v>
      </c>
      <c r="C4" s="15">
        <f>STDEV('The List'!$P$2:$P$266)</f>
        <v>143.90321037925091</v>
      </c>
      <c r="D4" s="15">
        <f>SUMPRODUCT('The List'!$AR$2:$AR$266,'The List'!$P$2:$P$266)/SUM('The List'!$AR$2:$AR$266)</f>
        <v>280.06260003025892</v>
      </c>
      <c r="E4" s="15">
        <f>SQRT(SUMPRODUCT('The List'!$AR$2:$AR$266,('The List'!$P$2:$P$266-D4)^2)/(SUM('The List'!$AR$2:$AR$266)-1))</f>
        <v>147.8562114218895</v>
      </c>
    </row>
    <row r="5" spans="1:5" x14ac:dyDescent="0.2">
      <c r="A5" t="s">
        <v>15</v>
      </c>
      <c r="B5" s="15">
        <f>AVERAGE('The List'!$Q$2:$Q$266)</f>
        <v>64.052800576938409</v>
      </c>
      <c r="C5" s="15">
        <f>STDEV('The List'!$Q$2:$Q$266)</f>
        <v>25.634948233250437</v>
      </c>
      <c r="D5" s="15">
        <f>SUMPRODUCT('The List'!$AR$2:$AR$266,'The List'!$Q$2:$Q$266)/SUM('The List'!$AR$2:$AR$266)</f>
        <v>74.222320083833807</v>
      </c>
      <c r="E5" s="15">
        <f>SQRT(SUMPRODUCT('The List'!$AR$2:$AR$266,('The List'!$Q$2:$Q$266-D5)^2)/(SUM('The List'!$AR$2:$AR$266)-1))</f>
        <v>22.650995963531933</v>
      </c>
    </row>
    <row r="6" spans="1:5" x14ac:dyDescent="0.2">
      <c r="A6" t="s">
        <v>16</v>
      </c>
      <c r="B6" s="15">
        <f>AVERAGE('The List'!$R$2:$R$266)</f>
        <v>41.695490239065514</v>
      </c>
      <c r="C6" s="15">
        <f>STDEV('The List'!$R$2:$R$266)</f>
        <v>31.296873823446511</v>
      </c>
      <c r="D6" s="15">
        <f>SUMPRODUCT('The List'!$AR$2:$AR$266,'The List'!$R$2:$R$266)/SUM('The List'!$AR$2:$AR$266)</f>
        <v>50.33410518766707</v>
      </c>
      <c r="E6" s="15">
        <f>SQRT(SUMPRODUCT('The List'!$AR$2:$AR$266,('The List'!$R$2:$R$266-D6)^2)/(SUM('The List'!$AR$2:$AR$266)-1))</f>
        <v>34.553383617165984</v>
      </c>
    </row>
    <row r="7" spans="1:5" x14ac:dyDescent="0.2">
      <c r="A7" t="s">
        <v>17</v>
      </c>
      <c r="B7" s="15">
        <f>AVERAGE('The List'!$S$2:$S$266)</f>
        <v>101.83399529912224</v>
      </c>
      <c r="C7" s="15">
        <f>STDEV('The List'!$S$2:$S$266)</f>
        <v>68.824524894310244</v>
      </c>
      <c r="D7" s="15">
        <f>SUMPRODUCT('The List'!$AR$2:$AR$266,'The List'!$S$2:$S$266)/SUM('The List'!$AR$2:$AR$266)</f>
        <v>123.41252873209568</v>
      </c>
      <c r="E7" s="15">
        <f>SQRT(SUMPRODUCT('The List'!$AR$2:$AR$266,('The List'!$S$2:$S$266-D7)^2)/(SUM('The List'!$AR$2:$AR$266)-1))</f>
        <v>71.000983987644631</v>
      </c>
    </row>
    <row r="8" spans="1:5" x14ac:dyDescent="0.2">
      <c r="A8" t="s">
        <v>19</v>
      </c>
      <c r="B8" s="15">
        <f>AVERAGE('The List'!$AO$2:$AO$266)</f>
        <v>3.1967719875848279E-13</v>
      </c>
      <c r="C8" s="15">
        <f>STDEV('The List'!$AO$2:$AO$266)</f>
        <v>39.047018770708725</v>
      </c>
      <c r="D8" s="15">
        <f>SUMPRODUCT('The List'!$AR$2:$AR$266,'The List'!$AS$2:$AS$266)/SUM('The List'!$AR$2:$AR$266)</f>
        <v>1.558639257545553E-13</v>
      </c>
      <c r="E8" s="15">
        <f>SQRT(SUMPRODUCT('The List'!$AR$2:$AR$266,('The List'!$AS$2:$AS$266-D8)^2)/(SUM('The List'!$AR$2:$AR$266)-1))</f>
        <v>45.725608832529069</v>
      </c>
    </row>
    <row r="9" spans="1:5" x14ac:dyDescent="0.2">
      <c r="A9" t="s">
        <v>20</v>
      </c>
      <c r="B9" s="15">
        <f>AVERAGE('The List'!$AP$2:$AP$266)</f>
        <v>-4.7937963871017584E-14</v>
      </c>
      <c r="C9" s="15">
        <f>STDEV('The List'!$AP$2:$AP$266)</f>
        <v>18.721706976290061</v>
      </c>
      <c r="D9" s="15">
        <f>SUMPRODUCT('The List'!$AR$2:$AR$266,'The List'!$AT$2:$AT$266)/SUM('The List'!$AR$2:$AR$266)</f>
        <v>1.8451337324129269E-13</v>
      </c>
      <c r="E9" s="15">
        <f>SQRT(SUMPRODUCT('The List'!$AR$2:$AR$266,('The List'!$AT$2:$AT$266-D9)^2)/(SUM('The List'!$AR$2:$AR$266)-1))</f>
        <v>22.310587977384177</v>
      </c>
    </row>
    <row r="10" spans="1:5" x14ac:dyDescent="0.2">
      <c r="A10" t="s">
        <v>18</v>
      </c>
      <c r="B10" s="15">
        <f>AVERAGE('The List'!$T$2:$T$266)</f>
        <v>115.84450884914339</v>
      </c>
      <c r="C10" s="15">
        <f>STDEV('The List'!$T$2:$T$266)</f>
        <v>60.185539047678731</v>
      </c>
      <c r="D10" s="15">
        <f>SUMPRODUCT('The List'!$AR$2:$AR$266,'The List'!$T$2:$T$266)/SUM('The List'!$AR$2:$AR$266)</f>
        <v>143.11814852749305</v>
      </c>
      <c r="E10" s="15">
        <f>SQRT(SUMPRODUCT('The List'!$AR$2:$AR$266,('The List'!$T$2:$T$266-D10)^2)/(SUM('The List'!$AR$2:$AR$266)-1))</f>
        <v>58.180794967520178</v>
      </c>
    </row>
    <row r="11" spans="1:5" x14ac:dyDescent="0.2">
      <c r="A11" s="10" t="s">
        <v>735</v>
      </c>
      <c r="B11" s="15"/>
      <c r="C11" s="15"/>
      <c r="D11" s="15"/>
      <c r="E11" s="15"/>
    </row>
    <row r="12" spans="1:5" x14ac:dyDescent="0.2">
      <c r="A12" t="s">
        <v>19</v>
      </c>
      <c r="B12" s="15">
        <f>SUM('The List'!$W$2:$W$266)/SUM('The List'!$X$2:$X$266)</f>
        <v>0.48060676968403088</v>
      </c>
      <c r="C12" s="15"/>
      <c r="D12" s="15">
        <f>SUMPRODUCT('The List'!$AR$2:$AR$266,'The List'!$W$2:$W$266)/SUMPRODUCT('The List'!$AR$2:$AR$266,'The List'!$X$2:$X$266)</f>
        <v>0.48407359313934767</v>
      </c>
      <c r="E12" s="15"/>
    </row>
    <row r="13" spans="1:5" x14ac:dyDescent="0.2">
      <c r="A13" t="s">
        <v>20</v>
      </c>
      <c r="B13" s="15">
        <f>SUM('The List'!$Y$2:$Y$266)/SUM('The List'!$Z$2:$Z$266)</f>
        <v>0.7900996572360075</v>
      </c>
      <c r="C13" s="15"/>
      <c r="D13" s="15">
        <f>SUMPRODUCT('The List'!$AR$2:$AR$266,'The List'!$Y$2:$Y$266)/SUMPRODUCT('The List'!$AR$2:$AR$266,'The List'!$Z$2:$Z$266)</f>
        <v>0.8001384307741336</v>
      </c>
      <c r="E13" s="1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01"/>
  <sheetViews>
    <sheetView workbookViewId="0"/>
  </sheetViews>
  <sheetFormatPr baseColWidth="10" defaultColWidth="8.83203125" defaultRowHeight="15" x14ac:dyDescent="0.2"/>
  <cols>
    <col min="1" max="1" width="12" customWidth="1"/>
  </cols>
  <sheetData>
    <row r="1" spans="1:2" x14ac:dyDescent="0.2">
      <c r="A1" s="1" t="s">
        <v>736</v>
      </c>
      <c r="B1" s="1" t="s">
        <v>309</v>
      </c>
    </row>
    <row r="2" spans="1:2" x14ac:dyDescent="0.2">
      <c r="A2" s="16">
        <v>46315</v>
      </c>
      <c r="B2" t="s">
        <v>337</v>
      </c>
    </row>
    <row r="3" spans="1:2" x14ac:dyDescent="0.2">
      <c r="A3" s="16">
        <v>46315</v>
      </c>
      <c r="B3" t="s">
        <v>355</v>
      </c>
    </row>
    <row r="4" spans="1:2" x14ac:dyDescent="0.2">
      <c r="A4" s="16">
        <v>46315</v>
      </c>
      <c r="B4" t="s">
        <v>342</v>
      </c>
    </row>
    <row r="5" spans="1:2" x14ac:dyDescent="0.2">
      <c r="A5" s="16">
        <v>46315</v>
      </c>
      <c r="B5" t="s">
        <v>325</v>
      </c>
    </row>
    <row r="6" spans="1:2" x14ac:dyDescent="0.2">
      <c r="A6" s="16">
        <v>46315</v>
      </c>
      <c r="B6" t="s">
        <v>343</v>
      </c>
    </row>
    <row r="7" spans="1:2" x14ac:dyDescent="0.2">
      <c r="A7" s="16">
        <v>46315</v>
      </c>
      <c r="B7" t="s">
        <v>351</v>
      </c>
    </row>
    <row r="8" spans="1:2" x14ac:dyDescent="0.2">
      <c r="A8" s="16">
        <v>46316</v>
      </c>
      <c r="B8" t="s">
        <v>377</v>
      </c>
    </row>
    <row r="9" spans="1:2" x14ac:dyDescent="0.2">
      <c r="A9" s="16">
        <v>46316</v>
      </c>
      <c r="B9" t="s">
        <v>379</v>
      </c>
    </row>
    <row r="10" spans="1:2" x14ac:dyDescent="0.2">
      <c r="A10" s="16">
        <v>46316</v>
      </c>
      <c r="B10" t="s">
        <v>378</v>
      </c>
    </row>
    <row r="11" spans="1:2" x14ac:dyDescent="0.2">
      <c r="A11" s="16">
        <v>46316</v>
      </c>
      <c r="B11" t="s">
        <v>370</v>
      </c>
    </row>
    <row r="12" spans="1:2" x14ac:dyDescent="0.2">
      <c r="A12" s="16">
        <v>46316</v>
      </c>
      <c r="B12" t="s">
        <v>357</v>
      </c>
    </row>
    <row r="13" spans="1:2" x14ac:dyDescent="0.2">
      <c r="A13" s="16">
        <v>46316</v>
      </c>
      <c r="B13" t="s">
        <v>345</v>
      </c>
    </row>
    <row r="14" spans="1:2" x14ac:dyDescent="0.2">
      <c r="A14" s="16">
        <v>46316</v>
      </c>
      <c r="B14" t="s">
        <v>348</v>
      </c>
    </row>
    <row r="15" spans="1:2" x14ac:dyDescent="0.2">
      <c r="A15" s="16">
        <v>46316</v>
      </c>
      <c r="B15" t="s">
        <v>366</v>
      </c>
    </row>
    <row r="16" spans="1:2" x14ac:dyDescent="0.2">
      <c r="A16" s="16">
        <v>46316</v>
      </c>
      <c r="B16" t="s">
        <v>373</v>
      </c>
    </row>
    <row r="17" spans="1:2" x14ac:dyDescent="0.2">
      <c r="A17" s="16">
        <v>46316</v>
      </c>
      <c r="B17" t="s">
        <v>332</v>
      </c>
    </row>
    <row r="18" spans="1:2" x14ac:dyDescent="0.2">
      <c r="A18" s="16">
        <v>46316</v>
      </c>
      <c r="B18" t="s">
        <v>396</v>
      </c>
    </row>
    <row r="19" spans="1:2" x14ac:dyDescent="0.2">
      <c r="A19" s="16">
        <v>46316</v>
      </c>
      <c r="B19" t="s">
        <v>329</v>
      </c>
    </row>
    <row r="20" spans="1:2" x14ac:dyDescent="0.2">
      <c r="A20" s="16">
        <v>46316</v>
      </c>
      <c r="B20" t="s">
        <v>369</v>
      </c>
    </row>
    <row r="21" spans="1:2" x14ac:dyDescent="0.2">
      <c r="A21" s="16">
        <v>46316</v>
      </c>
      <c r="B21" t="s">
        <v>334</v>
      </c>
    </row>
    <row r="22" spans="1:2" x14ac:dyDescent="0.2">
      <c r="A22" s="16">
        <v>46316</v>
      </c>
      <c r="B22" t="s">
        <v>364</v>
      </c>
    </row>
    <row r="23" spans="1:2" x14ac:dyDescent="0.2">
      <c r="A23" s="16">
        <v>46316</v>
      </c>
      <c r="B23" t="s">
        <v>358</v>
      </c>
    </row>
    <row r="24" spans="1:2" x14ac:dyDescent="0.2">
      <c r="A24" s="16">
        <v>46316</v>
      </c>
      <c r="B24" t="s">
        <v>346</v>
      </c>
    </row>
    <row r="25" spans="1:2" x14ac:dyDescent="0.2">
      <c r="A25" s="16">
        <v>46316</v>
      </c>
      <c r="B25" t="s">
        <v>361</v>
      </c>
    </row>
    <row r="26" spans="1:2" x14ac:dyDescent="0.2">
      <c r="A26" s="16">
        <v>46316</v>
      </c>
      <c r="B26" t="s">
        <v>385</v>
      </c>
    </row>
    <row r="27" spans="1:2" x14ac:dyDescent="0.2">
      <c r="A27" s="16">
        <v>46316</v>
      </c>
      <c r="B27" t="s">
        <v>353</v>
      </c>
    </row>
    <row r="28" spans="1:2" x14ac:dyDescent="0.2">
      <c r="A28" s="16">
        <v>46316</v>
      </c>
      <c r="B28" t="s">
        <v>362</v>
      </c>
    </row>
    <row r="29" spans="1:2" x14ac:dyDescent="0.2">
      <c r="A29" s="16">
        <v>46316</v>
      </c>
      <c r="B29" t="s">
        <v>368</v>
      </c>
    </row>
    <row r="30" spans="1:2" x14ac:dyDescent="0.2">
      <c r="A30" s="16">
        <v>46317</v>
      </c>
      <c r="B30" t="s">
        <v>341</v>
      </c>
    </row>
    <row r="31" spans="1:2" x14ac:dyDescent="0.2">
      <c r="A31" s="16">
        <v>46317</v>
      </c>
      <c r="B31" t="s">
        <v>339</v>
      </c>
    </row>
    <row r="32" spans="1:2" x14ac:dyDescent="0.2">
      <c r="A32" s="16">
        <v>46317</v>
      </c>
      <c r="B32" t="s">
        <v>325</v>
      </c>
    </row>
    <row r="33" spans="1:2" x14ac:dyDescent="0.2">
      <c r="A33" s="16">
        <v>46317</v>
      </c>
      <c r="B33" t="s">
        <v>343</v>
      </c>
    </row>
    <row r="34" spans="1:2" x14ac:dyDescent="0.2">
      <c r="A34" s="16">
        <v>46318</v>
      </c>
      <c r="B34" t="s">
        <v>377</v>
      </c>
    </row>
    <row r="35" spans="1:2" x14ac:dyDescent="0.2">
      <c r="A35" s="16">
        <v>46318</v>
      </c>
      <c r="B35" t="s">
        <v>337</v>
      </c>
    </row>
    <row r="36" spans="1:2" x14ac:dyDescent="0.2">
      <c r="A36" s="16">
        <v>46318</v>
      </c>
      <c r="B36" t="s">
        <v>378</v>
      </c>
    </row>
    <row r="37" spans="1:2" x14ac:dyDescent="0.2">
      <c r="A37" s="16">
        <v>46318</v>
      </c>
      <c r="B37" t="s">
        <v>370</v>
      </c>
    </row>
    <row r="38" spans="1:2" x14ac:dyDescent="0.2">
      <c r="A38" s="16">
        <v>46318</v>
      </c>
      <c r="B38" t="s">
        <v>357</v>
      </c>
    </row>
    <row r="39" spans="1:2" x14ac:dyDescent="0.2">
      <c r="A39" s="16">
        <v>46318</v>
      </c>
      <c r="B39" t="s">
        <v>355</v>
      </c>
    </row>
    <row r="40" spans="1:2" x14ac:dyDescent="0.2">
      <c r="A40" s="16">
        <v>46318</v>
      </c>
      <c r="B40" t="s">
        <v>345</v>
      </c>
    </row>
    <row r="41" spans="1:2" x14ac:dyDescent="0.2">
      <c r="A41" s="16">
        <v>46318</v>
      </c>
      <c r="B41" t="s">
        <v>348</v>
      </c>
    </row>
    <row r="42" spans="1:2" x14ac:dyDescent="0.2">
      <c r="A42" s="16">
        <v>46318</v>
      </c>
      <c r="B42" t="s">
        <v>366</v>
      </c>
    </row>
    <row r="43" spans="1:2" x14ac:dyDescent="0.2">
      <c r="A43" s="16">
        <v>46318</v>
      </c>
      <c r="B43" t="s">
        <v>373</v>
      </c>
    </row>
    <row r="44" spans="1:2" x14ac:dyDescent="0.2">
      <c r="A44" s="16">
        <v>46318</v>
      </c>
      <c r="B44" t="s">
        <v>332</v>
      </c>
    </row>
    <row r="45" spans="1:2" x14ac:dyDescent="0.2">
      <c r="A45" s="16">
        <v>46318</v>
      </c>
      <c r="B45" t="s">
        <v>396</v>
      </c>
    </row>
    <row r="46" spans="1:2" x14ac:dyDescent="0.2">
      <c r="A46" s="16">
        <v>46318</v>
      </c>
      <c r="B46" t="s">
        <v>329</v>
      </c>
    </row>
    <row r="47" spans="1:2" x14ac:dyDescent="0.2">
      <c r="A47" s="16">
        <v>46318</v>
      </c>
      <c r="B47" t="s">
        <v>369</v>
      </c>
    </row>
    <row r="48" spans="1:2" x14ac:dyDescent="0.2">
      <c r="A48" s="16">
        <v>46318</v>
      </c>
      <c r="B48" t="s">
        <v>334</v>
      </c>
    </row>
    <row r="49" spans="1:2" x14ac:dyDescent="0.2">
      <c r="A49" s="16">
        <v>46318</v>
      </c>
      <c r="B49" t="s">
        <v>364</v>
      </c>
    </row>
    <row r="50" spans="1:2" x14ac:dyDescent="0.2">
      <c r="A50" s="16">
        <v>46318</v>
      </c>
      <c r="B50" t="s">
        <v>342</v>
      </c>
    </row>
    <row r="51" spans="1:2" x14ac:dyDescent="0.2">
      <c r="A51" s="16">
        <v>46318</v>
      </c>
      <c r="B51" t="s">
        <v>358</v>
      </c>
    </row>
    <row r="52" spans="1:2" x14ac:dyDescent="0.2">
      <c r="A52" s="16">
        <v>46318</v>
      </c>
      <c r="B52" t="s">
        <v>361</v>
      </c>
    </row>
    <row r="53" spans="1:2" x14ac:dyDescent="0.2">
      <c r="A53" s="16">
        <v>46318</v>
      </c>
      <c r="B53" t="s">
        <v>385</v>
      </c>
    </row>
    <row r="54" spans="1:2" x14ac:dyDescent="0.2">
      <c r="A54" s="16">
        <v>46318</v>
      </c>
      <c r="B54" t="s">
        <v>351</v>
      </c>
    </row>
    <row r="55" spans="1:2" x14ac:dyDescent="0.2">
      <c r="A55" s="16">
        <v>46318</v>
      </c>
      <c r="B55" t="s">
        <v>353</v>
      </c>
    </row>
    <row r="56" spans="1:2" x14ac:dyDescent="0.2">
      <c r="A56" s="16">
        <v>46318</v>
      </c>
      <c r="B56" t="s">
        <v>362</v>
      </c>
    </row>
    <row r="57" spans="1:2" x14ac:dyDescent="0.2">
      <c r="A57" s="16">
        <v>46318</v>
      </c>
      <c r="B57" t="s">
        <v>368</v>
      </c>
    </row>
    <row r="58" spans="1:2" x14ac:dyDescent="0.2">
      <c r="A58" s="16">
        <v>46319</v>
      </c>
      <c r="B58" t="s">
        <v>377</v>
      </c>
    </row>
    <row r="59" spans="1:2" x14ac:dyDescent="0.2">
      <c r="A59" s="16">
        <v>46319</v>
      </c>
      <c r="B59" t="s">
        <v>379</v>
      </c>
    </row>
    <row r="60" spans="1:2" x14ac:dyDescent="0.2">
      <c r="A60" s="16">
        <v>46319</v>
      </c>
      <c r="B60" t="s">
        <v>378</v>
      </c>
    </row>
    <row r="61" spans="1:2" x14ac:dyDescent="0.2">
      <c r="A61" s="16">
        <v>46319</v>
      </c>
      <c r="B61" t="s">
        <v>370</v>
      </c>
    </row>
    <row r="62" spans="1:2" x14ac:dyDescent="0.2">
      <c r="A62" s="16">
        <v>46319</v>
      </c>
      <c r="B62" t="s">
        <v>341</v>
      </c>
    </row>
    <row r="63" spans="1:2" x14ac:dyDescent="0.2">
      <c r="A63" s="16">
        <v>46319</v>
      </c>
      <c r="B63" t="s">
        <v>357</v>
      </c>
    </row>
    <row r="64" spans="1:2" x14ac:dyDescent="0.2">
      <c r="A64" s="16">
        <v>46319</v>
      </c>
      <c r="B64" t="s">
        <v>339</v>
      </c>
    </row>
    <row r="65" spans="1:2" x14ac:dyDescent="0.2">
      <c r="A65" s="16">
        <v>46319</v>
      </c>
      <c r="B65" t="s">
        <v>345</v>
      </c>
    </row>
    <row r="66" spans="1:2" x14ac:dyDescent="0.2">
      <c r="A66" s="16">
        <v>46319</v>
      </c>
      <c r="B66" t="s">
        <v>348</v>
      </c>
    </row>
    <row r="67" spans="1:2" x14ac:dyDescent="0.2">
      <c r="A67" s="16">
        <v>46319</v>
      </c>
      <c r="B67" t="s">
        <v>329</v>
      </c>
    </row>
    <row r="68" spans="1:2" x14ac:dyDescent="0.2">
      <c r="A68" s="16">
        <v>46319</v>
      </c>
      <c r="B68" t="s">
        <v>369</v>
      </c>
    </row>
    <row r="69" spans="1:2" x14ac:dyDescent="0.2">
      <c r="A69" s="16">
        <v>46319</v>
      </c>
      <c r="B69" t="s">
        <v>364</v>
      </c>
    </row>
    <row r="70" spans="1:2" x14ac:dyDescent="0.2">
      <c r="A70" s="16">
        <v>46319</v>
      </c>
      <c r="B70" t="s">
        <v>343</v>
      </c>
    </row>
    <row r="71" spans="1:2" x14ac:dyDescent="0.2">
      <c r="A71" s="16">
        <v>46319</v>
      </c>
      <c r="B71" t="s">
        <v>346</v>
      </c>
    </row>
    <row r="72" spans="1:2" x14ac:dyDescent="0.2">
      <c r="A72" s="16">
        <v>46319</v>
      </c>
      <c r="B72" t="s">
        <v>351</v>
      </c>
    </row>
    <row r="73" spans="1:2" x14ac:dyDescent="0.2">
      <c r="A73" s="16">
        <v>46319</v>
      </c>
      <c r="B73" t="s">
        <v>368</v>
      </c>
    </row>
    <row r="74" spans="1:2" x14ac:dyDescent="0.2">
      <c r="A74" s="16">
        <v>46320</v>
      </c>
      <c r="B74" t="s">
        <v>379</v>
      </c>
    </row>
    <row r="75" spans="1:2" x14ac:dyDescent="0.2">
      <c r="A75" s="16">
        <v>46320</v>
      </c>
      <c r="B75" t="s">
        <v>355</v>
      </c>
    </row>
    <row r="76" spans="1:2" x14ac:dyDescent="0.2">
      <c r="A76" s="16">
        <v>46320</v>
      </c>
      <c r="B76" t="s">
        <v>366</v>
      </c>
    </row>
    <row r="77" spans="1:2" x14ac:dyDescent="0.2">
      <c r="A77" s="16">
        <v>46320</v>
      </c>
      <c r="B77" t="s">
        <v>373</v>
      </c>
    </row>
    <row r="78" spans="1:2" x14ac:dyDescent="0.2">
      <c r="A78" s="16">
        <v>46320</v>
      </c>
      <c r="B78" t="s">
        <v>332</v>
      </c>
    </row>
    <row r="79" spans="1:2" x14ac:dyDescent="0.2">
      <c r="A79" s="16">
        <v>46320</v>
      </c>
      <c r="B79" t="s">
        <v>396</v>
      </c>
    </row>
    <row r="80" spans="1:2" x14ac:dyDescent="0.2">
      <c r="A80" s="16">
        <v>46320</v>
      </c>
      <c r="B80" t="s">
        <v>334</v>
      </c>
    </row>
    <row r="81" spans="1:2" x14ac:dyDescent="0.2">
      <c r="A81" s="16">
        <v>46320</v>
      </c>
      <c r="B81" t="s">
        <v>342</v>
      </c>
    </row>
    <row r="82" spans="1:2" x14ac:dyDescent="0.2">
      <c r="A82" s="16">
        <v>46320</v>
      </c>
      <c r="B82" t="s">
        <v>325</v>
      </c>
    </row>
    <row r="83" spans="1:2" x14ac:dyDescent="0.2">
      <c r="A83" s="16">
        <v>46320</v>
      </c>
      <c r="B83" t="s">
        <v>358</v>
      </c>
    </row>
    <row r="84" spans="1:2" x14ac:dyDescent="0.2">
      <c r="A84" s="16">
        <v>46320</v>
      </c>
      <c r="B84" t="s">
        <v>343</v>
      </c>
    </row>
    <row r="85" spans="1:2" x14ac:dyDescent="0.2">
      <c r="A85" s="16">
        <v>46320</v>
      </c>
      <c r="B85" t="s">
        <v>385</v>
      </c>
    </row>
    <row r="86" spans="1:2" x14ac:dyDescent="0.2">
      <c r="A86" s="16">
        <v>46320</v>
      </c>
      <c r="B86" t="s">
        <v>353</v>
      </c>
    </row>
    <row r="87" spans="1:2" x14ac:dyDescent="0.2">
      <c r="A87" s="16">
        <v>46320</v>
      </c>
      <c r="B87" t="s">
        <v>362</v>
      </c>
    </row>
    <row r="88" spans="1:2" x14ac:dyDescent="0.2">
      <c r="A88" s="16">
        <v>46321</v>
      </c>
      <c r="B88" t="s">
        <v>377</v>
      </c>
    </row>
    <row r="89" spans="1:2" x14ac:dyDescent="0.2">
      <c r="A89" s="16">
        <v>46321</v>
      </c>
      <c r="B89" t="s">
        <v>337</v>
      </c>
    </row>
    <row r="90" spans="1:2" x14ac:dyDescent="0.2">
      <c r="A90" s="16">
        <v>46321</v>
      </c>
      <c r="B90" t="s">
        <v>378</v>
      </c>
    </row>
    <row r="91" spans="1:2" x14ac:dyDescent="0.2">
      <c r="A91" s="16">
        <v>46321</v>
      </c>
      <c r="B91" t="s">
        <v>370</v>
      </c>
    </row>
    <row r="92" spans="1:2" x14ac:dyDescent="0.2">
      <c r="A92" s="16">
        <v>46321</v>
      </c>
      <c r="B92" t="s">
        <v>341</v>
      </c>
    </row>
    <row r="93" spans="1:2" x14ac:dyDescent="0.2">
      <c r="A93" s="16">
        <v>46321</v>
      </c>
      <c r="B93" t="s">
        <v>357</v>
      </c>
    </row>
    <row r="94" spans="1:2" x14ac:dyDescent="0.2">
      <c r="A94" s="16">
        <v>46321</v>
      </c>
      <c r="B94" t="s">
        <v>339</v>
      </c>
    </row>
    <row r="95" spans="1:2" x14ac:dyDescent="0.2">
      <c r="A95" s="16">
        <v>46321</v>
      </c>
      <c r="B95" t="s">
        <v>345</v>
      </c>
    </row>
    <row r="96" spans="1:2" x14ac:dyDescent="0.2">
      <c r="A96" s="16">
        <v>46321</v>
      </c>
      <c r="B96" t="s">
        <v>348</v>
      </c>
    </row>
    <row r="97" spans="1:2" x14ac:dyDescent="0.2">
      <c r="A97" s="16">
        <v>46321</v>
      </c>
      <c r="B97" t="s">
        <v>366</v>
      </c>
    </row>
    <row r="98" spans="1:2" x14ac:dyDescent="0.2">
      <c r="A98" s="16">
        <v>46321</v>
      </c>
      <c r="B98" t="s">
        <v>396</v>
      </c>
    </row>
    <row r="99" spans="1:2" x14ac:dyDescent="0.2">
      <c r="A99" s="16">
        <v>46321</v>
      </c>
      <c r="B99" t="s">
        <v>329</v>
      </c>
    </row>
    <row r="100" spans="1:2" x14ac:dyDescent="0.2">
      <c r="A100" s="16">
        <v>46321</v>
      </c>
      <c r="B100" t="s">
        <v>369</v>
      </c>
    </row>
    <row r="101" spans="1:2" x14ac:dyDescent="0.2">
      <c r="A101" s="16">
        <v>46321</v>
      </c>
      <c r="B101" t="s">
        <v>334</v>
      </c>
    </row>
    <row r="102" spans="1:2" x14ac:dyDescent="0.2">
      <c r="A102" s="16">
        <v>46321</v>
      </c>
      <c r="B102" t="s">
        <v>325</v>
      </c>
    </row>
    <row r="103" spans="1:2" x14ac:dyDescent="0.2">
      <c r="A103" s="16">
        <v>46321</v>
      </c>
      <c r="B103" t="s">
        <v>346</v>
      </c>
    </row>
    <row r="104" spans="1:2" x14ac:dyDescent="0.2">
      <c r="A104" s="16">
        <v>46321</v>
      </c>
      <c r="B104" t="s">
        <v>362</v>
      </c>
    </row>
    <row r="105" spans="1:2" x14ac:dyDescent="0.2">
      <c r="A105" s="16">
        <v>46321</v>
      </c>
      <c r="B105" t="s">
        <v>368</v>
      </c>
    </row>
    <row r="106" spans="1:2" x14ac:dyDescent="0.2">
      <c r="A106" s="16">
        <v>46322</v>
      </c>
      <c r="B106" t="s">
        <v>379</v>
      </c>
    </row>
    <row r="107" spans="1:2" x14ac:dyDescent="0.2">
      <c r="A107" s="16">
        <v>46322</v>
      </c>
      <c r="B107" t="s">
        <v>337</v>
      </c>
    </row>
    <row r="108" spans="1:2" x14ac:dyDescent="0.2">
      <c r="A108" s="16">
        <v>46322</v>
      </c>
      <c r="B108" t="s">
        <v>355</v>
      </c>
    </row>
    <row r="109" spans="1:2" x14ac:dyDescent="0.2">
      <c r="A109" s="16">
        <v>46322</v>
      </c>
      <c r="B109" t="s">
        <v>332</v>
      </c>
    </row>
    <row r="110" spans="1:2" x14ac:dyDescent="0.2">
      <c r="A110" s="16">
        <v>46322</v>
      </c>
      <c r="B110" t="s">
        <v>342</v>
      </c>
    </row>
    <row r="111" spans="1:2" x14ac:dyDescent="0.2">
      <c r="A111" s="16">
        <v>46322</v>
      </c>
      <c r="B111" t="s">
        <v>361</v>
      </c>
    </row>
    <row r="112" spans="1:2" x14ac:dyDescent="0.2">
      <c r="A112" s="16">
        <v>46322</v>
      </c>
      <c r="B112" t="s">
        <v>385</v>
      </c>
    </row>
    <row r="113" spans="1:2" x14ac:dyDescent="0.2">
      <c r="A113" s="16">
        <v>46322</v>
      </c>
      <c r="B113" t="s">
        <v>351</v>
      </c>
    </row>
    <row r="114" spans="1:2" x14ac:dyDescent="0.2">
      <c r="A114" s="16">
        <v>46323</v>
      </c>
      <c r="B114" t="s">
        <v>377</v>
      </c>
    </row>
    <row r="115" spans="1:2" x14ac:dyDescent="0.2">
      <c r="A115" s="16">
        <v>46323</v>
      </c>
      <c r="B115" t="s">
        <v>378</v>
      </c>
    </row>
    <row r="116" spans="1:2" x14ac:dyDescent="0.2">
      <c r="A116" s="16">
        <v>46323</v>
      </c>
      <c r="B116" t="s">
        <v>370</v>
      </c>
    </row>
    <row r="117" spans="1:2" x14ac:dyDescent="0.2">
      <c r="A117" s="16">
        <v>46323</v>
      </c>
      <c r="B117" t="s">
        <v>341</v>
      </c>
    </row>
    <row r="118" spans="1:2" x14ac:dyDescent="0.2">
      <c r="A118" s="16">
        <v>46323</v>
      </c>
      <c r="B118" t="s">
        <v>357</v>
      </c>
    </row>
    <row r="119" spans="1:2" x14ac:dyDescent="0.2">
      <c r="A119" s="16">
        <v>46323</v>
      </c>
      <c r="B119" t="s">
        <v>339</v>
      </c>
    </row>
    <row r="120" spans="1:2" x14ac:dyDescent="0.2">
      <c r="A120" s="16">
        <v>46323</v>
      </c>
      <c r="B120" t="s">
        <v>355</v>
      </c>
    </row>
    <row r="121" spans="1:2" x14ac:dyDescent="0.2">
      <c r="A121" s="16">
        <v>46323</v>
      </c>
      <c r="B121" t="s">
        <v>345</v>
      </c>
    </row>
    <row r="122" spans="1:2" x14ac:dyDescent="0.2">
      <c r="A122" s="16">
        <v>46323</v>
      </c>
      <c r="B122" t="s">
        <v>348</v>
      </c>
    </row>
    <row r="123" spans="1:2" x14ac:dyDescent="0.2">
      <c r="A123" s="16">
        <v>46323</v>
      </c>
      <c r="B123" t="s">
        <v>366</v>
      </c>
    </row>
    <row r="124" spans="1:2" x14ac:dyDescent="0.2">
      <c r="A124" s="16">
        <v>46323</v>
      </c>
      <c r="B124" t="s">
        <v>373</v>
      </c>
    </row>
    <row r="125" spans="1:2" x14ac:dyDescent="0.2">
      <c r="A125" s="16">
        <v>46323</v>
      </c>
      <c r="B125" t="s">
        <v>332</v>
      </c>
    </row>
    <row r="126" spans="1:2" x14ac:dyDescent="0.2">
      <c r="A126" s="16">
        <v>46323</v>
      </c>
      <c r="B126" t="s">
        <v>329</v>
      </c>
    </row>
    <row r="127" spans="1:2" x14ac:dyDescent="0.2">
      <c r="A127" s="16">
        <v>46323</v>
      </c>
      <c r="B127" t="s">
        <v>369</v>
      </c>
    </row>
    <row r="128" spans="1:2" x14ac:dyDescent="0.2">
      <c r="A128" s="16">
        <v>46323</v>
      </c>
      <c r="B128" t="s">
        <v>334</v>
      </c>
    </row>
    <row r="129" spans="1:2" x14ac:dyDescent="0.2">
      <c r="A129" s="16">
        <v>46323</v>
      </c>
      <c r="B129" t="s">
        <v>364</v>
      </c>
    </row>
    <row r="130" spans="1:2" x14ac:dyDescent="0.2">
      <c r="A130" s="16">
        <v>46323</v>
      </c>
      <c r="B130" t="s">
        <v>342</v>
      </c>
    </row>
    <row r="131" spans="1:2" x14ac:dyDescent="0.2">
      <c r="A131" s="16">
        <v>46323</v>
      </c>
      <c r="B131" t="s">
        <v>325</v>
      </c>
    </row>
    <row r="132" spans="1:2" x14ac:dyDescent="0.2">
      <c r="A132" s="16">
        <v>46323</v>
      </c>
      <c r="B132" t="s">
        <v>358</v>
      </c>
    </row>
    <row r="133" spans="1:2" x14ac:dyDescent="0.2">
      <c r="A133" s="16">
        <v>46323</v>
      </c>
      <c r="B133" t="s">
        <v>343</v>
      </c>
    </row>
    <row r="134" spans="1:2" x14ac:dyDescent="0.2">
      <c r="A134" s="16">
        <v>46323</v>
      </c>
      <c r="B134" t="s">
        <v>351</v>
      </c>
    </row>
    <row r="135" spans="1:2" x14ac:dyDescent="0.2">
      <c r="A135" s="16">
        <v>46323</v>
      </c>
      <c r="B135" t="s">
        <v>353</v>
      </c>
    </row>
    <row r="136" spans="1:2" x14ac:dyDescent="0.2">
      <c r="A136" s="16">
        <v>46323</v>
      </c>
      <c r="B136" t="s">
        <v>362</v>
      </c>
    </row>
    <row r="137" spans="1:2" x14ac:dyDescent="0.2">
      <c r="A137" s="16">
        <v>46323</v>
      </c>
      <c r="B137" t="s">
        <v>368</v>
      </c>
    </row>
    <row r="138" spans="1:2" x14ac:dyDescent="0.2">
      <c r="A138" s="16">
        <v>46324</v>
      </c>
      <c r="B138" t="s">
        <v>377</v>
      </c>
    </row>
    <row r="139" spans="1:2" x14ac:dyDescent="0.2">
      <c r="A139" s="16">
        <v>46324</v>
      </c>
      <c r="B139" t="s">
        <v>341</v>
      </c>
    </row>
    <row r="140" spans="1:2" x14ac:dyDescent="0.2">
      <c r="A140" s="16">
        <v>46324</v>
      </c>
      <c r="B140" t="s">
        <v>396</v>
      </c>
    </row>
    <row r="141" spans="1:2" x14ac:dyDescent="0.2">
      <c r="A141" s="16">
        <v>46324</v>
      </c>
      <c r="B141" t="s">
        <v>364</v>
      </c>
    </row>
    <row r="142" spans="1:2" x14ac:dyDescent="0.2">
      <c r="A142" s="16">
        <v>46324</v>
      </c>
      <c r="B142" t="s">
        <v>361</v>
      </c>
    </row>
    <row r="143" spans="1:2" x14ac:dyDescent="0.2">
      <c r="A143" s="16">
        <v>46324</v>
      </c>
      <c r="B143" t="s">
        <v>385</v>
      </c>
    </row>
    <row r="144" spans="1:2" x14ac:dyDescent="0.2">
      <c r="A144" s="16">
        <v>46325</v>
      </c>
      <c r="B144" t="s">
        <v>379</v>
      </c>
    </row>
    <row r="145" spans="1:2" x14ac:dyDescent="0.2">
      <c r="A145" s="16">
        <v>46325</v>
      </c>
      <c r="B145" t="s">
        <v>337</v>
      </c>
    </row>
    <row r="146" spans="1:2" x14ac:dyDescent="0.2">
      <c r="A146" s="16">
        <v>46325</v>
      </c>
      <c r="B146" t="s">
        <v>378</v>
      </c>
    </row>
    <row r="147" spans="1:2" x14ac:dyDescent="0.2">
      <c r="A147" s="16">
        <v>46325</v>
      </c>
      <c r="B147" t="s">
        <v>370</v>
      </c>
    </row>
    <row r="148" spans="1:2" x14ac:dyDescent="0.2">
      <c r="A148" s="16">
        <v>46325</v>
      </c>
      <c r="B148" t="s">
        <v>357</v>
      </c>
    </row>
    <row r="149" spans="1:2" x14ac:dyDescent="0.2">
      <c r="A149" s="16">
        <v>46325</v>
      </c>
      <c r="B149" t="s">
        <v>339</v>
      </c>
    </row>
    <row r="150" spans="1:2" x14ac:dyDescent="0.2">
      <c r="A150" s="16">
        <v>46325</v>
      </c>
      <c r="B150" t="s">
        <v>355</v>
      </c>
    </row>
    <row r="151" spans="1:2" x14ac:dyDescent="0.2">
      <c r="A151" s="16">
        <v>46325</v>
      </c>
      <c r="B151" t="s">
        <v>345</v>
      </c>
    </row>
    <row r="152" spans="1:2" x14ac:dyDescent="0.2">
      <c r="A152" s="16">
        <v>46325</v>
      </c>
      <c r="B152" t="s">
        <v>348</v>
      </c>
    </row>
    <row r="153" spans="1:2" x14ac:dyDescent="0.2">
      <c r="A153" s="16">
        <v>46325</v>
      </c>
      <c r="B153" t="s">
        <v>366</v>
      </c>
    </row>
    <row r="154" spans="1:2" x14ac:dyDescent="0.2">
      <c r="A154" s="16">
        <v>46325</v>
      </c>
      <c r="B154" t="s">
        <v>373</v>
      </c>
    </row>
    <row r="155" spans="1:2" x14ac:dyDescent="0.2">
      <c r="A155" s="16">
        <v>46325</v>
      </c>
      <c r="B155" t="s">
        <v>332</v>
      </c>
    </row>
    <row r="156" spans="1:2" x14ac:dyDescent="0.2">
      <c r="A156" s="16">
        <v>46325</v>
      </c>
      <c r="B156" t="s">
        <v>329</v>
      </c>
    </row>
    <row r="157" spans="1:2" x14ac:dyDescent="0.2">
      <c r="A157" s="16">
        <v>46325</v>
      </c>
      <c r="B157" t="s">
        <v>334</v>
      </c>
    </row>
    <row r="158" spans="1:2" x14ac:dyDescent="0.2">
      <c r="A158" s="16">
        <v>46325</v>
      </c>
      <c r="B158" t="s">
        <v>342</v>
      </c>
    </row>
    <row r="159" spans="1:2" x14ac:dyDescent="0.2">
      <c r="A159" s="16">
        <v>46325</v>
      </c>
      <c r="B159" t="s">
        <v>358</v>
      </c>
    </row>
    <row r="160" spans="1:2" x14ac:dyDescent="0.2">
      <c r="A160" s="16">
        <v>46325</v>
      </c>
      <c r="B160" t="s">
        <v>343</v>
      </c>
    </row>
    <row r="161" spans="1:2" x14ac:dyDescent="0.2">
      <c r="A161" s="16">
        <v>46325</v>
      </c>
      <c r="B161" t="s">
        <v>346</v>
      </c>
    </row>
    <row r="162" spans="1:2" x14ac:dyDescent="0.2">
      <c r="A162" s="16">
        <v>46325</v>
      </c>
      <c r="B162" t="s">
        <v>353</v>
      </c>
    </row>
    <row r="163" spans="1:2" x14ac:dyDescent="0.2">
      <c r="A163" s="16">
        <v>46325</v>
      </c>
      <c r="B163" t="s">
        <v>368</v>
      </c>
    </row>
    <row r="164" spans="1:2" x14ac:dyDescent="0.2">
      <c r="A164" s="16">
        <v>46326</v>
      </c>
      <c r="B164" t="s">
        <v>377</v>
      </c>
    </row>
    <row r="165" spans="1:2" x14ac:dyDescent="0.2">
      <c r="A165" s="16">
        <v>46326</v>
      </c>
      <c r="B165" t="s">
        <v>378</v>
      </c>
    </row>
    <row r="166" spans="1:2" x14ac:dyDescent="0.2">
      <c r="A166" s="16">
        <v>46326</v>
      </c>
      <c r="B166" t="s">
        <v>341</v>
      </c>
    </row>
    <row r="167" spans="1:2" x14ac:dyDescent="0.2">
      <c r="A167" s="16">
        <v>46326</v>
      </c>
      <c r="B167" t="s">
        <v>348</v>
      </c>
    </row>
    <row r="168" spans="1:2" x14ac:dyDescent="0.2">
      <c r="A168" s="16">
        <v>46326</v>
      </c>
      <c r="B168" t="s">
        <v>396</v>
      </c>
    </row>
    <row r="169" spans="1:2" x14ac:dyDescent="0.2">
      <c r="A169" s="16">
        <v>46326</v>
      </c>
      <c r="B169" t="s">
        <v>369</v>
      </c>
    </row>
    <row r="170" spans="1:2" x14ac:dyDescent="0.2">
      <c r="A170" s="16">
        <v>46326</v>
      </c>
      <c r="B170" t="s">
        <v>334</v>
      </c>
    </row>
    <row r="171" spans="1:2" x14ac:dyDescent="0.2">
      <c r="A171" s="16">
        <v>46326</v>
      </c>
      <c r="B171" t="s">
        <v>364</v>
      </c>
    </row>
    <row r="172" spans="1:2" x14ac:dyDescent="0.2">
      <c r="A172" s="16">
        <v>46326</v>
      </c>
      <c r="B172" t="s">
        <v>325</v>
      </c>
    </row>
    <row r="173" spans="1:2" x14ac:dyDescent="0.2">
      <c r="A173" s="16">
        <v>46326</v>
      </c>
      <c r="B173" t="s">
        <v>343</v>
      </c>
    </row>
    <row r="174" spans="1:2" x14ac:dyDescent="0.2">
      <c r="A174" s="16">
        <v>46326</v>
      </c>
      <c r="B174" t="s">
        <v>361</v>
      </c>
    </row>
    <row r="175" spans="1:2" x14ac:dyDescent="0.2">
      <c r="A175" s="16">
        <v>46326</v>
      </c>
      <c r="B175" t="s">
        <v>385</v>
      </c>
    </row>
    <row r="176" spans="1:2" x14ac:dyDescent="0.2">
      <c r="A176" s="16">
        <v>46326</v>
      </c>
      <c r="B176" t="s">
        <v>351</v>
      </c>
    </row>
    <row r="177" spans="1:2" x14ac:dyDescent="0.2">
      <c r="A177" s="16">
        <v>46326</v>
      </c>
      <c r="B177" t="s">
        <v>362</v>
      </c>
    </row>
    <row r="178" spans="1:2" x14ac:dyDescent="0.2">
      <c r="A178" s="16">
        <v>46327</v>
      </c>
      <c r="B178" t="s">
        <v>379</v>
      </c>
    </row>
    <row r="179" spans="1:2" x14ac:dyDescent="0.2">
      <c r="A179" s="16">
        <v>46327</v>
      </c>
      <c r="B179" t="s">
        <v>337</v>
      </c>
    </row>
    <row r="180" spans="1:2" x14ac:dyDescent="0.2">
      <c r="A180" s="16">
        <v>46327</v>
      </c>
      <c r="B180" t="s">
        <v>345</v>
      </c>
    </row>
    <row r="181" spans="1:2" x14ac:dyDescent="0.2">
      <c r="A181" s="16">
        <v>46327</v>
      </c>
      <c r="B181" t="s">
        <v>366</v>
      </c>
    </row>
    <row r="182" spans="1:2" x14ac:dyDescent="0.2">
      <c r="A182" s="16">
        <v>46327</v>
      </c>
      <c r="B182" t="s">
        <v>373</v>
      </c>
    </row>
    <row r="183" spans="1:2" x14ac:dyDescent="0.2">
      <c r="A183" s="16">
        <v>46327</v>
      </c>
      <c r="B183" t="s">
        <v>332</v>
      </c>
    </row>
    <row r="184" spans="1:2" x14ac:dyDescent="0.2">
      <c r="A184" s="16">
        <v>46327</v>
      </c>
      <c r="B184" t="s">
        <v>358</v>
      </c>
    </row>
    <row r="185" spans="1:2" x14ac:dyDescent="0.2">
      <c r="A185" s="16">
        <v>46327</v>
      </c>
      <c r="B185" t="s">
        <v>353</v>
      </c>
    </row>
    <row r="186" spans="1:2" x14ac:dyDescent="0.2">
      <c r="A186" s="16">
        <v>46328</v>
      </c>
      <c r="B186" t="s">
        <v>377</v>
      </c>
    </row>
    <row r="187" spans="1:2" x14ac:dyDescent="0.2">
      <c r="A187" s="16">
        <v>46328</v>
      </c>
      <c r="B187" t="s">
        <v>379</v>
      </c>
    </row>
    <row r="188" spans="1:2" x14ac:dyDescent="0.2">
      <c r="A188" s="16">
        <v>46328</v>
      </c>
      <c r="B188" t="s">
        <v>337</v>
      </c>
    </row>
    <row r="189" spans="1:2" x14ac:dyDescent="0.2">
      <c r="A189" s="16">
        <v>46328</v>
      </c>
      <c r="B189" t="s">
        <v>378</v>
      </c>
    </row>
    <row r="190" spans="1:2" x14ac:dyDescent="0.2">
      <c r="A190" s="16">
        <v>46328</v>
      </c>
      <c r="B190" t="s">
        <v>370</v>
      </c>
    </row>
    <row r="191" spans="1:2" x14ac:dyDescent="0.2">
      <c r="A191" s="16">
        <v>46328</v>
      </c>
      <c r="B191" t="s">
        <v>341</v>
      </c>
    </row>
    <row r="192" spans="1:2" x14ac:dyDescent="0.2">
      <c r="A192" s="16">
        <v>46328</v>
      </c>
      <c r="B192" t="s">
        <v>357</v>
      </c>
    </row>
    <row r="193" spans="1:2" x14ac:dyDescent="0.2">
      <c r="A193" s="16">
        <v>46328</v>
      </c>
      <c r="B193" t="s">
        <v>339</v>
      </c>
    </row>
    <row r="194" spans="1:2" x14ac:dyDescent="0.2">
      <c r="A194" s="16">
        <v>46328</v>
      </c>
      <c r="B194" t="s">
        <v>355</v>
      </c>
    </row>
    <row r="195" spans="1:2" x14ac:dyDescent="0.2">
      <c r="A195" s="16">
        <v>46328</v>
      </c>
      <c r="B195" t="s">
        <v>345</v>
      </c>
    </row>
    <row r="196" spans="1:2" x14ac:dyDescent="0.2">
      <c r="A196" s="16">
        <v>46328</v>
      </c>
      <c r="B196" t="s">
        <v>348</v>
      </c>
    </row>
    <row r="197" spans="1:2" x14ac:dyDescent="0.2">
      <c r="A197" s="16">
        <v>46328</v>
      </c>
      <c r="B197" t="s">
        <v>366</v>
      </c>
    </row>
    <row r="198" spans="1:2" x14ac:dyDescent="0.2">
      <c r="A198" s="16">
        <v>46328</v>
      </c>
      <c r="B198" t="s">
        <v>373</v>
      </c>
    </row>
    <row r="199" spans="1:2" x14ac:dyDescent="0.2">
      <c r="A199" s="16">
        <v>46328</v>
      </c>
      <c r="B199" t="s">
        <v>332</v>
      </c>
    </row>
    <row r="200" spans="1:2" x14ac:dyDescent="0.2">
      <c r="A200" s="16">
        <v>46328</v>
      </c>
      <c r="B200" t="s">
        <v>396</v>
      </c>
    </row>
    <row r="201" spans="1:2" x14ac:dyDescent="0.2">
      <c r="A201" s="16">
        <v>46328</v>
      </c>
      <c r="B201" t="s">
        <v>329</v>
      </c>
    </row>
    <row r="202" spans="1:2" x14ac:dyDescent="0.2">
      <c r="A202" s="16">
        <v>46328</v>
      </c>
      <c r="B202" t="s">
        <v>369</v>
      </c>
    </row>
    <row r="203" spans="1:2" x14ac:dyDescent="0.2">
      <c r="A203" s="16">
        <v>46328</v>
      </c>
      <c r="B203" t="s">
        <v>334</v>
      </c>
    </row>
    <row r="204" spans="1:2" x14ac:dyDescent="0.2">
      <c r="A204" s="16">
        <v>46328</v>
      </c>
      <c r="B204" t="s">
        <v>364</v>
      </c>
    </row>
    <row r="205" spans="1:2" x14ac:dyDescent="0.2">
      <c r="A205" s="16">
        <v>46328</v>
      </c>
      <c r="B205" t="s">
        <v>342</v>
      </c>
    </row>
    <row r="206" spans="1:2" x14ac:dyDescent="0.2">
      <c r="A206" s="16">
        <v>46328</v>
      </c>
      <c r="B206" t="s">
        <v>325</v>
      </c>
    </row>
    <row r="207" spans="1:2" x14ac:dyDescent="0.2">
      <c r="A207" s="16">
        <v>46328</v>
      </c>
      <c r="B207" t="s">
        <v>358</v>
      </c>
    </row>
    <row r="208" spans="1:2" x14ac:dyDescent="0.2">
      <c r="A208" s="16">
        <v>46328</v>
      </c>
      <c r="B208" t="s">
        <v>343</v>
      </c>
    </row>
    <row r="209" spans="1:2" x14ac:dyDescent="0.2">
      <c r="A209" s="16">
        <v>46328</v>
      </c>
      <c r="B209" t="s">
        <v>346</v>
      </c>
    </row>
    <row r="210" spans="1:2" x14ac:dyDescent="0.2">
      <c r="A210" s="16">
        <v>46328</v>
      </c>
      <c r="B210" t="s">
        <v>361</v>
      </c>
    </row>
    <row r="211" spans="1:2" x14ac:dyDescent="0.2">
      <c r="A211" s="16">
        <v>46328</v>
      </c>
      <c r="B211" t="s">
        <v>385</v>
      </c>
    </row>
    <row r="212" spans="1:2" x14ac:dyDescent="0.2">
      <c r="A212" s="16">
        <v>46328</v>
      </c>
      <c r="B212" t="s">
        <v>351</v>
      </c>
    </row>
    <row r="213" spans="1:2" x14ac:dyDescent="0.2">
      <c r="A213" s="16">
        <v>46328</v>
      </c>
      <c r="B213" t="s">
        <v>353</v>
      </c>
    </row>
    <row r="214" spans="1:2" x14ac:dyDescent="0.2">
      <c r="A214" s="16">
        <v>46328</v>
      </c>
      <c r="B214" t="s">
        <v>362</v>
      </c>
    </row>
    <row r="215" spans="1:2" x14ac:dyDescent="0.2">
      <c r="A215" s="16">
        <v>46328</v>
      </c>
      <c r="B215" t="s">
        <v>368</v>
      </c>
    </row>
    <row r="216" spans="1:2" x14ac:dyDescent="0.2">
      <c r="A216" s="16">
        <v>46330</v>
      </c>
      <c r="B216" t="s">
        <v>377</v>
      </c>
    </row>
    <row r="217" spans="1:2" x14ac:dyDescent="0.2">
      <c r="A217" s="16">
        <v>46330</v>
      </c>
      <c r="B217" t="s">
        <v>379</v>
      </c>
    </row>
    <row r="218" spans="1:2" x14ac:dyDescent="0.2">
      <c r="A218" s="16">
        <v>46330</v>
      </c>
      <c r="B218" t="s">
        <v>337</v>
      </c>
    </row>
    <row r="219" spans="1:2" x14ac:dyDescent="0.2">
      <c r="A219" s="16">
        <v>46330</v>
      </c>
      <c r="B219" t="s">
        <v>378</v>
      </c>
    </row>
    <row r="220" spans="1:2" x14ac:dyDescent="0.2">
      <c r="A220" s="16">
        <v>46330</v>
      </c>
      <c r="B220" t="s">
        <v>370</v>
      </c>
    </row>
    <row r="221" spans="1:2" x14ac:dyDescent="0.2">
      <c r="A221" s="16">
        <v>46330</v>
      </c>
      <c r="B221" t="s">
        <v>341</v>
      </c>
    </row>
    <row r="222" spans="1:2" x14ac:dyDescent="0.2">
      <c r="A222" s="16">
        <v>46330</v>
      </c>
      <c r="B222" t="s">
        <v>357</v>
      </c>
    </row>
    <row r="223" spans="1:2" x14ac:dyDescent="0.2">
      <c r="A223" s="16">
        <v>46330</v>
      </c>
      <c r="B223" t="s">
        <v>339</v>
      </c>
    </row>
    <row r="224" spans="1:2" x14ac:dyDescent="0.2">
      <c r="A224" s="16">
        <v>46330</v>
      </c>
      <c r="B224" t="s">
        <v>355</v>
      </c>
    </row>
    <row r="225" spans="1:2" x14ac:dyDescent="0.2">
      <c r="A225" s="16">
        <v>46330</v>
      </c>
      <c r="B225" t="s">
        <v>348</v>
      </c>
    </row>
    <row r="226" spans="1:2" x14ac:dyDescent="0.2">
      <c r="A226" s="16">
        <v>46330</v>
      </c>
      <c r="B226" t="s">
        <v>366</v>
      </c>
    </row>
    <row r="227" spans="1:2" x14ac:dyDescent="0.2">
      <c r="A227" s="16">
        <v>46330</v>
      </c>
      <c r="B227" t="s">
        <v>373</v>
      </c>
    </row>
    <row r="228" spans="1:2" x14ac:dyDescent="0.2">
      <c r="A228" s="16">
        <v>46330</v>
      </c>
      <c r="B228" t="s">
        <v>332</v>
      </c>
    </row>
    <row r="229" spans="1:2" x14ac:dyDescent="0.2">
      <c r="A229" s="16">
        <v>46330</v>
      </c>
      <c r="B229" t="s">
        <v>396</v>
      </c>
    </row>
    <row r="230" spans="1:2" x14ac:dyDescent="0.2">
      <c r="A230" s="16">
        <v>46330</v>
      </c>
      <c r="B230" t="s">
        <v>329</v>
      </c>
    </row>
    <row r="231" spans="1:2" x14ac:dyDescent="0.2">
      <c r="A231" s="16">
        <v>46330</v>
      </c>
      <c r="B231" t="s">
        <v>369</v>
      </c>
    </row>
    <row r="232" spans="1:2" x14ac:dyDescent="0.2">
      <c r="A232" s="16">
        <v>46330</v>
      </c>
      <c r="B232" t="s">
        <v>334</v>
      </c>
    </row>
    <row r="233" spans="1:2" x14ac:dyDescent="0.2">
      <c r="A233" s="16">
        <v>46330</v>
      </c>
      <c r="B233" t="s">
        <v>364</v>
      </c>
    </row>
    <row r="234" spans="1:2" x14ac:dyDescent="0.2">
      <c r="A234" s="16">
        <v>46330</v>
      </c>
      <c r="B234" t="s">
        <v>342</v>
      </c>
    </row>
    <row r="235" spans="1:2" x14ac:dyDescent="0.2">
      <c r="A235" s="16">
        <v>46330</v>
      </c>
      <c r="B235" t="s">
        <v>325</v>
      </c>
    </row>
    <row r="236" spans="1:2" x14ac:dyDescent="0.2">
      <c r="A236" s="16">
        <v>46330</v>
      </c>
      <c r="B236" t="s">
        <v>343</v>
      </c>
    </row>
    <row r="237" spans="1:2" x14ac:dyDescent="0.2">
      <c r="A237" s="16">
        <v>46330</v>
      </c>
      <c r="B237" t="s">
        <v>346</v>
      </c>
    </row>
    <row r="238" spans="1:2" x14ac:dyDescent="0.2">
      <c r="A238" s="16">
        <v>46330</v>
      </c>
      <c r="B238" t="s">
        <v>361</v>
      </c>
    </row>
    <row r="239" spans="1:2" x14ac:dyDescent="0.2">
      <c r="A239" s="16">
        <v>46330</v>
      </c>
      <c r="B239" t="s">
        <v>385</v>
      </c>
    </row>
    <row r="240" spans="1:2" x14ac:dyDescent="0.2">
      <c r="A240" s="16">
        <v>46330</v>
      </c>
      <c r="B240" t="s">
        <v>351</v>
      </c>
    </row>
    <row r="241" spans="1:2" x14ac:dyDescent="0.2">
      <c r="A241" s="16">
        <v>46330</v>
      </c>
      <c r="B241" t="s">
        <v>353</v>
      </c>
    </row>
    <row r="242" spans="1:2" x14ac:dyDescent="0.2">
      <c r="A242" s="16">
        <v>46330</v>
      </c>
      <c r="B242" t="s">
        <v>362</v>
      </c>
    </row>
    <row r="243" spans="1:2" x14ac:dyDescent="0.2">
      <c r="A243" s="16">
        <v>46330</v>
      </c>
      <c r="B243" t="s">
        <v>368</v>
      </c>
    </row>
    <row r="244" spans="1:2" x14ac:dyDescent="0.2">
      <c r="A244" s="16">
        <v>46331</v>
      </c>
      <c r="B244" t="s">
        <v>345</v>
      </c>
    </row>
    <row r="245" spans="1:2" x14ac:dyDescent="0.2">
      <c r="A245" s="16">
        <v>46331</v>
      </c>
      <c r="B245" t="s">
        <v>329</v>
      </c>
    </row>
    <row r="246" spans="1:2" x14ac:dyDescent="0.2">
      <c r="A246" s="16">
        <v>46331</v>
      </c>
      <c r="B246" t="s">
        <v>358</v>
      </c>
    </row>
    <row r="247" spans="1:2" x14ac:dyDescent="0.2">
      <c r="A247" s="16">
        <v>46331</v>
      </c>
      <c r="B247" t="s">
        <v>346</v>
      </c>
    </row>
    <row r="248" spans="1:2" x14ac:dyDescent="0.2">
      <c r="A248" s="16">
        <v>46332</v>
      </c>
      <c r="B248" t="s">
        <v>377</v>
      </c>
    </row>
    <row r="249" spans="1:2" x14ac:dyDescent="0.2">
      <c r="A249" s="16">
        <v>46332</v>
      </c>
      <c r="B249" t="s">
        <v>337</v>
      </c>
    </row>
    <row r="250" spans="1:2" x14ac:dyDescent="0.2">
      <c r="A250" s="16">
        <v>46332</v>
      </c>
      <c r="B250" t="s">
        <v>378</v>
      </c>
    </row>
    <row r="251" spans="1:2" x14ac:dyDescent="0.2">
      <c r="A251" s="16">
        <v>46332</v>
      </c>
      <c r="B251" t="s">
        <v>341</v>
      </c>
    </row>
    <row r="252" spans="1:2" x14ac:dyDescent="0.2">
      <c r="A252" s="16">
        <v>46332</v>
      </c>
      <c r="B252" t="s">
        <v>357</v>
      </c>
    </row>
    <row r="253" spans="1:2" x14ac:dyDescent="0.2">
      <c r="A253" s="16">
        <v>46332</v>
      </c>
      <c r="B253" t="s">
        <v>332</v>
      </c>
    </row>
    <row r="254" spans="1:2" x14ac:dyDescent="0.2">
      <c r="A254" s="16">
        <v>46332</v>
      </c>
      <c r="B254" t="s">
        <v>396</v>
      </c>
    </row>
    <row r="255" spans="1:2" x14ac:dyDescent="0.2">
      <c r="A255" s="16">
        <v>46332</v>
      </c>
      <c r="B255" t="s">
        <v>369</v>
      </c>
    </row>
    <row r="256" spans="1:2" x14ac:dyDescent="0.2">
      <c r="A256" s="16">
        <v>46332</v>
      </c>
      <c r="B256" t="s">
        <v>334</v>
      </c>
    </row>
    <row r="257" spans="1:2" x14ac:dyDescent="0.2">
      <c r="A257" s="16">
        <v>46332</v>
      </c>
      <c r="B257" t="s">
        <v>364</v>
      </c>
    </row>
    <row r="258" spans="1:2" x14ac:dyDescent="0.2">
      <c r="A258" s="16">
        <v>46332</v>
      </c>
      <c r="B258" t="s">
        <v>325</v>
      </c>
    </row>
    <row r="259" spans="1:2" x14ac:dyDescent="0.2">
      <c r="A259" s="16">
        <v>46332</v>
      </c>
      <c r="B259" t="s">
        <v>343</v>
      </c>
    </row>
    <row r="260" spans="1:2" x14ac:dyDescent="0.2">
      <c r="A260" s="16">
        <v>46332</v>
      </c>
      <c r="B260" t="s">
        <v>361</v>
      </c>
    </row>
    <row r="261" spans="1:2" x14ac:dyDescent="0.2">
      <c r="A261" s="16">
        <v>46332</v>
      </c>
      <c r="B261" t="s">
        <v>385</v>
      </c>
    </row>
    <row r="262" spans="1:2" x14ac:dyDescent="0.2">
      <c r="A262" s="16">
        <v>46332</v>
      </c>
      <c r="B262" t="s">
        <v>351</v>
      </c>
    </row>
    <row r="263" spans="1:2" x14ac:dyDescent="0.2">
      <c r="A263" s="16">
        <v>46332</v>
      </c>
      <c r="B263" t="s">
        <v>353</v>
      </c>
    </row>
    <row r="264" spans="1:2" x14ac:dyDescent="0.2">
      <c r="A264" s="16">
        <v>46332</v>
      </c>
      <c r="B264" t="s">
        <v>362</v>
      </c>
    </row>
    <row r="265" spans="1:2" x14ac:dyDescent="0.2">
      <c r="A265" s="16">
        <v>46332</v>
      </c>
      <c r="B265" t="s">
        <v>368</v>
      </c>
    </row>
    <row r="266" spans="1:2" x14ac:dyDescent="0.2">
      <c r="A266" s="16">
        <v>46333</v>
      </c>
      <c r="B266" t="s">
        <v>377</v>
      </c>
    </row>
    <row r="267" spans="1:2" x14ac:dyDescent="0.2">
      <c r="A267" s="16">
        <v>46333</v>
      </c>
      <c r="B267" t="s">
        <v>379</v>
      </c>
    </row>
    <row r="268" spans="1:2" x14ac:dyDescent="0.2">
      <c r="A268" s="16">
        <v>46333</v>
      </c>
      <c r="B268" t="s">
        <v>341</v>
      </c>
    </row>
    <row r="269" spans="1:2" x14ac:dyDescent="0.2">
      <c r="A269" s="16">
        <v>46333</v>
      </c>
      <c r="B269" t="s">
        <v>339</v>
      </c>
    </row>
    <row r="270" spans="1:2" x14ac:dyDescent="0.2">
      <c r="A270" s="16">
        <v>46333</v>
      </c>
      <c r="B270" t="s">
        <v>345</v>
      </c>
    </row>
    <row r="271" spans="1:2" x14ac:dyDescent="0.2">
      <c r="A271" s="16">
        <v>46333</v>
      </c>
      <c r="B271" t="s">
        <v>348</v>
      </c>
    </row>
    <row r="272" spans="1:2" x14ac:dyDescent="0.2">
      <c r="A272" s="16">
        <v>46333</v>
      </c>
      <c r="B272" t="s">
        <v>366</v>
      </c>
    </row>
    <row r="273" spans="1:2" x14ac:dyDescent="0.2">
      <c r="A273" s="16">
        <v>46333</v>
      </c>
      <c r="B273" t="s">
        <v>342</v>
      </c>
    </row>
    <row r="274" spans="1:2" x14ac:dyDescent="0.2">
      <c r="A274" s="16">
        <v>46333</v>
      </c>
      <c r="B274" t="s">
        <v>325</v>
      </c>
    </row>
    <row r="275" spans="1:2" x14ac:dyDescent="0.2">
      <c r="A275" s="16">
        <v>46333</v>
      </c>
      <c r="B275" t="s">
        <v>358</v>
      </c>
    </row>
    <row r="276" spans="1:2" x14ac:dyDescent="0.2">
      <c r="A276" s="16">
        <v>46333</v>
      </c>
      <c r="B276" t="s">
        <v>346</v>
      </c>
    </row>
    <row r="277" spans="1:2" x14ac:dyDescent="0.2">
      <c r="A277" s="16">
        <v>46333</v>
      </c>
      <c r="B277" t="s">
        <v>361</v>
      </c>
    </row>
    <row r="278" spans="1:2" x14ac:dyDescent="0.2">
      <c r="A278" s="16">
        <v>46333</v>
      </c>
      <c r="B278" t="s">
        <v>351</v>
      </c>
    </row>
    <row r="279" spans="1:2" x14ac:dyDescent="0.2">
      <c r="A279" s="16">
        <v>46333</v>
      </c>
      <c r="B279" t="s">
        <v>368</v>
      </c>
    </row>
    <row r="280" spans="1:2" x14ac:dyDescent="0.2">
      <c r="A280" s="16">
        <v>46334</v>
      </c>
      <c r="B280" t="s">
        <v>379</v>
      </c>
    </row>
    <row r="281" spans="1:2" x14ac:dyDescent="0.2">
      <c r="A281" s="16">
        <v>46334</v>
      </c>
      <c r="B281" t="s">
        <v>337</v>
      </c>
    </row>
    <row r="282" spans="1:2" x14ac:dyDescent="0.2">
      <c r="A282" s="16">
        <v>46334</v>
      </c>
      <c r="B282" t="s">
        <v>370</v>
      </c>
    </row>
    <row r="283" spans="1:2" x14ac:dyDescent="0.2">
      <c r="A283" s="16">
        <v>46334</v>
      </c>
      <c r="B283" t="s">
        <v>357</v>
      </c>
    </row>
    <row r="284" spans="1:2" x14ac:dyDescent="0.2">
      <c r="A284" s="16">
        <v>46334</v>
      </c>
      <c r="B284" t="s">
        <v>355</v>
      </c>
    </row>
    <row r="285" spans="1:2" x14ac:dyDescent="0.2">
      <c r="A285" s="16">
        <v>46334</v>
      </c>
      <c r="B285" t="s">
        <v>373</v>
      </c>
    </row>
    <row r="286" spans="1:2" x14ac:dyDescent="0.2">
      <c r="A286" s="16">
        <v>46334</v>
      </c>
      <c r="B286" t="s">
        <v>332</v>
      </c>
    </row>
    <row r="287" spans="1:2" x14ac:dyDescent="0.2">
      <c r="A287" s="16">
        <v>46334</v>
      </c>
      <c r="B287" t="s">
        <v>329</v>
      </c>
    </row>
    <row r="288" spans="1:2" x14ac:dyDescent="0.2">
      <c r="A288" s="16">
        <v>46334</v>
      </c>
      <c r="B288" t="s">
        <v>369</v>
      </c>
    </row>
    <row r="289" spans="1:2" x14ac:dyDescent="0.2">
      <c r="A289" s="16">
        <v>46334</v>
      </c>
      <c r="B289" t="s">
        <v>334</v>
      </c>
    </row>
    <row r="290" spans="1:2" x14ac:dyDescent="0.2">
      <c r="A290" s="16">
        <v>46334</v>
      </c>
      <c r="B290" t="s">
        <v>364</v>
      </c>
    </row>
    <row r="291" spans="1:2" x14ac:dyDescent="0.2">
      <c r="A291" s="16">
        <v>46334</v>
      </c>
      <c r="B291" t="s">
        <v>343</v>
      </c>
    </row>
    <row r="292" spans="1:2" x14ac:dyDescent="0.2">
      <c r="A292" s="16">
        <v>46334</v>
      </c>
      <c r="B292" t="s">
        <v>385</v>
      </c>
    </row>
    <row r="293" spans="1:2" x14ac:dyDescent="0.2">
      <c r="A293" s="16">
        <v>46334</v>
      </c>
      <c r="B293" t="s">
        <v>362</v>
      </c>
    </row>
    <row r="294" spans="1:2" x14ac:dyDescent="0.2">
      <c r="A294" s="16">
        <v>46335</v>
      </c>
      <c r="B294" t="s">
        <v>377</v>
      </c>
    </row>
    <row r="295" spans="1:2" x14ac:dyDescent="0.2">
      <c r="A295" s="16">
        <v>46335</v>
      </c>
      <c r="B295" t="s">
        <v>378</v>
      </c>
    </row>
    <row r="296" spans="1:2" x14ac:dyDescent="0.2">
      <c r="A296" s="16">
        <v>46335</v>
      </c>
      <c r="B296" t="s">
        <v>341</v>
      </c>
    </row>
    <row r="297" spans="1:2" x14ac:dyDescent="0.2">
      <c r="A297" s="16">
        <v>46335</v>
      </c>
      <c r="B297" t="s">
        <v>357</v>
      </c>
    </row>
    <row r="298" spans="1:2" x14ac:dyDescent="0.2">
      <c r="A298" s="16">
        <v>46335</v>
      </c>
      <c r="B298" t="s">
        <v>339</v>
      </c>
    </row>
    <row r="299" spans="1:2" x14ac:dyDescent="0.2">
      <c r="A299" s="16">
        <v>46335</v>
      </c>
      <c r="B299" t="s">
        <v>355</v>
      </c>
    </row>
    <row r="300" spans="1:2" x14ac:dyDescent="0.2">
      <c r="A300" s="16">
        <v>46335</v>
      </c>
      <c r="B300" t="s">
        <v>345</v>
      </c>
    </row>
    <row r="301" spans="1:2" x14ac:dyDescent="0.2">
      <c r="A301" s="16">
        <v>46335</v>
      </c>
      <c r="B301" t="s">
        <v>348</v>
      </c>
    </row>
    <row r="302" spans="1:2" x14ac:dyDescent="0.2">
      <c r="A302" s="16">
        <v>46335</v>
      </c>
      <c r="B302" t="s">
        <v>366</v>
      </c>
    </row>
    <row r="303" spans="1:2" x14ac:dyDescent="0.2">
      <c r="A303" s="16">
        <v>46335</v>
      </c>
      <c r="B303" t="s">
        <v>332</v>
      </c>
    </row>
    <row r="304" spans="1:2" x14ac:dyDescent="0.2">
      <c r="A304" s="16">
        <v>46335</v>
      </c>
      <c r="B304" t="s">
        <v>396</v>
      </c>
    </row>
    <row r="305" spans="1:2" x14ac:dyDescent="0.2">
      <c r="A305" s="16">
        <v>46335</v>
      </c>
      <c r="B305" t="s">
        <v>364</v>
      </c>
    </row>
    <row r="306" spans="1:2" x14ac:dyDescent="0.2">
      <c r="A306" s="16">
        <v>46335</v>
      </c>
      <c r="B306" t="s">
        <v>346</v>
      </c>
    </row>
    <row r="307" spans="1:2" x14ac:dyDescent="0.2">
      <c r="A307" s="16">
        <v>46335</v>
      </c>
      <c r="B307" t="s">
        <v>351</v>
      </c>
    </row>
    <row r="308" spans="1:2" x14ac:dyDescent="0.2">
      <c r="A308" s="16">
        <v>46335</v>
      </c>
      <c r="B308" t="s">
        <v>353</v>
      </c>
    </row>
    <row r="309" spans="1:2" x14ac:dyDescent="0.2">
      <c r="A309" s="16">
        <v>46335</v>
      </c>
      <c r="B309" t="s">
        <v>368</v>
      </c>
    </row>
    <row r="310" spans="1:2" x14ac:dyDescent="0.2">
      <c r="A310" s="16">
        <v>46336</v>
      </c>
      <c r="B310" t="s">
        <v>337</v>
      </c>
    </row>
    <row r="311" spans="1:2" x14ac:dyDescent="0.2">
      <c r="A311" s="16">
        <v>46336</v>
      </c>
      <c r="B311" t="s">
        <v>373</v>
      </c>
    </row>
    <row r="312" spans="1:2" x14ac:dyDescent="0.2">
      <c r="A312" s="16">
        <v>46336</v>
      </c>
      <c r="B312" t="s">
        <v>329</v>
      </c>
    </row>
    <row r="313" spans="1:2" x14ac:dyDescent="0.2">
      <c r="A313" s="16">
        <v>46336</v>
      </c>
      <c r="B313" t="s">
        <v>369</v>
      </c>
    </row>
    <row r="314" spans="1:2" x14ac:dyDescent="0.2">
      <c r="A314" s="16">
        <v>46336</v>
      </c>
      <c r="B314" t="s">
        <v>342</v>
      </c>
    </row>
    <row r="315" spans="1:2" x14ac:dyDescent="0.2">
      <c r="A315" s="16">
        <v>46336</v>
      </c>
      <c r="B315" t="s">
        <v>325</v>
      </c>
    </row>
    <row r="316" spans="1:2" x14ac:dyDescent="0.2">
      <c r="A316" s="16">
        <v>46336</v>
      </c>
      <c r="B316" t="s">
        <v>358</v>
      </c>
    </row>
    <row r="317" spans="1:2" x14ac:dyDescent="0.2">
      <c r="A317" s="16">
        <v>46336</v>
      </c>
      <c r="B317" t="s">
        <v>343</v>
      </c>
    </row>
    <row r="318" spans="1:2" x14ac:dyDescent="0.2">
      <c r="A318" s="16">
        <v>46336</v>
      </c>
      <c r="B318" t="s">
        <v>346</v>
      </c>
    </row>
    <row r="319" spans="1:2" x14ac:dyDescent="0.2">
      <c r="A319" s="16">
        <v>46336</v>
      </c>
      <c r="B319" t="s">
        <v>361</v>
      </c>
    </row>
    <row r="320" spans="1:2" x14ac:dyDescent="0.2">
      <c r="A320" s="16">
        <v>46336</v>
      </c>
      <c r="B320" t="s">
        <v>385</v>
      </c>
    </row>
    <row r="321" spans="1:2" x14ac:dyDescent="0.2">
      <c r="A321" s="16">
        <v>46336</v>
      </c>
      <c r="B321" t="s">
        <v>362</v>
      </c>
    </row>
    <row r="322" spans="1:2" x14ac:dyDescent="0.2">
      <c r="A322" s="16">
        <v>46337</v>
      </c>
      <c r="B322" t="s">
        <v>379</v>
      </c>
    </row>
    <row r="323" spans="1:2" x14ac:dyDescent="0.2">
      <c r="A323" s="16">
        <v>46337</v>
      </c>
      <c r="B323" t="s">
        <v>337</v>
      </c>
    </row>
    <row r="324" spans="1:2" x14ac:dyDescent="0.2">
      <c r="A324" s="16">
        <v>46337</v>
      </c>
      <c r="B324" t="s">
        <v>370</v>
      </c>
    </row>
    <row r="325" spans="1:2" x14ac:dyDescent="0.2">
      <c r="A325" s="16">
        <v>46337</v>
      </c>
      <c r="B325" t="s">
        <v>341</v>
      </c>
    </row>
    <row r="326" spans="1:2" x14ac:dyDescent="0.2">
      <c r="A326" s="16">
        <v>46337</v>
      </c>
      <c r="B326" t="s">
        <v>339</v>
      </c>
    </row>
    <row r="327" spans="1:2" x14ac:dyDescent="0.2">
      <c r="A327" s="16">
        <v>46337</v>
      </c>
      <c r="B327" t="s">
        <v>345</v>
      </c>
    </row>
    <row r="328" spans="1:2" x14ac:dyDescent="0.2">
      <c r="A328" s="16">
        <v>46337</v>
      </c>
      <c r="B328" t="s">
        <v>348</v>
      </c>
    </row>
    <row r="329" spans="1:2" x14ac:dyDescent="0.2">
      <c r="A329" s="16">
        <v>46337</v>
      </c>
      <c r="B329" t="s">
        <v>366</v>
      </c>
    </row>
    <row r="330" spans="1:2" x14ac:dyDescent="0.2">
      <c r="A330" s="16">
        <v>46337</v>
      </c>
      <c r="B330" t="s">
        <v>332</v>
      </c>
    </row>
    <row r="331" spans="1:2" x14ac:dyDescent="0.2">
      <c r="A331" s="16">
        <v>46337</v>
      </c>
      <c r="B331" t="s">
        <v>396</v>
      </c>
    </row>
    <row r="332" spans="1:2" x14ac:dyDescent="0.2">
      <c r="A332" s="16">
        <v>46337</v>
      </c>
      <c r="B332" t="s">
        <v>369</v>
      </c>
    </row>
    <row r="333" spans="1:2" x14ac:dyDescent="0.2">
      <c r="A333" s="16">
        <v>46337</v>
      </c>
      <c r="B333" t="s">
        <v>364</v>
      </c>
    </row>
    <row r="334" spans="1:2" x14ac:dyDescent="0.2">
      <c r="A334" s="16">
        <v>46337</v>
      </c>
      <c r="B334" t="s">
        <v>342</v>
      </c>
    </row>
    <row r="335" spans="1:2" x14ac:dyDescent="0.2">
      <c r="A335" s="16">
        <v>46337</v>
      </c>
      <c r="B335" t="s">
        <v>325</v>
      </c>
    </row>
    <row r="336" spans="1:2" x14ac:dyDescent="0.2">
      <c r="A336" s="16">
        <v>46337</v>
      </c>
      <c r="B336" t="s">
        <v>358</v>
      </c>
    </row>
    <row r="337" spans="1:2" x14ac:dyDescent="0.2">
      <c r="A337" s="16">
        <v>46337</v>
      </c>
      <c r="B337" t="s">
        <v>361</v>
      </c>
    </row>
    <row r="338" spans="1:2" x14ac:dyDescent="0.2">
      <c r="A338" s="16">
        <v>46337</v>
      </c>
      <c r="B338" t="s">
        <v>351</v>
      </c>
    </row>
    <row r="339" spans="1:2" x14ac:dyDescent="0.2">
      <c r="A339" s="16">
        <v>46337</v>
      </c>
      <c r="B339" t="s">
        <v>353</v>
      </c>
    </row>
    <row r="340" spans="1:2" x14ac:dyDescent="0.2">
      <c r="A340" s="16">
        <v>46337</v>
      </c>
      <c r="B340" t="s">
        <v>362</v>
      </c>
    </row>
    <row r="341" spans="1:2" x14ac:dyDescent="0.2">
      <c r="A341" s="16">
        <v>46337</v>
      </c>
      <c r="B341" t="s">
        <v>368</v>
      </c>
    </row>
    <row r="342" spans="1:2" x14ac:dyDescent="0.2">
      <c r="A342" s="16">
        <v>46338</v>
      </c>
      <c r="B342" t="s">
        <v>378</v>
      </c>
    </row>
    <row r="343" spans="1:2" x14ac:dyDescent="0.2">
      <c r="A343" s="16">
        <v>46338</v>
      </c>
      <c r="B343" t="s">
        <v>357</v>
      </c>
    </row>
    <row r="344" spans="1:2" x14ac:dyDescent="0.2">
      <c r="A344" s="16">
        <v>46338</v>
      </c>
      <c r="B344" t="s">
        <v>355</v>
      </c>
    </row>
    <row r="345" spans="1:2" x14ac:dyDescent="0.2">
      <c r="A345" s="16">
        <v>46338</v>
      </c>
      <c r="B345" t="s">
        <v>334</v>
      </c>
    </row>
    <row r="346" spans="1:2" x14ac:dyDescent="0.2">
      <c r="A346" s="16">
        <v>46338</v>
      </c>
      <c r="B346" t="s">
        <v>343</v>
      </c>
    </row>
    <row r="347" spans="1:2" x14ac:dyDescent="0.2">
      <c r="A347" s="16">
        <v>46338</v>
      </c>
      <c r="B347" t="s">
        <v>346</v>
      </c>
    </row>
    <row r="348" spans="1:2" x14ac:dyDescent="0.2">
      <c r="A348" s="16">
        <v>46338</v>
      </c>
      <c r="B348" t="s">
        <v>353</v>
      </c>
    </row>
    <row r="349" spans="1:2" x14ac:dyDescent="0.2">
      <c r="A349" s="16">
        <v>46338</v>
      </c>
      <c r="B349" t="s">
        <v>368</v>
      </c>
    </row>
    <row r="350" spans="1:2" x14ac:dyDescent="0.2">
      <c r="A350" s="16">
        <v>46339</v>
      </c>
      <c r="B350" t="s">
        <v>377</v>
      </c>
    </row>
    <row r="351" spans="1:2" x14ac:dyDescent="0.2">
      <c r="A351" s="16">
        <v>46339</v>
      </c>
      <c r="B351" t="s">
        <v>370</v>
      </c>
    </row>
    <row r="352" spans="1:2" x14ac:dyDescent="0.2">
      <c r="A352" s="16">
        <v>46339</v>
      </c>
      <c r="B352" t="s">
        <v>341</v>
      </c>
    </row>
    <row r="353" spans="1:2" x14ac:dyDescent="0.2">
      <c r="A353" s="16">
        <v>46339</v>
      </c>
      <c r="B353" t="s">
        <v>345</v>
      </c>
    </row>
    <row r="354" spans="1:2" x14ac:dyDescent="0.2">
      <c r="A354" s="16">
        <v>46339</v>
      </c>
      <c r="B354" t="s">
        <v>348</v>
      </c>
    </row>
    <row r="355" spans="1:2" x14ac:dyDescent="0.2">
      <c r="A355" s="16">
        <v>46339</v>
      </c>
      <c r="B355" t="s">
        <v>366</v>
      </c>
    </row>
    <row r="356" spans="1:2" x14ac:dyDescent="0.2">
      <c r="A356" s="16">
        <v>46339</v>
      </c>
      <c r="B356" t="s">
        <v>373</v>
      </c>
    </row>
    <row r="357" spans="1:2" x14ac:dyDescent="0.2">
      <c r="A357" s="16">
        <v>46339</v>
      </c>
      <c r="B357" t="s">
        <v>396</v>
      </c>
    </row>
    <row r="358" spans="1:2" x14ac:dyDescent="0.2">
      <c r="A358" s="16">
        <v>46339</v>
      </c>
      <c r="B358" t="s">
        <v>329</v>
      </c>
    </row>
    <row r="359" spans="1:2" x14ac:dyDescent="0.2">
      <c r="A359" s="16">
        <v>46339</v>
      </c>
      <c r="B359" t="s">
        <v>369</v>
      </c>
    </row>
    <row r="360" spans="1:2" x14ac:dyDescent="0.2">
      <c r="A360" s="16">
        <v>46339</v>
      </c>
      <c r="B360" t="s">
        <v>364</v>
      </c>
    </row>
    <row r="361" spans="1:2" x14ac:dyDescent="0.2">
      <c r="A361" s="16">
        <v>46339</v>
      </c>
      <c r="B361" t="s">
        <v>342</v>
      </c>
    </row>
    <row r="362" spans="1:2" x14ac:dyDescent="0.2">
      <c r="A362" s="16">
        <v>46339</v>
      </c>
      <c r="B362" t="s">
        <v>325</v>
      </c>
    </row>
    <row r="363" spans="1:2" x14ac:dyDescent="0.2">
      <c r="A363" s="16">
        <v>46339</v>
      </c>
      <c r="B363" t="s">
        <v>358</v>
      </c>
    </row>
    <row r="364" spans="1:2" x14ac:dyDescent="0.2">
      <c r="A364" s="16">
        <v>46339</v>
      </c>
      <c r="B364" t="s">
        <v>361</v>
      </c>
    </row>
    <row r="365" spans="1:2" x14ac:dyDescent="0.2">
      <c r="A365" s="16">
        <v>46339</v>
      </c>
      <c r="B365" t="s">
        <v>385</v>
      </c>
    </row>
    <row r="366" spans="1:2" x14ac:dyDescent="0.2">
      <c r="A366" s="16">
        <v>46339</v>
      </c>
      <c r="B366" t="s">
        <v>351</v>
      </c>
    </row>
    <row r="367" spans="1:2" x14ac:dyDescent="0.2">
      <c r="A367" s="16">
        <v>46339</v>
      </c>
      <c r="B367" t="s">
        <v>362</v>
      </c>
    </row>
    <row r="368" spans="1:2" x14ac:dyDescent="0.2">
      <c r="A368" s="16">
        <v>46340</v>
      </c>
      <c r="B368" t="s">
        <v>379</v>
      </c>
    </row>
    <row r="369" spans="1:2" x14ac:dyDescent="0.2">
      <c r="A369" s="16">
        <v>46340</v>
      </c>
      <c r="B369" t="s">
        <v>370</v>
      </c>
    </row>
    <row r="370" spans="1:2" x14ac:dyDescent="0.2">
      <c r="A370" s="16">
        <v>46340</v>
      </c>
      <c r="B370" t="s">
        <v>341</v>
      </c>
    </row>
    <row r="371" spans="1:2" x14ac:dyDescent="0.2">
      <c r="A371" s="16">
        <v>46340</v>
      </c>
      <c r="B371" t="s">
        <v>357</v>
      </c>
    </row>
    <row r="372" spans="1:2" x14ac:dyDescent="0.2">
      <c r="A372" s="16">
        <v>46340</v>
      </c>
      <c r="B372" t="s">
        <v>339</v>
      </c>
    </row>
    <row r="373" spans="1:2" x14ac:dyDescent="0.2">
      <c r="A373" s="16">
        <v>46340</v>
      </c>
      <c r="B373" t="s">
        <v>355</v>
      </c>
    </row>
    <row r="374" spans="1:2" x14ac:dyDescent="0.2">
      <c r="A374" s="16">
        <v>46340</v>
      </c>
      <c r="B374" t="s">
        <v>396</v>
      </c>
    </row>
    <row r="375" spans="1:2" x14ac:dyDescent="0.2">
      <c r="A375" s="16">
        <v>46340</v>
      </c>
      <c r="B375" t="s">
        <v>329</v>
      </c>
    </row>
    <row r="376" spans="1:2" x14ac:dyDescent="0.2">
      <c r="A376" s="16">
        <v>46340</v>
      </c>
      <c r="B376" t="s">
        <v>334</v>
      </c>
    </row>
    <row r="377" spans="1:2" x14ac:dyDescent="0.2">
      <c r="A377" s="16">
        <v>46340</v>
      </c>
      <c r="B377" t="s">
        <v>364</v>
      </c>
    </row>
    <row r="378" spans="1:2" x14ac:dyDescent="0.2">
      <c r="A378" s="16">
        <v>46341</v>
      </c>
      <c r="B378" t="s">
        <v>377</v>
      </c>
    </row>
    <row r="379" spans="1:2" x14ac:dyDescent="0.2">
      <c r="A379" s="16">
        <v>46341</v>
      </c>
      <c r="B379" t="s">
        <v>337</v>
      </c>
    </row>
    <row r="380" spans="1:2" x14ac:dyDescent="0.2">
      <c r="A380" s="16">
        <v>46341</v>
      </c>
      <c r="B380" t="s">
        <v>378</v>
      </c>
    </row>
    <row r="381" spans="1:2" x14ac:dyDescent="0.2">
      <c r="A381" s="16">
        <v>46341</v>
      </c>
      <c r="B381" t="s">
        <v>357</v>
      </c>
    </row>
    <row r="382" spans="1:2" x14ac:dyDescent="0.2">
      <c r="A382" s="16">
        <v>46341</v>
      </c>
      <c r="B382" t="s">
        <v>348</v>
      </c>
    </row>
    <row r="383" spans="1:2" x14ac:dyDescent="0.2">
      <c r="A383" s="16">
        <v>46341</v>
      </c>
      <c r="B383" t="s">
        <v>366</v>
      </c>
    </row>
    <row r="384" spans="1:2" x14ac:dyDescent="0.2">
      <c r="A384" s="16">
        <v>46341</v>
      </c>
      <c r="B384" t="s">
        <v>373</v>
      </c>
    </row>
    <row r="385" spans="1:2" x14ac:dyDescent="0.2">
      <c r="A385" s="16">
        <v>46341</v>
      </c>
      <c r="B385" t="s">
        <v>332</v>
      </c>
    </row>
    <row r="386" spans="1:2" x14ac:dyDescent="0.2">
      <c r="A386" s="16">
        <v>46341</v>
      </c>
      <c r="B386" t="s">
        <v>369</v>
      </c>
    </row>
    <row r="387" spans="1:2" x14ac:dyDescent="0.2">
      <c r="A387" s="16">
        <v>46341</v>
      </c>
      <c r="B387" t="s">
        <v>342</v>
      </c>
    </row>
    <row r="388" spans="1:2" x14ac:dyDescent="0.2">
      <c r="A388" s="16">
        <v>46341</v>
      </c>
      <c r="B388" t="s">
        <v>325</v>
      </c>
    </row>
    <row r="389" spans="1:2" x14ac:dyDescent="0.2">
      <c r="A389" s="16">
        <v>46341</v>
      </c>
      <c r="B389" t="s">
        <v>343</v>
      </c>
    </row>
    <row r="390" spans="1:2" x14ac:dyDescent="0.2">
      <c r="A390" s="16">
        <v>46341</v>
      </c>
      <c r="B390" t="s">
        <v>346</v>
      </c>
    </row>
    <row r="391" spans="1:2" x14ac:dyDescent="0.2">
      <c r="A391" s="16">
        <v>46341</v>
      </c>
      <c r="B391" t="s">
        <v>385</v>
      </c>
    </row>
    <row r="392" spans="1:2" x14ac:dyDescent="0.2">
      <c r="A392" s="16">
        <v>46341</v>
      </c>
      <c r="B392" t="s">
        <v>351</v>
      </c>
    </row>
    <row r="393" spans="1:2" x14ac:dyDescent="0.2">
      <c r="A393" s="16">
        <v>46341</v>
      </c>
      <c r="B393" t="s">
        <v>353</v>
      </c>
    </row>
    <row r="394" spans="1:2" x14ac:dyDescent="0.2">
      <c r="A394" s="16">
        <v>46341</v>
      </c>
      <c r="B394" t="s">
        <v>362</v>
      </c>
    </row>
    <row r="395" spans="1:2" x14ac:dyDescent="0.2">
      <c r="A395" s="16">
        <v>46341</v>
      </c>
      <c r="B395" t="s">
        <v>368</v>
      </c>
    </row>
    <row r="396" spans="1:2" x14ac:dyDescent="0.2">
      <c r="A396" s="16">
        <v>46342</v>
      </c>
      <c r="B396" t="s">
        <v>379</v>
      </c>
    </row>
    <row r="397" spans="1:2" x14ac:dyDescent="0.2">
      <c r="A397" s="16">
        <v>46342</v>
      </c>
      <c r="B397" t="s">
        <v>337</v>
      </c>
    </row>
    <row r="398" spans="1:2" x14ac:dyDescent="0.2">
      <c r="A398" s="16">
        <v>46342</v>
      </c>
      <c r="B398" t="s">
        <v>370</v>
      </c>
    </row>
    <row r="399" spans="1:2" x14ac:dyDescent="0.2">
      <c r="A399" s="16">
        <v>46342</v>
      </c>
      <c r="B399" t="s">
        <v>341</v>
      </c>
    </row>
    <row r="400" spans="1:2" x14ac:dyDescent="0.2">
      <c r="A400" s="16">
        <v>46342</v>
      </c>
      <c r="B400" t="s">
        <v>339</v>
      </c>
    </row>
    <row r="401" spans="1:2" x14ac:dyDescent="0.2">
      <c r="A401" s="16">
        <v>46342</v>
      </c>
      <c r="B401" t="s">
        <v>345</v>
      </c>
    </row>
    <row r="402" spans="1:2" x14ac:dyDescent="0.2">
      <c r="A402" s="16">
        <v>46342</v>
      </c>
      <c r="B402" t="s">
        <v>348</v>
      </c>
    </row>
    <row r="403" spans="1:2" x14ac:dyDescent="0.2">
      <c r="A403" s="16">
        <v>46342</v>
      </c>
      <c r="B403" t="s">
        <v>396</v>
      </c>
    </row>
    <row r="404" spans="1:2" x14ac:dyDescent="0.2">
      <c r="A404" s="16">
        <v>46342</v>
      </c>
      <c r="B404" t="s">
        <v>329</v>
      </c>
    </row>
    <row r="405" spans="1:2" x14ac:dyDescent="0.2">
      <c r="A405" s="16">
        <v>46342</v>
      </c>
      <c r="B405" t="s">
        <v>334</v>
      </c>
    </row>
    <row r="406" spans="1:2" x14ac:dyDescent="0.2">
      <c r="A406" s="16">
        <v>46342</v>
      </c>
      <c r="B406" t="s">
        <v>364</v>
      </c>
    </row>
    <row r="407" spans="1:2" x14ac:dyDescent="0.2">
      <c r="A407" s="16">
        <v>46342</v>
      </c>
      <c r="B407" t="s">
        <v>358</v>
      </c>
    </row>
    <row r="408" spans="1:2" x14ac:dyDescent="0.2">
      <c r="A408" s="16">
        <v>46342</v>
      </c>
      <c r="B408" t="s">
        <v>343</v>
      </c>
    </row>
    <row r="409" spans="1:2" x14ac:dyDescent="0.2">
      <c r="A409" s="16">
        <v>46342</v>
      </c>
      <c r="B409" t="s">
        <v>346</v>
      </c>
    </row>
    <row r="410" spans="1:2" x14ac:dyDescent="0.2">
      <c r="A410" s="16">
        <v>46342</v>
      </c>
      <c r="B410" t="s">
        <v>361</v>
      </c>
    </row>
    <row r="411" spans="1:2" x14ac:dyDescent="0.2">
      <c r="A411" s="16">
        <v>46342</v>
      </c>
      <c r="B411" t="s">
        <v>368</v>
      </c>
    </row>
    <row r="412" spans="1:2" x14ac:dyDescent="0.2">
      <c r="A412" s="16">
        <v>46343</v>
      </c>
      <c r="B412" t="s">
        <v>378</v>
      </c>
    </row>
    <row r="413" spans="1:2" x14ac:dyDescent="0.2">
      <c r="A413" s="16">
        <v>46343</v>
      </c>
      <c r="B413" t="s">
        <v>355</v>
      </c>
    </row>
    <row r="414" spans="1:2" x14ac:dyDescent="0.2">
      <c r="A414" s="16">
        <v>46343</v>
      </c>
      <c r="B414" t="s">
        <v>373</v>
      </c>
    </row>
    <row r="415" spans="1:2" x14ac:dyDescent="0.2">
      <c r="A415" s="16">
        <v>46343</v>
      </c>
      <c r="B415" t="s">
        <v>332</v>
      </c>
    </row>
    <row r="416" spans="1:2" x14ac:dyDescent="0.2">
      <c r="A416" s="16">
        <v>46343</v>
      </c>
      <c r="B416" t="s">
        <v>334</v>
      </c>
    </row>
    <row r="417" spans="1:2" x14ac:dyDescent="0.2">
      <c r="A417" s="16">
        <v>46343</v>
      </c>
      <c r="B417" t="s">
        <v>342</v>
      </c>
    </row>
    <row r="418" spans="1:2" x14ac:dyDescent="0.2">
      <c r="A418" s="16">
        <v>46343</v>
      </c>
      <c r="B418" t="s">
        <v>361</v>
      </c>
    </row>
    <row r="419" spans="1:2" x14ac:dyDescent="0.2">
      <c r="A419" s="16">
        <v>46343</v>
      </c>
      <c r="B419" t="s">
        <v>351</v>
      </c>
    </row>
    <row r="420" spans="1:2" x14ac:dyDescent="0.2">
      <c r="A420" s="16">
        <v>46343</v>
      </c>
      <c r="B420" t="s">
        <v>353</v>
      </c>
    </row>
    <row r="421" spans="1:2" x14ac:dyDescent="0.2">
      <c r="A421" s="16">
        <v>46343</v>
      </c>
      <c r="B421" t="s">
        <v>362</v>
      </c>
    </row>
    <row r="422" spans="1:2" x14ac:dyDescent="0.2">
      <c r="A422" s="16">
        <v>46344</v>
      </c>
      <c r="B422" t="s">
        <v>377</v>
      </c>
    </row>
    <row r="423" spans="1:2" x14ac:dyDescent="0.2">
      <c r="A423" s="16">
        <v>46344</v>
      </c>
      <c r="B423" t="s">
        <v>379</v>
      </c>
    </row>
    <row r="424" spans="1:2" x14ac:dyDescent="0.2">
      <c r="A424" s="16">
        <v>46344</v>
      </c>
      <c r="B424" t="s">
        <v>337</v>
      </c>
    </row>
    <row r="425" spans="1:2" x14ac:dyDescent="0.2">
      <c r="A425" s="16">
        <v>46344</v>
      </c>
      <c r="B425" t="s">
        <v>370</v>
      </c>
    </row>
    <row r="426" spans="1:2" x14ac:dyDescent="0.2">
      <c r="A426" s="16">
        <v>46344</v>
      </c>
      <c r="B426" t="s">
        <v>341</v>
      </c>
    </row>
    <row r="427" spans="1:2" x14ac:dyDescent="0.2">
      <c r="A427" s="16">
        <v>46344</v>
      </c>
      <c r="B427" t="s">
        <v>357</v>
      </c>
    </row>
    <row r="428" spans="1:2" x14ac:dyDescent="0.2">
      <c r="A428" s="16">
        <v>46344</v>
      </c>
      <c r="B428" t="s">
        <v>339</v>
      </c>
    </row>
    <row r="429" spans="1:2" x14ac:dyDescent="0.2">
      <c r="A429" s="16">
        <v>46344</v>
      </c>
      <c r="B429" t="s">
        <v>355</v>
      </c>
    </row>
    <row r="430" spans="1:2" x14ac:dyDescent="0.2">
      <c r="A430" s="16">
        <v>46344</v>
      </c>
      <c r="B430" t="s">
        <v>345</v>
      </c>
    </row>
    <row r="431" spans="1:2" x14ac:dyDescent="0.2">
      <c r="A431" s="16">
        <v>46344</v>
      </c>
      <c r="B431" t="s">
        <v>348</v>
      </c>
    </row>
    <row r="432" spans="1:2" x14ac:dyDescent="0.2">
      <c r="A432" s="16">
        <v>46344</v>
      </c>
      <c r="B432" t="s">
        <v>366</v>
      </c>
    </row>
    <row r="433" spans="1:2" x14ac:dyDescent="0.2">
      <c r="A433" s="16">
        <v>46344</v>
      </c>
      <c r="B433" t="s">
        <v>332</v>
      </c>
    </row>
    <row r="434" spans="1:2" x14ac:dyDescent="0.2">
      <c r="A434" s="16">
        <v>46344</v>
      </c>
      <c r="B434" t="s">
        <v>396</v>
      </c>
    </row>
    <row r="435" spans="1:2" x14ac:dyDescent="0.2">
      <c r="A435" s="16">
        <v>46344</v>
      </c>
      <c r="B435" t="s">
        <v>329</v>
      </c>
    </row>
    <row r="436" spans="1:2" x14ac:dyDescent="0.2">
      <c r="A436" s="16">
        <v>46344</v>
      </c>
      <c r="B436" t="s">
        <v>369</v>
      </c>
    </row>
    <row r="437" spans="1:2" x14ac:dyDescent="0.2">
      <c r="A437" s="16">
        <v>46344</v>
      </c>
      <c r="B437" t="s">
        <v>364</v>
      </c>
    </row>
    <row r="438" spans="1:2" x14ac:dyDescent="0.2">
      <c r="A438" s="16">
        <v>46344</v>
      </c>
      <c r="B438" t="s">
        <v>325</v>
      </c>
    </row>
    <row r="439" spans="1:2" x14ac:dyDescent="0.2">
      <c r="A439" s="16">
        <v>46344</v>
      </c>
      <c r="B439" t="s">
        <v>358</v>
      </c>
    </row>
    <row r="440" spans="1:2" x14ac:dyDescent="0.2">
      <c r="A440" s="16">
        <v>46344</v>
      </c>
      <c r="B440" t="s">
        <v>343</v>
      </c>
    </row>
    <row r="441" spans="1:2" x14ac:dyDescent="0.2">
      <c r="A441" s="16">
        <v>46344</v>
      </c>
      <c r="B441" t="s">
        <v>346</v>
      </c>
    </row>
    <row r="442" spans="1:2" x14ac:dyDescent="0.2">
      <c r="A442" s="16">
        <v>46344</v>
      </c>
      <c r="B442" t="s">
        <v>385</v>
      </c>
    </row>
    <row r="443" spans="1:2" x14ac:dyDescent="0.2">
      <c r="A443" s="16">
        <v>46344</v>
      </c>
      <c r="B443" t="s">
        <v>353</v>
      </c>
    </row>
    <row r="444" spans="1:2" x14ac:dyDescent="0.2">
      <c r="A444" s="16">
        <v>46344</v>
      </c>
      <c r="B444" t="s">
        <v>362</v>
      </c>
    </row>
    <row r="445" spans="1:2" x14ac:dyDescent="0.2">
      <c r="A445" s="16">
        <v>46344</v>
      </c>
      <c r="B445" t="s">
        <v>368</v>
      </c>
    </row>
    <row r="446" spans="1:2" x14ac:dyDescent="0.2">
      <c r="A446" s="16">
        <v>46345</v>
      </c>
      <c r="B446" t="s">
        <v>345</v>
      </c>
    </row>
    <row r="447" spans="1:2" x14ac:dyDescent="0.2">
      <c r="A447" s="16">
        <v>46345</v>
      </c>
      <c r="B447" t="s">
        <v>373</v>
      </c>
    </row>
    <row r="448" spans="1:2" x14ac:dyDescent="0.2">
      <c r="A448" s="16">
        <v>46345</v>
      </c>
      <c r="B448" t="s">
        <v>396</v>
      </c>
    </row>
    <row r="449" spans="1:2" x14ac:dyDescent="0.2">
      <c r="A449" s="16">
        <v>46345</v>
      </c>
      <c r="B449" t="s">
        <v>369</v>
      </c>
    </row>
    <row r="450" spans="1:2" x14ac:dyDescent="0.2">
      <c r="A450" s="16">
        <v>46345</v>
      </c>
      <c r="B450" t="s">
        <v>334</v>
      </c>
    </row>
    <row r="451" spans="1:2" x14ac:dyDescent="0.2">
      <c r="A451" s="16">
        <v>46345</v>
      </c>
      <c r="B451" t="s">
        <v>342</v>
      </c>
    </row>
    <row r="452" spans="1:2" x14ac:dyDescent="0.2">
      <c r="A452" s="16">
        <v>46345</v>
      </c>
      <c r="B452" t="s">
        <v>361</v>
      </c>
    </row>
    <row r="453" spans="1:2" x14ac:dyDescent="0.2">
      <c r="A453" s="16">
        <v>46345</v>
      </c>
      <c r="B453" t="s">
        <v>351</v>
      </c>
    </row>
    <row r="454" spans="1:2" x14ac:dyDescent="0.2">
      <c r="A454" s="16">
        <v>46346</v>
      </c>
      <c r="B454" t="s">
        <v>377</v>
      </c>
    </row>
    <row r="455" spans="1:2" x14ac:dyDescent="0.2">
      <c r="A455" s="16">
        <v>46346</v>
      </c>
      <c r="B455" t="s">
        <v>379</v>
      </c>
    </row>
    <row r="456" spans="1:2" x14ac:dyDescent="0.2">
      <c r="A456" s="16">
        <v>46346</v>
      </c>
      <c r="B456" t="s">
        <v>378</v>
      </c>
    </row>
    <row r="457" spans="1:2" x14ac:dyDescent="0.2">
      <c r="A457" s="16">
        <v>46346</v>
      </c>
      <c r="B457" t="s">
        <v>370</v>
      </c>
    </row>
    <row r="458" spans="1:2" x14ac:dyDescent="0.2">
      <c r="A458" s="16">
        <v>46346</v>
      </c>
      <c r="B458" t="s">
        <v>341</v>
      </c>
    </row>
    <row r="459" spans="1:2" x14ac:dyDescent="0.2">
      <c r="A459" s="16">
        <v>46346</v>
      </c>
      <c r="B459" t="s">
        <v>339</v>
      </c>
    </row>
    <row r="460" spans="1:2" x14ac:dyDescent="0.2">
      <c r="A460" s="16">
        <v>46346</v>
      </c>
      <c r="B460" t="s">
        <v>355</v>
      </c>
    </row>
    <row r="461" spans="1:2" x14ac:dyDescent="0.2">
      <c r="A461" s="16">
        <v>46346</v>
      </c>
      <c r="B461" t="s">
        <v>348</v>
      </c>
    </row>
    <row r="462" spans="1:2" x14ac:dyDescent="0.2">
      <c r="A462" s="16">
        <v>46346</v>
      </c>
      <c r="B462" t="s">
        <v>366</v>
      </c>
    </row>
    <row r="463" spans="1:2" x14ac:dyDescent="0.2">
      <c r="A463" s="16">
        <v>46346</v>
      </c>
      <c r="B463" t="s">
        <v>332</v>
      </c>
    </row>
    <row r="464" spans="1:2" x14ac:dyDescent="0.2">
      <c r="A464" s="16">
        <v>46346</v>
      </c>
      <c r="B464" t="s">
        <v>364</v>
      </c>
    </row>
    <row r="465" spans="1:2" x14ac:dyDescent="0.2">
      <c r="A465" s="16">
        <v>46346</v>
      </c>
      <c r="B465" t="s">
        <v>325</v>
      </c>
    </row>
    <row r="466" spans="1:2" x14ac:dyDescent="0.2">
      <c r="A466" s="16">
        <v>46346</v>
      </c>
      <c r="B466" t="s">
        <v>358</v>
      </c>
    </row>
    <row r="467" spans="1:2" x14ac:dyDescent="0.2">
      <c r="A467" s="16">
        <v>46346</v>
      </c>
      <c r="B467" t="s">
        <v>346</v>
      </c>
    </row>
    <row r="468" spans="1:2" x14ac:dyDescent="0.2">
      <c r="A468" s="16">
        <v>46346</v>
      </c>
      <c r="B468" t="s">
        <v>385</v>
      </c>
    </row>
    <row r="469" spans="1:2" x14ac:dyDescent="0.2">
      <c r="A469" s="16">
        <v>46346</v>
      </c>
      <c r="B469" t="s">
        <v>353</v>
      </c>
    </row>
    <row r="470" spans="1:2" x14ac:dyDescent="0.2">
      <c r="A470" s="16">
        <v>46346</v>
      </c>
      <c r="B470" t="s">
        <v>362</v>
      </c>
    </row>
    <row r="471" spans="1:2" x14ac:dyDescent="0.2">
      <c r="A471" s="16">
        <v>46346</v>
      </c>
      <c r="B471" t="s">
        <v>368</v>
      </c>
    </row>
    <row r="472" spans="1:2" x14ac:dyDescent="0.2">
      <c r="A472" s="16">
        <v>46347</v>
      </c>
      <c r="B472" t="s">
        <v>337</v>
      </c>
    </row>
    <row r="473" spans="1:2" x14ac:dyDescent="0.2">
      <c r="A473" s="16">
        <v>46347</v>
      </c>
      <c r="B473" t="s">
        <v>357</v>
      </c>
    </row>
    <row r="474" spans="1:2" x14ac:dyDescent="0.2">
      <c r="A474" s="16">
        <v>46347</v>
      </c>
      <c r="B474" t="s">
        <v>373</v>
      </c>
    </row>
    <row r="475" spans="1:2" x14ac:dyDescent="0.2">
      <c r="A475" s="16">
        <v>46347</v>
      </c>
      <c r="B475" t="s">
        <v>396</v>
      </c>
    </row>
    <row r="476" spans="1:2" x14ac:dyDescent="0.2">
      <c r="A476" s="16">
        <v>46347</v>
      </c>
      <c r="B476" t="s">
        <v>369</v>
      </c>
    </row>
    <row r="477" spans="1:2" x14ac:dyDescent="0.2">
      <c r="A477" s="16">
        <v>46347</v>
      </c>
      <c r="B477" t="s">
        <v>334</v>
      </c>
    </row>
    <row r="478" spans="1:2" x14ac:dyDescent="0.2">
      <c r="A478" s="16">
        <v>46347</v>
      </c>
      <c r="B478" t="s">
        <v>364</v>
      </c>
    </row>
    <row r="479" spans="1:2" x14ac:dyDescent="0.2">
      <c r="A479" s="16">
        <v>46347</v>
      </c>
      <c r="B479" t="s">
        <v>342</v>
      </c>
    </row>
    <row r="480" spans="1:2" x14ac:dyDescent="0.2">
      <c r="A480" s="16">
        <v>46347</v>
      </c>
      <c r="B480" t="s">
        <v>343</v>
      </c>
    </row>
    <row r="481" spans="1:2" x14ac:dyDescent="0.2">
      <c r="A481" s="16">
        <v>46347</v>
      </c>
      <c r="B481" t="s">
        <v>361</v>
      </c>
    </row>
    <row r="482" spans="1:2" x14ac:dyDescent="0.2">
      <c r="A482" s="16">
        <v>46347</v>
      </c>
      <c r="B482" t="s">
        <v>385</v>
      </c>
    </row>
    <row r="483" spans="1:2" x14ac:dyDescent="0.2">
      <c r="A483" s="16">
        <v>46347</v>
      </c>
      <c r="B483" t="s">
        <v>351</v>
      </c>
    </row>
    <row r="484" spans="1:2" x14ac:dyDescent="0.2">
      <c r="A484" s="16">
        <v>46348</v>
      </c>
      <c r="B484" t="s">
        <v>377</v>
      </c>
    </row>
    <row r="485" spans="1:2" x14ac:dyDescent="0.2">
      <c r="A485" s="16">
        <v>46348</v>
      </c>
      <c r="B485" t="s">
        <v>337</v>
      </c>
    </row>
    <row r="486" spans="1:2" x14ac:dyDescent="0.2">
      <c r="A486" s="16">
        <v>46348</v>
      </c>
      <c r="B486" t="s">
        <v>370</v>
      </c>
    </row>
    <row r="487" spans="1:2" x14ac:dyDescent="0.2">
      <c r="A487" s="16">
        <v>46348</v>
      </c>
      <c r="B487" t="s">
        <v>357</v>
      </c>
    </row>
    <row r="488" spans="1:2" x14ac:dyDescent="0.2">
      <c r="A488" s="16">
        <v>46348</v>
      </c>
      <c r="B488" t="s">
        <v>339</v>
      </c>
    </row>
    <row r="489" spans="1:2" x14ac:dyDescent="0.2">
      <c r="A489" s="16">
        <v>46348</v>
      </c>
      <c r="B489" t="s">
        <v>355</v>
      </c>
    </row>
    <row r="490" spans="1:2" x14ac:dyDescent="0.2">
      <c r="A490" s="16">
        <v>46348</v>
      </c>
      <c r="B490" t="s">
        <v>345</v>
      </c>
    </row>
    <row r="491" spans="1:2" x14ac:dyDescent="0.2">
      <c r="A491" s="16">
        <v>46348</v>
      </c>
      <c r="B491" t="s">
        <v>366</v>
      </c>
    </row>
    <row r="492" spans="1:2" x14ac:dyDescent="0.2">
      <c r="A492" s="16">
        <v>46348</v>
      </c>
      <c r="B492" t="s">
        <v>329</v>
      </c>
    </row>
    <row r="493" spans="1:2" x14ac:dyDescent="0.2">
      <c r="A493" s="16">
        <v>46348</v>
      </c>
      <c r="B493" t="s">
        <v>342</v>
      </c>
    </row>
    <row r="494" spans="1:2" x14ac:dyDescent="0.2">
      <c r="A494" s="16">
        <v>46348</v>
      </c>
      <c r="B494" t="s">
        <v>325</v>
      </c>
    </row>
    <row r="495" spans="1:2" x14ac:dyDescent="0.2">
      <c r="A495" s="16">
        <v>46348</v>
      </c>
      <c r="B495" t="s">
        <v>358</v>
      </c>
    </row>
    <row r="496" spans="1:2" x14ac:dyDescent="0.2">
      <c r="A496" s="16">
        <v>46348</v>
      </c>
      <c r="B496" t="s">
        <v>362</v>
      </c>
    </row>
    <row r="497" spans="1:2" x14ac:dyDescent="0.2">
      <c r="A497" s="16">
        <v>46348</v>
      </c>
      <c r="B497" t="s">
        <v>368</v>
      </c>
    </row>
    <row r="498" spans="1:2" x14ac:dyDescent="0.2">
      <c r="A498" s="16">
        <v>46349</v>
      </c>
      <c r="B498" t="s">
        <v>379</v>
      </c>
    </row>
    <row r="499" spans="1:2" x14ac:dyDescent="0.2">
      <c r="A499" s="16">
        <v>46349</v>
      </c>
      <c r="B499" t="s">
        <v>378</v>
      </c>
    </row>
    <row r="500" spans="1:2" x14ac:dyDescent="0.2">
      <c r="A500" s="16">
        <v>46349</v>
      </c>
      <c r="B500" t="s">
        <v>370</v>
      </c>
    </row>
    <row r="501" spans="1:2" x14ac:dyDescent="0.2">
      <c r="A501" s="16">
        <v>46349</v>
      </c>
      <c r="B501" t="s">
        <v>341</v>
      </c>
    </row>
    <row r="502" spans="1:2" x14ac:dyDescent="0.2">
      <c r="A502" s="16">
        <v>46349</v>
      </c>
      <c r="B502" t="s">
        <v>348</v>
      </c>
    </row>
    <row r="503" spans="1:2" x14ac:dyDescent="0.2">
      <c r="A503" s="16">
        <v>46349</v>
      </c>
      <c r="B503" t="s">
        <v>366</v>
      </c>
    </row>
    <row r="504" spans="1:2" x14ac:dyDescent="0.2">
      <c r="A504" s="16">
        <v>46349</v>
      </c>
      <c r="B504" t="s">
        <v>373</v>
      </c>
    </row>
    <row r="505" spans="1:2" x14ac:dyDescent="0.2">
      <c r="A505" s="16">
        <v>46349</v>
      </c>
      <c r="B505" t="s">
        <v>332</v>
      </c>
    </row>
    <row r="506" spans="1:2" x14ac:dyDescent="0.2">
      <c r="A506" s="16">
        <v>46349</v>
      </c>
      <c r="B506" t="s">
        <v>396</v>
      </c>
    </row>
    <row r="507" spans="1:2" x14ac:dyDescent="0.2">
      <c r="A507" s="16">
        <v>46349</v>
      </c>
      <c r="B507" t="s">
        <v>369</v>
      </c>
    </row>
    <row r="508" spans="1:2" x14ac:dyDescent="0.2">
      <c r="A508" s="16">
        <v>46349</v>
      </c>
      <c r="B508" t="s">
        <v>334</v>
      </c>
    </row>
    <row r="509" spans="1:2" x14ac:dyDescent="0.2">
      <c r="A509" s="16">
        <v>46349</v>
      </c>
      <c r="B509" t="s">
        <v>364</v>
      </c>
    </row>
    <row r="510" spans="1:2" x14ac:dyDescent="0.2">
      <c r="A510" s="16">
        <v>46349</v>
      </c>
      <c r="B510" t="s">
        <v>325</v>
      </c>
    </row>
    <row r="511" spans="1:2" x14ac:dyDescent="0.2">
      <c r="A511" s="16">
        <v>46349</v>
      </c>
      <c r="B511" t="s">
        <v>343</v>
      </c>
    </row>
    <row r="512" spans="1:2" x14ac:dyDescent="0.2">
      <c r="A512" s="16">
        <v>46349</v>
      </c>
      <c r="B512" t="s">
        <v>346</v>
      </c>
    </row>
    <row r="513" spans="1:2" x14ac:dyDescent="0.2">
      <c r="A513" s="16">
        <v>46349</v>
      </c>
      <c r="B513" t="s">
        <v>361</v>
      </c>
    </row>
    <row r="514" spans="1:2" x14ac:dyDescent="0.2">
      <c r="A514" s="16">
        <v>46349</v>
      </c>
      <c r="B514" t="s">
        <v>385</v>
      </c>
    </row>
    <row r="515" spans="1:2" x14ac:dyDescent="0.2">
      <c r="A515" s="16">
        <v>46349</v>
      </c>
      <c r="B515" t="s">
        <v>351</v>
      </c>
    </row>
    <row r="516" spans="1:2" x14ac:dyDescent="0.2">
      <c r="A516" s="16">
        <v>46349</v>
      </c>
      <c r="B516" t="s">
        <v>353</v>
      </c>
    </row>
    <row r="517" spans="1:2" x14ac:dyDescent="0.2">
      <c r="A517" s="16">
        <v>46349</v>
      </c>
      <c r="B517" t="s">
        <v>362</v>
      </c>
    </row>
    <row r="518" spans="1:2" x14ac:dyDescent="0.2">
      <c r="A518" s="16">
        <v>46350</v>
      </c>
      <c r="B518" t="s">
        <v>337</v>
      </c>
    </row>
    <row r="519" spans="1:2" x14ac:dyDescent="0.2">
      <c r="A519" s="16">
        <v>46350</v>
      </c>
      <c r="B519" t="s">
        <v>357</v>
      </c>
    </row>
    <row r="520" spans="1:2" x14ac:dyDescent="0.2">
      <c r="A520" s="16">
        <v>46350</v>
      </c>
      <c r="B520" t="s">
        <v>339</v>
      </c>
    </row>
    <row r="521" spans="1:2" x14ac:dyDescent="0.2">
      <c r="A521" s="16">
        <v>46350</v>
      </c>
      <c r="B521" t="s">
        <v>355</v>
      </c>
    </row>
    <row r="522" spans="1:2" x14ac:dyDescent="0.2">
      <c r="A522" s="16">
        <v>46350</v>
      </c>
      <c r="B522" t="s">
        <v>358</v>
      </c>
    </row>
    <row r="523" spans="1:2" x14ac:dyDescent="0.2">
      <c r="A523" s="16">
        <v>46350</v>
      </c>
      <c r="B523" t="s">
        <v>368</v>
      </c>
    </row>
    <row r="524" spans="1:2" x14ac:dyDescent="0.2">
      <c r="A524" s="16">
        <v>46351</v>
      </c>
      <c r="B524" t="s">
        <v>379</v>
      </c>
    </row>
    <row r="525" spans="1:2" x14ac:dyDescent="0.2">
      <c r="A525" s="16">
        <v>46351</v>
      </c>
      <c r="B525" t="s">
        <v>378</v>
      </c>
    </row>
    <row r="526" spans="1:2" x14ac:dyDescent="0.2">
      <c r="A526" s="16">
        <v>46351</v>
      </c>
      <c r="B526" t="s">
        <v>370</v>
      </c>
    </row>
    <row r="527" spans="1:2" x14ac:dyDescent="0.2">
      <c r="A527" s="16">
        <v>46351</v>
      </c>
      <c r="B527" t="s">
        <v>341</v>
      </c>
    </row>
    <row r="528" spans="1:2" x14ac:dyDescent="0.2">
      <c r="A528" s="16">
        <v>46351</v>
      </c>
      <c r="B528" t="s">
        <v>345</v>
      </c>
    </row>
    <row r="529" spans="1:2" x14ac:dyDescent="0.2">
      <c r="A529" s="16">
        <v>46351</v>
      </c>
      <c r="B529" t="s">
        <v>348</v>
      </c>
    </row>
    <row r="530" spans="1:2" x14ac:dyDescent="0.2">
      <c r="A530" s="16">
        <v>46351</v>
      </c>
      <c r="B530" t="s">
        <v>373</v>
      </c>
    </row>
    <row r="531" spans="1:2" x14ac:dyDescent="0.2">
      <c r="A531" s="16">
        <v>46351</v>
      </c>
      <c r="B531" t="s">
        <v>396</v>
      </c>
    </row>
    <row r="532" spans="1:2" x14ac:dyDescent="0.2">
      <c r="A532" s="16">
        <v>46351</v>
      </c>
      <c r="B532" t="s">
        <v>329</v>
      </c>
    </row>
    <row r="533" spans="1:2" x14ac:dyDescent="0.2">
      <c r="A533" s="16">
        <v>46351</v>
      </c>
      <c r="B533" t="s">
        <v>369</v>
      </c>
    </row>
    <row r="534" spans="1:2" x14ac:dyDescent="0.2">
      <c r="A534" s="16">
        <v>46351</v>
      </c>
      <c r="B534" t="s">
        <v>334</v>
      </c>
    </row>
    <row r="535" spans="1:2" x14ac:dyDescent="0.2">
      <c r="A535" s="16">
        <v>46351</v>
      </c>
      <c r="B535" t="s">
        <v>342</v>
      </c>
    </row>
    <row r="536" spans="1:2" x14ac:dyDescent="0.2">
      <c r="A536" s="16">
        <v>46351</v>
      </c>
      <c r="B536" t="s">
        <v>325</v>
      </c>
    </row>
    <row r="537" spans="1:2" x14ac:dyDescent="0.2">
      <c r="A537" s="16">
        <v>46351</v>
      </c>
      <c r="B537" t="s">
        <v>343</v>
      </c>
    </row>
    <row r="538" spans="1:2" x14ac:dyDescent="0.2">
      <c r="A538" s="16">
        <v>46351</v>
      </c>
      <c r="B538" t="s">
        <v>346</v>
      </c>
    </row>
    <row r="539" spans="1:2" x14ac:dyDescent="0.2">
      <c r="A539" s="16">
        <v>46351</v>
      </c>
      <c r="B539" t="s">
        <v>361</v>
      </c>
    </row>
    <row r="540" spans="1:2" x14ac:dyDescent="0.2">
      <c r="A540" s="16">
        <v>46351</v>
      </c>
      <c r="B540" t="s">
        <v>385</v>
      </c>
    </row>
    <row r="541" spans="1:2" x14ac:dyDescent="0.2">
      <c r="A541" s="16">
        <v>46351</v>
      </c>
      <c r="B541" t="s">
        <v>351</v>
      </c>
    </row>
    <row r="542" spans="1:2" x14ac:dyDescent="0.2">
      <c r="A542" s="16">
        <v>46353</v>
      </c>
      <c r="B542" t="s">
        <v>377</v>
      </c>
    </row>
    <row r="543" spans="1:2" x14ac:dyDescent="0.2">
      <c r="A543" s="16">
        <v>46353</v>
      </c>
      <c r="B543" t="s">
        <v>379</v>
      </c>
    </row>
    <row r="544" spans="1:2" x14ac:dyDescent="0.2">
      <c r="A544" s="16">
        <v>46353</v>
      </c>
      <c r="B544" t="s">
        <v>337</v>
      </c>
    </row>
    <row r="545" spans="1:2" x14ac:dyDescent="0.2">
      <c r="A545" s="16">
        <v>46353</v>
      </c>
      <c r="B545" t="s">
        <v>357</v>
      </c>
    </row>
    <row r="546" spans="1:2" x14ac:dyDescent="0.2">
      <c r="A546" s="16">
        <v>46353</v>
      </c>
      <c r="B546" t="s">
        <v>339</v>
      </c>
    </row>
    <row r="547" spans="1:2" x14ac:dyDescent="0.2">
      <c r="A547" s="16">
        <v>46353</v>
      </c>
      <c r="B547" t="s">
        <v>355</v>
      </c>
    </row>
    <row r="548" spans="1:2" x14ac:dyDescent="0.2">
      <c r="A548" s="16">
        <v>46353</v>
      </c>
      <c r="B548" t="s">
        <v>345</v>
      </c>
    </row>
    <row r="549" spans="1:2" x14ac:dyDescent="0.2">
      <c r="A549" s="16">
        <v>46353</v>
      </c>
      <c r="B549" t="s">
        <v>366</v>
      </c>
    </row>
    <row r="550" spans="1:2" x14ac:dyDescent="0.2">
      <c r="A550" s="16">
        <v>46353</v>
      </c>
      <c r="B550" t="s">
        <v>373</v>
      </c>
    </row>
    <row r="551" spans="1:2" x14ac:dyDescent="0.2">
      <c r="A551" s="16">
        <v>46353</v>
      </c>
      <c r="B551" t="s">
        <v>332</v>
      </c>
    </row>
    <row r="552" spans="1:2" x14ac:dyDescent="0.2">
      <c r="A552" s="16">
        <v>46353</v>
      </c>
      <c r="B552" t="s">
        <v>396</v>
      </c>
    </row>
    <row r="553" spans="1:2" x14ac:dyDescent="0.2">
      <c r="A553" s="16">
        <v>46353</v>
      </c>
      <c r="B553" t="s">
        <v>329</v>
      </c>
    </row>
    <row r="554" spans="1:2" x14ac:dyDescent="0.2">
      <c r="A554" s="16">
        <v>46353</v>
      </c>
      <c r="B554" t="s">
        <v>369</v>
      </c>
    </row>
    <row r="555" spans="1:2" x14ac:dyDescent="0.2">
      <c r="A555" s="16">
        <v>46353</v>
      </c>
      <c r="B555" t="s">
        <v>334</v>
      </c>
    </row>
    <row r="556" spans="1:2" x14ac:dyDescent="0.2">
      <c r="A556" s="16">
        <v>46353</v>
      </c>
      <c r="B556" t="s">
        <v>364</v>
      </c>
    </row>
    <row r="557" spans="1:2" x14ac:dyDescent="0.2">
      <c r="A557" s="16">
        <v>46353</v>
      </c>
      <c r="B557" t="s">
        <v>342</v>
      </c>
    </row>
    <row r="558" spans="1:2" x14ac:dyDescent="0.2">
      <c r="A558" s="16">
        <v>46353</v>
      </c>
      <c r="B558" t="s">
        <v>343</v>
      </c>
    </row>
    <row r="559" spans="1:2" x14ac:dyDescent="0.2">
      <c r="A559" s="16">
        <v>46353</v>
      </c>
      <c r="B559" t="s">
        <v>346</v>
      </c>
    </row>
    <row r="560" spans="1:2" x14ac:dyDescent="0.2">
      <c r="A560" s="16">
        <v>46353</v>
      </c>
      <c r="B560" t="s">
        <v>361</v>
      </c>
    </row>
    <row r="561" spans="1:2" x14ac:dyDescent="0.2">
      <c r="A561" s="16">
        <v>46353</v>
      </c>
      <c r="B561" t="s">
        <v>351</v>
      </c>
    </row>
    <row r="562" spans="1:2" x14ac:dyDescent="0.2">
      <c r="A562" s="16">
        <v>46353</v>
      </c>
      <c r="B562" t="s">
        <v>353</v>
      </c>
    </row>
    <row r="563" spans="1:2" x14ac:dyDescent="0.2">
      <c r="A563" s="16">
        <v>46353</v>
      </c>
      <c r="B563" t="s">
        <v>362</v>
      </c>
    </row>
    <row r="564" spans="1:2" x14ac:dyDescent="0.2">
      <c r="A564" s="16">
        <v>46354</v>
      </c>
      <c r="B564" t="s">
        <v>379</v>
      </c>
    </row>
    <row r="565" spans="1:2" x14ac:dyDescent="0.2">
      <c r="A565" s="16">
        <v>46354</v>
      </c>
      <c r="B565" t="s">
        <v>378</v>
      </c>
    </row>
    <row r="566" spans="1:2" x14ac:dyDescent="0.2">
      <c r="A566" s="16">
        <v>46354</v>
      </c>
      <c r="B566" t="s">
        <v>370</v>
      </c>
    </row>
    <row r="567" spans="1:2" x14ac:dyDescent="0.2">
      <c r="A567" s="16">
        <v>46354</v>
      </c>
      <c r="B567" t="s">
        <v>348</v>
      </c>
    </row>
    <row r="568" spans="1:2" x14ac:dyDescent="0.2">
      <c r="A568" s="16">
        <v>46354</v>
      </c>
      <c r="B568" t="s">
        <v>366</v>
      </c>
    </row>
    <row r="569" spans="1:2" x14ac:dyDescent="0.2">
      <c r="A569" s="16">
        <v>46354</v>
      </c>
      <c r="B569" t="s">
        <v>369</v>
      </c>
    </row>
    <row r="570" spans="1:2" x14ac:dyDescent="0.2">
      <c r="A570" s="16">
        <v>46354</v>
      </c>
      <c r="B570" t="s">
        <v>325</v>
      </c>
    </row>
    <row r="571" spans="1:2" x14ac:dyDescent="0.2">
      <c r="A571" s="16">
        <v>46354</v>
      </c>
      <c r="B571" t="s">
        <v>358</v>
      </c>
    </row>
    <row r="572" spans="1:2" x14ac:dyDescent="0.2">
      <c r="A572" s="16">
        <v>46354</v>
      </c>
      <c r="B572" t="s">
        <v>343</v>
      </c>
    </row>
    <row r="573" spans="1:2" x14ac:dyDescent="0.2">
      <c r="A573" s="16">
        <v>46354</v>
      </c>
      <c r="B573" t="s">
        <v>368</v>
      </c>
    </row>
    <row r="574" spans="1:2" x14ac:dyDescent="0.2">
      <c r="A574" s="16">
        <v>46355</v>
      </c>
      <c r="B574" t="s">
        <v>377</v>
      </c>
    </row>
    <row r="575" spans="1:2" x14ac:dyDescent="0.2">
      <c r="A575" s="16">
        <v>46355</v>
      </c>
      <c r="B575" t="s">
        <v>337</v>
      </c>
    </row>
    <row r="576" spans="1:2" x14ac:dyDescent="0.2">
      <c r="A576" s="16">
        <v>46355</v>
      </c>
      <c r="B576" t="s">
        <v>341</v>
      </c>
    </row>
    <row r="577" spans="1:2" x14ac:dyDescent="0.2">
      <c r="A577" s="16">
        <v>46355</v>
      </c>
      <c r="B577" t="s">
        <v>339</v>
      </c>
    </row>
    <row r="578" spans="1:2" x14ac:dyDescent="0.2">
      <c r="A578" s="16">
        <v>46355</v>
      </c>
      <c r="B578" t="s">
        <v>355</v>
      </c>
    </row>
    <row r="579" spans="1:2" x14ac:dyDescent="0.2">
      <c r="A579" s="16">
        <v>46355</v>
      </c>
      <c r="B579" t="s">
        <v>345</v>
      </c>
    </row>
    <row r="580" spans="1:2" x14ac:dyDescent="0.2">
      <c r="A580" s="16">
        <v>46355</v>
      </c>
      <c r="B580" t="s">
        <v>373</v>
      </c>
    </row>
    <row r="581" spans="1:2" x14ac:dyDescent="0.2">
      <c r="A581" s="16">
        <v>46355</v>
      </c>
      <c r="B581" t="s">
        <v>332</v>
      </c>
    </row>
    <row r="582" spans="1:2" x14ac:dyDescent="0.2">
      <c r="A582" s="16">
        <v>46355</v>
      </c>
      <c r="B582" t="s">
        <v>396</v>
      </c>
    </row>
    <row r="583" spans="1:2" x14ac:dyDescent="0.2">
      <c r="A583" s="16">
        <v>46355</v>
      </c>
      <c r="B583" t="s">
        <v>329</v>
      </c>
    </row>
    <row r="584" spans="1:2" x14ac:dyDescent="0.2">
      <c r="A584" s="16">
        <v>46355</v>
      </c>
      <c r="B584" t="s">
        <v>334</v>
      </c>
    </row>
    <row r="585" spans="1:2" x14ac:dyDescent="0.2">
      <c r="A585" s="16">
        <v>46355</v>
      </c>
      <c r="B585" t="s">
        <v>364</v>
      </c>
    </row>
    <row r="586" spans="1:2" x14ac:dyDescent="0.2">
      <c r="A586" s="16">
        <v>46355</v>
      </c>
      <c r="B586" t="s">
        <v>342</v>
      </c>
    </row>
    <row r="587" spans="1:2" x14ac:dyDescent="0.2">
      <c r="A587" s="16">
        <v>46355</v>
      </c>
      <c r="B587" t="s">
        <v>358</v>
      </c>
    </row>
    <row r="588" spans="1:2" x14ac:dyDescent="0.2">
      <c r="A588" s="16">
        <v>46355</v>
      </c>
      <c r="B588" t="s">
        <v>346</v>
      </c>
    </row>
    <row r="589" spans="1:2" x14ac:dyDescent="0.2">
      <c r="A589" s="16">
        <v>46355</v>
      </c>
      <c r="B589" t="s">
        <v>361</v>
      </c>
    </row>
    <row r="590" spans="1:2" x14ac:dyDescent="0.2">
      <c r="A590" s="16">
        <v>46355</v>
      </c>
      <c r="B590" t="s">
        <v>385</v>
      </c>
    </row>
    <row r="591" spans="1:2" x14ac:dyDescent="0.2">
      <c r="A591" s="16">
        <v>46355</v>
      </c>
      <c r="B591" t="s">
        <v>351</v>
      </c>
    </row>
    <row r="592" spans="1:2" x14ac:dyDescent="0.2">
      <c r="A592" s="16">
        <v>46355</v>
      </c>
      <c r="B592" t="s">
        <v>353</v>
      </c>
    </row>
    <row r="593" spans="1:2" x14ac:dyDescent="0.2">
      <c r="A593" s="16">
        <v>46355</v>
      </c>
      <c r="B593" t="s">
        <v>362</v>
      </c>
    </row>
    <row r="594" spans="1:2" x14ac:dyDescent="0.2">
      <c r="A594" s="16">
        <v>46356</v>
      </c>
      <c r="B594" t="s">
        <v>379</v>
      </c>
    </row>
    <row r="595" spans="1:2" x14ac:dyDescent="0.2">
      <c r="A595" s="16">
        <v>46356</v>
      </c>
      <c r="B595" t="s">
        <v>337</v>
      </c>
    </row>
    <row r="596" spans="1:2" x14ac:dyDescent="0.2">
      <c r="A596" s="16">
        <v>46356</v>
      </c>
      <c r="B596" t="s">
        <v>378</v>
      </c>
    </row>
    <row r="597" spans="1:2" x14ac:dyDescent="0.2">
      <c r="A597" s="16">
        <v>46356</v>
      </c>
      <c r="B597" t="s">
        <v>357</v>
      </c>
    </row>
    <row r="598" spans="1:2" x14ac:dyDescent="0.2">
      <c r="A598" s="16">
        <v>46356</v>
      </c>
      <c r="B598" t="s">
        <v>339</v>
      </c>
    </row>
    <row r="599" spans="1:2" x14ac:dyDescent="0.2">
      <c r="A599" s="16">
        <v>46356</v>
      </c>
      <c r="B599" t="s">
        <v>355</v>
      </c>
    </row>
    <row r="600" spans="1:2" x14ac:dyDescent="0.2">
      <c r="A600" s="16">
        <v>46356</v>
      </c>
      <c r="B600" t="s">
        <v>348</v>
      </c>
    </row>
    <row r="601" spans="1:2" x14ac:dyDescent="0.2">
      <c r="A601" s="16">
        <v>46356</v>
      </c>
      <c r="B601" t="s">
        <v>332</v>
      </c>
    </row>
    <row r="602" spans="1:2" x14ac:dyDescent="0.2">
      <c r="A602" s="16">
        <v>46356</v>
      </c>
      <c r="B602" t="s">
        <v>369</v>
      </c>
    </row>
    <row r="603" spans="1:2" x14ac:dyDescent="0.2">
      <c r="A603" s="16">
        <v>46356</v>
      </c>
      <c r="B603" t="s">
        <v>364</v>
      </c>
    </row>
    <row r="604" spans="1:2" x14ac:dyDescent="0.2">
      <c r="A604" s="16">
        <v>46356</v>
      </c>
      <c r="B604" t="s">
        <v>325</v>
      </c>
    </row>
    <row r="605" spans="1:2" x14ac:dyDescent="0.2">
      <c r="A605" s="16">
        <v>46356</v>
      </c>
      <c r="B605" t="s">
        <v>385</v>
      </c>
    </row>
    <row r="606" spans="1:2" x14ac:dyDescent="0.2">
      <c r="A606" s="16">
        <v>46356</v>
      </c>
      <c r="B606" t="s">
        <v>351</v>
      </c>
    </row>
    <row r="607" spans="1:2" x14ac:dyDescent="0.2">
      <c r="A607" s="16">
        <v>46356</v>
      </c>
      <c r="B607" t="s">
        <v>368</v>
      </c>
    </row>
    <row r="608" spans="1:2" x14ac:dyDescent="0.2">
      <c r="A608" s="16">
        <v>46357</v>
      </c>
      <c r="B608" t="s">
        <v>377</v>
      </c>
    </row>
    <row r="609" spans="1:2" x14ac:dyDescent="0.2">
      <c r="A609" s="16">
        <v>46357</v>
      </c>
      <c r="B609" t="s">
        <v>370</v>
      </c>
    </row>
    <row r="610" spans="1:2" x14ac:dyDescent="0.2">
      <c r="A610" s="16">
        <v>46357</v>
      </c>
      <c r="B610" t="s">
        <v>341</v>
      </c>
    </row>
    <row r="611" spans="1:2" x14ac:dyDescent="0.2">
      <c r="A611" s="16">
        <v>46357</v>
      </c>
      <c r="B611" t="s">
        <v>345</v>
      </c>
    </row>
    <row r="612" spans="1:2" x14ac:dyDescent="0.2">
      <c r="A612" s="16">
        <v>46357</v>
      </c>
      <c r="B612" t="s">
        <v>348</v>
      </c>
    </row>
    <row r="613" spans="1:2" x14ac:dyDescent="0.2">
      <c r="A613" s="16">
        <v>46357</v>
      </c>
      <c r="B613" t="s">
        <v>366</v>
      </c>
    </row>
    <row r="614" spans="1:2" x14ac:dyDescent="0.2">
      <c r="A614" s="16">
        <v>46357</v>
      </c>
      <c r="B614" t="s">
        <v>373</v>
      </c>
    </row>
    <row r="615" spans="1:2" x14ac:dyDescent="0.2">
      <c r="A615" s="16">
        <v>46357</v>
      </c>
      <c r="B615" t="s">
        <v>396</v>
      </c>
    </row>
    <row r="616" spans="1:2" x14ac:dyDescent="0.2">
      <c r="A616" s="16">
        <v>46357</v>
      </c>
      <c r="B616" t="s">
        <v>329</v>
      </c>
    </row>
    <row r="617" spans="1:2" x14ac:dyDescent="0.2">
      <c r="A617" s="16">
        <v>46357</v>
      </c>
      <c r="B617" t="s">
        <v>334</v>
      </c>
    </row>
    <row r="618" spans="1:2" x14ac:dyDescent="0.2">
      <c r="A618" s="16">
        <v>46357</v>
      </c>
      <c r="B618" t="s">
        <v>342</v>
      </c>
    </row>
    <row r="619" spans="1:2" x14ac:dyDescent="0.2">
      <c r="A619" s="16">
        <v>46357</v>
      </c>
      <c r="B619" t="s">
        <v>343</v>
      </c>
    </row>
    <row r="620" spans="1:2" x14ac:dyDescent="0.2">
      <c r="A620" s="16">
        <v>46357</v>
      </c>
      <c r="B620" t="s">
        <v>346</v>
      </c>
    </row>
    <row r="621" spans="1:2" x14ac:dyDescent="0.2">
      <c r="A621" s="16">
        <v>46357</v>
      </c>
      <c r="B621" t="s">
        <v>361</v>
      </c>
    </row>
    <row r="622" spans="1:2" x14ac:dyDescent="0.2">
      <c r="A622" s="16">
        <v>46357</v>
      </c>
      <c r="B622" t="s">
        <v>353</v>
      </c>
    </row>
    <row r="623" spans="1:2" x14ac:dyDescent="0.2">
      <c r="A623" s="16">
        <v>46357</v>
      </c>
      <c r="B623" t="s">
        <v>362</v>
      </c>
    </row>
    <row r="624" spans="1:2" x14ac:dyDescent="0.2">
      <c r="A624" s="16">
        <v>46358</v>
      </c>
      <c r="B624" t="s">
        <v>379</v>
      </c>
    </row>
    <row r="625" spans="1:2" x14ac:dyDescent="0.2">
      <c r="A625" s="16">
        <v>46358</v>
      </c>
      <c r="B625" t="s">
        <v>337</v>
      </c>
    </row>
    <row r="626" spans="1:2" x14ac:dyDescent="0.2">
      <c r="A626" s="16">
        <v>46358</v>
      </c>
      <c r="B626" t="s">
        <v>378</v>
      </c>
    </row>
    <row r="627" spans="1:2" x14ac:dyDescent="0.2">
      <c r="A627" s="16">
        <v>46358</v>
      </c>
      <c r="B627" t="s">
        <v>357</v>
      </c>
    </row>
    <row r="628" spans="1:2" x14ac:dyDescent="0.2">
      <c r="A628" s="16">
        <v>46358</v>
      </c>
      <c r="B628" t="s">
        <v>339</v>
      </c>
    </row>
    <row r="629" spans="1:2" x14ac:dyDescent="0.2">
      <c r="A629" s="16">
        <v>46358</v>
      </c>
      <c r="B629" t="s">
        <v>355</v>
      </c>
    </row>
    <row r="630" spans="1:2" x14ac:dyDescent="0.2">
      <c r="A630" s="16">
        <v>46358</v>
      </c>
      <c r="B630" t="s">
        <v>373</v>
      </c>
    </row>
    <row r="631" spans="1:2" x14ac:dyDescent="0.2">
      <c r="A631" s="16">
        <v>46358</v>
      </c>
      <c r="B631" t="s">
        <v>332</v>
      </c>
    </row>
    <row r="632" spans="1:2" x14ac:dyDescent="0.2">
      <c r="A632" s="16">
        <v>46358</v>
      </c>
      <c r="B632" t="s">
        <v>396</v>
      </c>
    </row>
    <row r="633" spans="1:2" x14ac:dyDescent="0.2">
      <c r="A633" s="16">
        <v>46358</v>
      </c>
      <c r="B633" t="s">
        <v>369</v>
      </c>
    </row>
    <row r="634" spans="1:2" x14ac:dyDescent="0.2">
      <c r="A634" s="16">
        <v>46358</v>
      </c>
      <c r="B634" t="s">
        <v>334</v>
      </c>
    </row>
    <row r="635" spans="1:2" x14ac:dyDescent="0.2">
      <c r="A635" s="16">
        <v>46358</v>
      </c>
      <c r="B635" t="s">
        <v>364</v>
      </c>
    </row>
    <row r="636" spans="1:2" x14ac:dyDescent="0.2">
      <c r="A636" s="16">
        <v>46358</v>
      </c>
      <c r="B636" t="s">
        <v>342</v>
      </c>
    </row>
    <row r="637" spans="1:2" x14ac:dyDescent="0.2">
      <c r="A637" s="16">
        <v>46358</v>
      </c>
      <c r="B637" t="s">
        <v>325</v>
      </c>
    </row>
    <row r="638" spans="1:2" x14ac:dyDescent="0.2">
      <c r="A638" s="16">
        <v>46358</v>
      </c>
      <c r="B638" t="s">
        <v>358</v>
      </c>
    </row>
    <row r="639" spans="1:2" x14ac:dyDescent="0.2">
      <c r="A639" s="16">
        <v>46358</v>
      </c>
      <c r="B639" t="s">
        <v>343</v>
      </c>
    </row>
    <row r="640" spans="1:2" x14ac:dyDescent="0.2">
      <c r="A640" s="16">
        <v>46358</v>
      </c>
      <c r="B640" t="s">
        <v>346</v>
      </c>
    </row>
    <row r="641" spans="1:2" x14ac:dyDescent="0.2">
      <c r="A641" s="16">
        <v>46358</v>
      </c>
      <c r="B641" t="s">
        <v>385</v>
      </c>
    </row>
    <row r="642" spans="1:2" x14ac:dyDescent="0.2">
      <c r="A642" s="16">
        <v>46359</v>
      </c>
      <c r="B642" t="s">
        <v>377</v>
      </c>
    </row>
    <row r="643" spans="1:2" x14ac:dyDescent="0.2">
      <c r="A643" s="16">
        <v>46359</v>
      </c>
      <c r="B643" t="s">
        <v>370</v>
      </c>
    </row>
    <row r="644" spans="1:2" x14ac:dyDescent="0.2">
      <c r="A644" s="16">
        <v>46359</v>
      </c>
      <c r="B644" t="s">
        <v>341</v>
      </c>
    </row>
    <row r="645" spans="1:2" x14ac:dyDescent="0.2">
      <c r="A645" s="16">
        <v>46359</v>
      </c>
      <c r="B645" t="s">
        <v>366</v>
      </c>
    </row>
    <row r="646" spans="1:2" x14ac:dyDescent="0.2">
      <c r="A646" s="16">
        <v>46359</v>
      </c>
      <c r="B646" t="s">
        <v>329</v>
      </c>
    </row>
    <row r="647" spans="1:2" x14ac:dyDescent="0.2">
      <c r="A647" s="16">
        <v>46359</v>
      </c>
      <c r="B647" t="s">
        <v>361</v>
      </c>
    </row>
    <row r="648" spans="1:2" x14ac:dyDescent="0.2">
      <c r="A648" s="16">
        <v>46359</v>
      </c>
      <c r="B648" t="s">
        <v>351</v>
      </c>
    </row>
    <row r="649" spans="1:2" x14ac:dyDescent="0.2">
      <c r="A649" s="16">
        <v>46359</v>
      </c>
      <c r="B649" t="s">
        <v>353</v>
      </c>
    </row>
    <row r="650" spans="1:2" x14ac:dyDescent="0.2">
      <c r="A650" s="16">
        <v>46359</v>
      </c>
      <c r="B650" t="s">
        <v>362</v>
      </c>
    </row>
    <row r="651" spans="1:2" x14ac:dyDescent="0.2">
      <c r="A651" s="16">
        <v>46359</v>
      </c>
      <c r="B651" t="s">
        <v>368</v>
      </c>
    </row>
    <row r="652" spans="1:2" x14ac:dyDescent="0.2">
      <c r="A652" s="16">
        <v>46368</v>
      </c>
      <c r="B652" t="s">
        <v>377</v>
      </c>
    </row>
    <row r="653" spans="1:2" x14ac:dyDescent="0.2">
      <c r="A653" s="16">
        <v>46368</v>
      </c>
      <c r="B653" t="s">
        <v>378</v>
      </c>
    </row>
    <row r="654" spans="1:2" x14ac:dyDescent="0.2">
      <c r="A654" s="16">
        <v>46368</v>
      </c>
      <c r="B654" t="s">
        <v>341</v>
      </c>
    </row>
    <row r="655" spans="1:2" x14ac:dyDescent="0.2">
      <c r="A655" s="16">
        <v>46368</v>
      </c>
      <c r="B655" t="s">
        <v>339</v>
      </c>
    </row>
    <row r="656" spans="1:2" x14ac:dyDescent="0.2">
      <c r="A656" s="16">
        <v>46368</v>
      </c>
      <c r="B656" t="s">
        <v>345</v>
      </c>
    </row>
    <row r="657" spans="1:2" x14ac:dyDescent="0.2">
      <c r="A657" s="16">
        <v>46368</v>
      </c>
      <c r="B657" t="s">
        <v>396</v>
      </c>
    </row>
    <row r="658" spans="1:2" x14ac:dyDescent="0.2">
      <c r="A658" s="16">
        <v>46368</v>
      </c>
      <c r="B658" t="s">
        <v>329</v>
      </c>
    </row>
    <row r="659" spans="1:2" x14ac:dyDescent="0.2">
      <c r="A659" s="16">
        <v>46368</v>
      </c>
      <c r="B659" t="s">
        <v>369</v>
      </c>
    </row>
    <row r="660" spans="1:2" x14ac:dyDescent="0.2">
      <c r="A660" s="16">
        <v>46368</v>
      </c>
      <c r="B660" t="s">
        <v>334</v>
      </c>
    </row>
    <row r="661" spans="1:2" x14ac:dyDescent="0.2">
      <c r="A661" s="16">
        <v>46368</v>
      </c>
      <c r="B661" t="s">
        <v>342</v>
      </c>
    </row>
    <row r="662" spans="1:2" x14ac:dyDescent="0.2">
      <c r="A662" s="16">
        <v>46368</v>
      </c>
      <c r="B662" t="s">
        <v>358</v>
      </c>
    </row>
    <row r="663" spans="1:2" x14ac:dyDescent="0.2">
      <c r="A663" s="16">
        <v>46368</v>
      </c>
      <c r="B663" t="s">
        <v>343</v>
      </c>
    </row>
    <row r="664" spans="1:2" x14ac:dyDescent="0.2">
      <c r="A664" s="16">
        <v>46368</v>
      </c>
      <c r="B664" t="s">
        <v>346</v>
      </c>
    </row>
    <row r="665" spans="1:2" x14ac:dyDescent="0.2">
      <c r="A665" s="16">
        <v>46368</v>
      </c>
      <c r="B665" t="s">
        <v>361</v>
      </c>
    </row>
    <row r="666" spans="1:2" x14ac:dyDescent="0.2">
      <c r="A666" s="16">
        <v>46368</v>
      </c>
      <c r="B666" t="s">
        <v>362</v>
      </c>
    </row>
    <row r="667" spans="1:2" x14ac:dyDescent="0.2">
      <c r="A667" s="16">
        <v>46368</v>
      </c>
      <c r="B667" t="s">
        <v>368</v>
      </c>
    </row>
    <row r="668" spans="1:2" x14ac:dyDescent="0.2">
      <c r="A668" s="16">
        <v>46369</v>
      </c>
      <c r="B668" t="s">
        <v>379</v>
      </c>
    </row>
    <row r="669" spans="1:2" x14ac:dyDescent="0.2">
      <c r="A669" s="16">
        <v>46369</v>
      </c>
      <c r="B669" t="s">
        <v>337</v>
      </c>
    </row>
    <row r="670" spans="1:2" x14ac:dyDescent="0.2">
      <c r="A670" s="16">
        <v>46369</v>
      </c>
      <c r="B670" t="s">
        <v>370</v>
      </c>
    </row>
    <row r="671" spans="1:2" x14ac:dyDescent="0.2">
      <c r="A671" s="16">
        <v>46369</v>
      </c>
      <c r="B671" t="s">
        <v>355</v>
      </c>
    </row>
    <row r="672" spans="1:2" x14ac:dyDescent="0.2">
      <c r="A672" s="16">
        <v>46369</v>
      </c>
      <c r="B672" t="s">
        <v>348</v>
      </c>
    </row>
    <row r="673" spans="1:2" x14ac:dyDescent="0.2">
      <c r="A673" s="16">
        <v>46369</v>
      </c>
      <c r="B673" t="s">
        <v>366</v>
      </c>
    </row>
    <row r="674" spans="1:2" x14ac:dyDescent="0.2">
      <c r="A674" s="16">
        <v>46369</v>
      </c>
      <c r="B674" t="s">
        <v>373</v>
      </c>
    </row>
    <row r="675" spans="1:2" x14ac:dyDescent="0.2">
      <c r="A675" s="16">
        <v>46369</v>
      </c>
      <c r="B675" t="s">
        <v>364</v>
      </c>
    </row>
    <row r="676" spans="1:2" x14ac:dyDescent="0.2">
      <c r="A676" s="16">
        <v>46369</v>
      </c>
      <c r="B676" t="s">
        <v>325</v>
      </c>
    </row>
    <row r="677" spans="1:2" x14ac:dyDescent="0.2">
      <c r="A677" s="16">
        <v>46369</v>
      </c>
      <c r="B677" t="s">
        <v>385</v>
      </c>
    </row>
    <row r="678" spans="1:2" x14ac:dyDescent="0.2">
      <c r="A678" s="16">
        <v>46369</v>
      </c>
      <c r="B678" t="s">
        <v>351</v>
      </c>
    </row>
    <row r="679" spans="1:2" x14ac:dyDescent="0.2">
      <c r="A679" s="16">
        <v>46369</v>
      </c>
      <c r="B679" t="s">
        <v>353</v>
      </c>
    </row>
    <row r="680" spans="1:2" x14ac:dyDescent="0.2">
      <c r="A680" s="16">
        <v>46370</v>
      </c>
      <c r="B680" t="s">
        <v>377</v>
      </c>
    </row>
    <row r="681" spans="1:2" x14ac:dyDescent="0.2">
      <c r="A681" s="16">
        <v>46370</v>
      </c>
      <c r="B681" t="s">
        <v>379</v>
      </c>
    </row>
    <row r="682" spans="1:2" x14ac:dyDescent="0.2">
      <c r="A682" s="16">
        <v>46370</v>
      </c>
      <c r="B682" t="s">
        <v>337</v>
      </c>
    </row>
    <row r="683" spans="1:2" x14ac:dyDescent="0.2">
      <c r="A683" s="16">
        <v>46370</v>
      </c>
      <c r="B683" t="s">
        <v>378</v>
      </c>
    </row>
    <row r="684" spans="1:2" x14ac:dyDescent="0.2">
      <c r="A684" s="16">
        <v>46370</v>
      </c>
      <c r="B684" t="s">
        <v>370</v>
      </c>
    </row>
    <row r="685" spans="1:2" x14ac:dyDescent="0.2">
      <c r="A685" s="16">
        <v>46370</v>
      </c>
      <c r="B685" t="s">
        <v>357</v>
      </c>
    </row>
    <row r="686" spans="1:2" x14ac:dyDescent="0.2">
      <c r="A686" s="16">
        <v>46370</v>
      </c>
      <c r="B686" t="s">
        <v>355</v>
      </c>
    </row>
    <row r="687" spans="1:2" x14ac:dyDescent="0.2">
      <c r="A687" s="16">
        <v>46370</v>
      </c>
      <c r="B687" t="s">
        <v>345</v>
      </c>
    </row>
    <row r="688" spans="1:2" x14ac:dyDescent="0.2">
      <c r="A688" s="16">
        <v>46370</v>
      </c>
      <c r="B688" t="s">
        <v>348</v>
      </c>
    </row>
    <row r="689" spans="1:2" x14ac:dyDescent="0.2">
      <c r="A689" s="16">
        <v>46370</v>
      </c>
      <c r="B689" t="s">
        <v>332</v>
      </c>
    </row>
    <row r="690" spans="1:2" x14ac:dyDescent="0.2">
      <c r="A690" s="16">
        <v>46370</v>
      </c>
      <c r="B690" t="s">
        <v>396</v>
      </c>
    </row>
    <row r="691" spans="1:2" x14ac:dyDescent="0.2">
      <c r="A691" s="16">
        <v>46370</v>
      </c>
      <c r="B691" t="s">
        <v>329</v>
      </c>
    </row>
    <row r="692" spans="1:2" x14ac:dyDescent="0.2">
      <c r="A692" s="16">
        <v>46370</v>
      </c>
      <c r="B692" t="s">
        <v>369</v>
      </c>
    </row>
    <row r="693" spans="1:2" x14ac:dyDescent="0.2">
      <c r="A693" s="16">
        <v>46370</v>
      </c>
      <c r="B693" t="s">
        <v>334</v>
      </c>
    </row>
    <row r="694" spans="1:2" x14ac:dyDescent="0.2">
      <c r="A694" s="16">
        <v>46370</v>
      </c>
      <c r="B694" t="s">
        <v>364</v>
      </c>
    </row>
    <row r="695" spans="1:2" x14ac:dyDescent="0.2">
      <c r="A695" s="16">
        <v>46370</v>
      </c>
      <c r="B695" t="s">
        <v>342</v>
      </c>
    </row>
    <row r="696" spans="1:2" x14ac:dyDescent="0.2">
      <c r="A696" s="16">
        <v>46370</v>
      </c>
      <c r="B696" t="s">
        <v>358</v>
      </c>
    </row>
    <row r="697" spans="1:2" x14ac:dyDescent="0.2">
      <c r="A697" s="16">
        <v>46370</v>
      </c>
      <c r="B697" t="s">
        <v>343</v>
      </c>
    </row>
    <row r="698" spans="1:2" x14ac:dyDescent="0.2">
      <c r="A698" s="16">
        <v>46370</v>
      </c>
      <c r="B698" t="s">
        <v>346</v>
      </c>
    </row>
    <row r="699" spans="1:2" x14ac:dyDescent="0.2">
      <c r="A699" s="16">
        <v>46370</v>
      </c>
      <c r="B699" t="s">
        <v>353</v>
      </c>
    </row>
    <row r="700" spans="1:2" x14ac:dyDescent="0.2">
      <c r="A700" s="16">
        <v>46370</v>
      </c>
      <c r="B700" t="s">
        <v>362</v>
      </c>
    </row>
    <row r="701" spans="1:2" x14ac:dyDescent="0.2">
      <c r="A701" s="16">
        <v>46370</v>
      </c>
      <c r="B701" t="s">
        <v>368</v>
      </c>
    </row>
    <row r="702" spans="1:2" x14ac:dyDescent="0.2">
      <c r="A702" s="16">
        <v>46371</v>
      </c>
      <c r="B702" t="s">
        <v>341</v>
      </c>
    </row>
    <row r="703" spans="1:2" x14ac:dyDescent="0.2">
      <c r="A703" s="16">
        <v>46371</v>
      </c>
      <c r="B703" t="s">
        <v>339</v>
      </c>
    </row>
    <row r="704" spans="1:2" x14ac:dyDescent="0.2">
      <c r="A704" s="16">
        <v>46371</v>
      </c>
      <c r="B704" t="s">
        <v>361</v>
      </c>
    </row>
    <row r="705" spans="1:2" x14ac:dyDescent="0.2">
      <c r="A705" s="16">
        <v>46371</v>
      </c>
      <c r="B705" t="s">
        <v>351</v>
      </c>
    </row>
    <row r="706" spans="1:2" x14ac:dyDescent="0.2">
      <c r="A706" s="16">
        <v>46372</v>
      </c>
      <c r="B706" t="s">
        <v>379</v>
      </c>
    </row>
    <row r="707" spans="1:2" x14ac:dyDescent="0.2">
      <c r="A707" s="16">
        <v>46372</v>
      </c>
      <c r="B707" t="s">
        <v>337</v>
      </c>
    </row>
    <row r="708" spans="1:2" x14ac:dyDescent="0.2">
      <c r="A708" s="16">
        <v>46372</v>
      </c>
      <c r="B708" t="s">
        <v>378</v>
      </c>
    </row>
    <row r="709" spans="1:2" x14ac:dyDescent="0.2">
      <c r="A709" s="16">
        <v>46372</v>
      </c>
      <c r="B709" t="s">
        <v>370</v>
      </c>
    </row>
    <row r="710" spans="1:2" x14ac:dyDescent="0.2">
      <c r="A710" s="16">
        <v>46372</v>
      </c>
      <c r="B710" t="s">
        <v>341</v>
      </c>
    </row>
    <row r="711" spans="1:2" x14ac:dyDescent="0.2">
      <c r="A711" s="16">
        <v>46372</v>
      </c>
      <c r="B711" t="s">
        <v>357</v>
      </c>
    </row>
    <row r="712" spans="1:2" x14ac:dyDescent="0.2">
      <c r="A712" s="16">
        <v>46372</v>
      </c>
      <c r="B712" t="s">
        <v>355</v>
      </c>
    </row>
    <row r="713" spans="1:2" x14ac:dyDescent="0.2">
      <c r="A713" s="16">
        <v>46372</v>
      </c>
      <c r="B713" t="s">
        <v>345</v>
      </c>
    </row>
    <row r="714" spans="1:2" x14ac:dyDescent="0.2">
      <c r="A714" s="16">
        <v>46372</v>
      </c>
      <c r="B714" t="s">
        <v>348</v>
      </c>
    </row>
    <row r="715" spans="1:2" x14ac:dyDescent="0.2">
      <c r="A715" s="16">
        <v>46372</v>
      </c>
      <c r="B715" t="s">
        <v>366</v>
      </c>
    </row>
    <row r="716" spans="1:2" x14ac:dyDescent="0.2">
      <c r="A716" s="16">
        <v>46372</v>
      </c>
      <c r="B716" t="s">
        <v>373</v>
      </c>
    </row>
    <row r="717" spans="1:2" x14ac:dyDescent="0.2">
      <c r="A717" s="16">
        <v>46372</v>
      </c>
      <c r="B717" t="s">
        <v>332</v>
      </c>
    </row>
    <row r="718" spans="1:2" x14ac:dyDescent="0.2">
      <c r="A718" s="16">
        <v>46372</v>
      </c>
      <c r="B718" t="s">
        <v>396</v>
      </c>
    </row>
    <row r="719" spans="1:2" x14ac:dyDescent="0.2">
      <c r="A719" s="16">
        <v>46372</v>
      </c>
      <c r="B719" t="s">
        <v>329</v>
      </c>
    </row>
    <row r="720" spans="1:2" x14ac:dyDescent="0.2">
      <c r="A720" s="16">
        <v>46372</v>
      </c>
      <c r="B720" t="s">
        <v>369</v>
      </c>
    </row>
    <row r="721" spans="1:2" x14ac:dyDescent="0.2">
      <c r="A721" s="16">
        <v>46372</v>
      </c>
      <c r="B721" t="s">
        <v>334</v>
      </c>
    </row>
    <row r="722" spans="1:2" x14ac:dyDescent="0.2">
      <c r="A722" s="16">
        <v>46372</v>
      </c>
      <c r="B722" t="s">
        <v>364</v>
      </c>
    </row>
    <row r="723" spans="1:2" x14ac:dyDescent="0.2">
      <c r="A723" s="16">
        <v>46372</v>
      </c>
      <c r="B723" t="s">
        <v>342</v>
      </c>
    </row>
    <row r="724" spans="1:2" x14ac:dyDescent="0.2">
      <c r="A724" s="16">
        <v>46372</v>
      </c>
      <c r="B724" t="s">
        <v>325</v>
      </c>
    </row>
    <row r="725" spans="1:2" x14ac:dyDescent="0.2">
      <c r="A725" s="16">
        <v>46372</v>
      </c>
      <c r="B725" t="s">
        <v>358</v>
      </c>
    </row>
    <row r="726" spans="1:2" x14ac:dyDescent="0.2">
      <c r="A726" s="16">
        <v>46372</v>
      </c>
      <c r="B726" t="s">
        <v>346</v>
      </c>
    </row>
    <row r="727" spans="1:2" x14ac:dyDescent="0.2">
      <c r="A727" s="16">
        <v>46372</v>
      </c>
      <c r="B727" t="s">
        <v>385</v>
      </c>
    </row>
    <row r="728" spans="1:2" x14ac:dyDescent="0.2">
      <c r="A728" s="16">
        <v>46372</v>
      </c>
      <c r="B728" t="s">
        <v>351</v>
      </c>
    </row>
    <row r="729" spans="1:2" x14ac:dyDescent="0.2">
      <c r="A729" s="16">
        <v>46372</v>
      </c>
      <c r="B729" t="s">
        <v>353</v>
      </c>
    </row>
    <row r="730" spans="1:2" x14ac:dyDescent="0.2">
      <c r="A730" s="16">
        <v>46372</v>
      </c>
      <c r="B730" t="s">
        <v>362</v>
      </c>
    </row>
    <row r="731" spans="1:2" x14ac:dyDescent="0.2">
      <c r="A731" s="16">
        <v>46372</v>
      </c>
      <c r="B731" t="s">
        <v>368</v>
      </c>
    </row>
    <row r="732" spans="1:2" x14ac:dyDescent="0.2">
      <c r="A732" s="16">
        <v>46373</v>
      </c>
      <c r="B732" t="s">
        <v>377</v>
      </c>
    </row>
    <row r="733" spans="1:2" x14ac:dyDescent="0.2">
      <c r="A733" s="16">
        <v>46373</v>
      </c>
      <c r="B733" t="s">
        <v>357</v>
      </c>
    </row>
    <row r="734" spans="1:2" x14ac:dyDescent="0.2">
      <c r="A734" s="16">
        <v>46373</v>
      </c>
      <c r="B734" t="s">
        <v>339</v>
      </c>
    </row>
    <row r="735" spans="1:2" x14ac:dyDescent="0.2">
      <c r="A735" s="16">
        <v>46373</v>
      </c>
      <c r="B735" t="s">
        <v>366</v>
      </c>
    </row>
    <row r="736" spans="1:2" x14ac:dyDescent="0.2">
      <c r="A736" s="16">
        <v>46373</v>
      </c>
      <c r="B736" t="s">
        <v>343</v>
      </c>
    </row>
    <row r="737" spans="1:2" x14ac:dyDescent="0.2">
      <c r="A737" s="16">
        <v>46373</v>
      </c>
      <c r="B737" t="s">
        <v>361</v>
      </c>
    </row>
    <row r="738" spans="1:2" x14ac:dyDescent="0.2">
      <c r="A738" s="16">
        <v>46374</v>
      </c>
      <c r="B738" t="s">
        <v>379</v>
      </c>
    </row>
    <row r="739" spans="1:2" x14ac:dyDescent="0.2">
      <c r="A739" s="16">
        <v>46374</v>
      </c>
      <c r="B739" t="s">
        <v>337</v>
      </c>
    </row>
    <row r="740" spans="1:2" x14ac:dyDescent="0.2">
      <c r="A740" s="16">
        <v>46374</v>
      </c>
      <c r="B740" t="s">
        <v>378</v>
      </c>
    </row>
    <row r="741" spans="1:2" x14ac:dyDescent="0.2">
      <c r="A741" s="16">
        <v>46374</v>
      </c>
      <c r="B741" t="s">
        <v>370</v>
      </c>
    </row>
    <row r="742" spans="1:2" x14ac:dyDescent="0.2">
      <c r="A742" s="16">
        <v>46374</v>
      </c>
      <c r="B742" t="s">
        <v>341</v>
      </c>
    </row>
    <row r="743" spans="1:2" x14ac:dyDescent="0.2">
      <c r="A743" s="16">
        <v>46374</v>
      </c>
      <c r="B743" t="s">
        <v>355</v>
      </c>
    </row>
    <row r="744" spans="1:2" x14ac:dyDescent="0.2">
      <c r="A744" s="16">
        <v>46374</v>
      </c>
      <c r="B744" t="s">
        <v>345</v>
      </c>
    </row>
    <row r="745" spans="1:2" x14ac:dyDescent="0.2">
      <c r="A745" s="16">
        <v>46374</v>
      </c>
      <c r="B745" t="s">
        <v>348</v>
      </c>
    </row>
    <row r="746" spans="1:2" x14ac:dyDescent="0.2">
      <c r="A746" s="16">
        <v>46374</v>
      </c>
      <c r="B746" t="s">
        <v>373</v>
      </c>
    </row>
    <row r="747" spans="1:2" x14ac:dyDescent="0.2">
      <c r="A747" s="16">
        <v>46374</v>
      </c>
      <c r="B747" t="s">
        <v>332</v>
      </c>
    </row>
    <row r="748" spans="1:2" x14ac:dyDescent="0.2">
      <c r="A748" s="16">
        <v>46374</v>
      </c>
      <c r="B748" t="s">
        <v>396</v>
      </c>
    </row>
    <row r="749" spans="1:2" x14ac:dyDescent="0.2">
      <c r="A749" s="16">
        <v>46374</v>
      </c>
      <c r="B749" t="s">
        <v>329</v>
      </c>
    </row>
    <row r="750" spans="1:2" x14ac:dyDescent="0.2">
      <c r="A750" s="16">
        <v>46374</v>
      </c>
      <c r="B750" t="s">
        <v>369</v>
      </c>
    </row>
    <row r="751" spans="1:2" x14ac:dyDescent="0.2">
      <c r="A751" s="16">
        <v>46374</v>
      </c>
      <c r="B751" t="s">
        <v>334</v>
      </c>
    </row>
    <row r="752" spans="1:2" x14ac:dyDescent="0.2">
      <c r="A752" s="16">
        <v>46374</v>
      </c>
      <c r="B752" t="s">
        <v>364</v>
      </c>
    </row>
    <row r="753" spans="1:2" x14ac:dyDescent="0.2">
      <c r="A753" s="16">
        <v>46374</v>
      </c>
      <c r="B753" t="s">
        <v>342</v>
      </c>
    </row>
    <row r="754" spans="1:2" x14ac:dyDescent="0.2">
      <c r="A754" s="16">
        <v>46374</v>
      </c>
      <c r="B754" t="s">
        <v>325</v>
      </c>
    </row>
    <row r="755" spans="1:2" x14ac:dyDescent="0.2">
      <c r="A755" s="16">
        <v>46374</v>
      </c>
      <c r="B755" t="s">
        <v>358</v>
      </c>
    </row>
    <row r="756" spans="1:2" x14ac:dyDescent="0.2">
      <c r="A756" s="16">
        <v>46374</v>
      </c>
      <c r="B756" t="s">
        <v>346</v>
      </c>
    </row>
    <row r="757" spans="1:2" x14ac:dyDescent="0.2">
      <c r="A757" s="16">
        <v>46374</v>
      </c>
      <c r="B757" t="s">
        <v>385</v>
      </c>
    </row>
    <row r="758" spans="1:2" x14ac:dyDescent="0.2">
      <c r="A758" s="16">
        <v>46374</v>
      </c>
      <c r="B758" t="s">
        <v>351</v>
      </c>
    </row>
    <row r="759" spans="1:2" x14ac:dyDescent="0.2">
      <c r="A759" s="16">
        <v>46374</v>
      </c>
      <c r="B759" t="s">
        <v>353</v>
      </c>
    </row>
    <row r="760" spans="1:2" x14ac:dyDescent="0.2">
      <c r="A760" s="16">
        <v>46374</v>
      </c>
      <c r="B760" t="s">
        <v>362</v>
      </c>
    </row>
    <row r="761" spans="1:2" x14ac:dyDescent="0.2">
      <c r="A761" s="16">
        <v>46374</v>
      </c>
      <c r="B761" t="s">
        <v>368</v>
      </c>
    </row>
    <row r="762" spans="1:2" x14ac:dyDescent="0.2">
      <c r="A762" s="16">
        <v>46375</v>
      </c>
      <c r="B762" t="s">
        <v>377</v>
      </c>
    </row>
    <row r="763" spans="1:2" x14ac:dyDescent="0.2">
      <c r="A763" s="16">
        <v>46375</v>
      </c>
      <c r="B763" t="s">
        <v>378</v>
      </c>
    </row>
    <row r="764" spans="1:2" x14ac:dyDescent="0.2">
      <c r="A764" s="16">
        <v>46375</v>
      </c>
      <c r="B764" t="s">
        <v>370</v>
      </c>
    </row>
    <row r="765" spans="1:2" x14ac:dyDescent="0.2">
      <c r="A765" s="16">
        <v>46375</v>
      </c>
      <c r="B765" t="s">
        <v>357</v>
      </c>
    </row>
    <row r="766" spans="1:2" x14ac:dyDescent="0.2">
      <c r="A766" s="16">
        <v>46375</v>
      </c>
      <c r="B766" t="s">
        <v>339</v>
      </c>
    </row>
    <row r="767" spans="1:2" x14ac:dyDescent="0.2">
      <c r="A767" s="16">
        <v>46375</v>
      </c>
      <c r="B767" t="s">
        <v>332</v>
      </c>
    </row>
    <row r="768" spans="1:2" x14ac:dyDescent="0.2">
      <c r="A768" s="16">
        <v>46375</v>
      </c>
      <c r="B768" t="s">
        <v>358</v>
      </c>
    </row>
    <row r="769" spans="1:2" x14ac:dyDescent="0.2">
      <c r="A769" s="16">
        <v>46375</v>
      </c>
      <c r="B769" t="s">
        <v>361</v>
      </c>
    </row>
    <row r="770" spans="1:2" x14ac:dyDescent="0.2">
      <c r="A770" s="16">
        <v>46376</v>
      </c>
      <c r="B770" t="s">
        <v>377</v>
      </c>
    </row>
    <row r="771" spans="1:2" x14ac:dyDescent="0.2">
      <c r="A771" s="16">
        <v>46376</v>
      </c>
      <c r="B771" t="s">
        <v>379</v>
      </c>
    </row>
    <row r="772" spans="1:2" x14ac:dyDescent="0.2">
      <c r="A772" s="16">
        <v>46376</v>
      </c>
      <c r="B772" t="s">
        <v>337</v>
      </c>
    </row>
    <row r="773" spans="1:2" x14ac:dyDescent="0.2">
      <c r="A773" s="16">
        <v>46376</v>
      </c>
      <c r="B773" t="s">
        <v>341</v>
      </c>
    </row>
    <row r="774" spans="1:2" x14ac:dyDescent="0.2">
      <c r="A774" s="16">
        <v>46376</v>
      </c>
      <c r="B774" t="s">
        <v>355</v>
      </c>
    </row>
    <row r="775" spans="1:2" x14ac:dyDescent="0.2">
      <c r="A775" s="16">
        <v>46376</v>
      </c>
      <c r="B775" t="s">
        <v>345</v>
      </c>
    </row>
    <row r="776" spans="1:2" x14ac:dyDescent="0.2">
      <c r="A776" s="16">
        <v>46376</v>
      </c>
      <c r="B776" t="s">
        <v>348</v>
      </c>
    </row>
    <row r="777" spans="1:2" x14ac:dyDescent="0.2">
      <c r="A777" s="16">
        <v>46376</v>
      </c>
      <c r="B777" t="s">
        <v>366</v>
      </c>
    </row>
    <row r="778" spans="1:2" x14ac:dyDescent="0.2">
      <c r="A778" s="16">
        <v>46376</v>
      </c>
      <c r="B778" t="s">
        <v>373</v>
      </c>
    </row>
    <row r="779" spans="1:2" x14ac:dyDescent="0.2">
      <c r="A779" s="16">
        <v>46376</v>
      </c>
      <c r="B779" t="s">
        <v>396</v>
      </c>
    </row>
    <row r="780" spans="1:2" x14ac:dyDescent="0.2">
      <c r="A780" s="16">
        <v>46376</v>
      </c>
      <c r="B780" t="s">
        <v>329</v>
      </c>
    </row>
    <row r="781" spans="1:2" x14ac:dyDescent="0.2">
      <c r="A781" s="16">
        <v>46376</v>
      </c>
      <c r="B781" t="s">
        <v>369</v>
      </c>
    </row>
    <row r="782" spans="1:2" x14ac:dyDescent="0.2">
      <c r="A782" s="16">
        <v>46376</v>
      </c>
      <c r="B782" t="s">
        <v>364</v>
      </c>
    </row>
    <row r="783" spans="1:2" x14ac:dyDescent="0.2">
      <c r="A783" s="16">
        <v>46376</v>
      </c>
      <c r="B783" t="s">
        <v>325</v>
      </c>
    </row>
    <row r="784" spans="1:2" x14ac:dyDescent="0.2">
      <c r="A784" s="16">
        <v>46376</v>
      </c>
      <c r="B784" t="s">
        <v>346</v>
      </c>
    </row>
    <row r="785" spans="1:2" x14ac:dyDescent="0.2">
      <c r="A785" s="16">
        <v>46376</v>
      </c>
      <c r="B785" t="s">
        <v>385</v>
      </c>
    </row>
    <row r="786" spans="1:2" x14ac:dyDescent="0.2">
      <c r="A786" s="16">
        <v>46376</v>
      </c>
      <c r="B786" t="s">
        <v>351</v>
      </c>
    </row>
    <row r="787" spans="1:2" x14ac:dyDescent="0.2">
      <c r="A787" s="16">
        <v>46376</v>
      </c>
      <c r="B787" t="s">
        <v>353</v>
      </c>
    </row>
    <row r="788" spans="1:2" x14ac:dyDescent="0.2">
      <c r="A788" s="16">
        <v>46376</v>
      </c>
      <c r="B788" t="s">
        <v>362</v>
      </c>
    </row>
    <row r="789" spans="1:2" x14ac:dyDescent="0.2">
      <c r="A789" s="16">
        <v>46376</v>
      </c>
      <c r="B789" t="s">
        <v>368</v>
      </c>
    </row>
    <row r="790" spans="1:2" x14ac:dyDescent="0.2">
      <c r="A790" s="16">
        <v>46377</v>
      </c>
      <c r="B790" t="s">
        <v>379</v>
      </c>
    </row>
    <row r="791" spans="1:2" x14ac:dyDescent="0.2">
      <c r="A791" s="16">
        <v>46377</v>
      </c>
      <c r="B791" t="s">
        <v>378</v>
      </c>
    </row>
    <row r="792" spans="1:2" x14ac:dyDescent="0.2">
      <c r="A792" s="16">
        <v>46377</v>
      </c>
      <c r="B792" t="s">
        <v>370</v>
      </c>
    </row>
    <row r="793" spans="1:2" x14ac:dyDescent="0.2">
      <c r="A793" s="16">
        <v>46377</v>
      </c>
      <c r="B793" t="s">
        <v>341</v>
      </c>
    </row>
    <row r="794" spans="1:2" x14ac:dyDescent="0.2">
      <c r="A794" s="16">
        <v>46377</v>
      </c>
      <c r="B794" t="s">
        <v>339</v>
      </c>
    </row>
    <row r="795" spans="1:2" x14ac:dyDescent="0.2">
      <c r="A795" s="16">
        <v>46377</v>
      </c>
      <c r="B795" t="s">
        <v>366</v>
      </c>
    </row>
    <row r="796" spans="1:2" x14ac:dyDescent="0.2">
      <c r="A796" s="16">
        <v>46377</v>
      </c>
      <c r="B796" t="s">
        <v>373</v>
      </c>
    </row>
    <row r="797" spans="1:2" x14ac:dyDescent="0.2">
      <c r="A797" s="16">
        <v>46377</v>
      </c>
      <c r="B797" t="s">
        <v>332</v>
      </c>
    </row>
    <row r="798" spans="1:2" x14ac:dyDescent="0.2">
      <c r="A798" s="16">
        <v>46377</v>
      </c>
      <c r="B798" t="s">
        <v>396</v>
      </c>
    </row>
    <row r="799" spans="1:2" x14ac:dyDescent="0.2">
      <c r="A799" s="16">
        <v>46377</v>
      </c>
      <c r="B799" t="s">
        <v>329</v>
      </c>
    </row>
    <row r="800" spans="1:2" x14ac:dyDescent="0.2">
      <c r="A800" s="16">
        <v>46377</v>
      </c>
      <c r="B800" t="s">
        <v>369</v>
      </c>
    </row>
    <row r="801" spans="1:2" x14ac:dyDescent="0.2">
      <c r="A801" s="16">
        <v>46377</v>
      </c>
      <c r="B801" t="s">
        <v>334</v>
      </c>
    </row>
    <row r="802" spans="1:2" x14ac:dyDescent="0.2">
      <c r="A802" s="16">
        <v>46377</v>
      </c>
      <c r="B802" t="s">
        <v>364</v>
      </c>
    </row>
    <row r="803" spans="1:2" x14ac:dyDescent="0.2">
      <c r="A803" s="16">
        <v>46377</v>
      </c>
      <c r="B803" t="s">
        <v>342</v>
      </c>
    </row>
    <row r="804" spans="1:2" x14ac:dyDescent="0.2">
      <c r="A804" s="16">
        <v>46377</v>
      </c>
      <c r="B804" t="s">
        <v>358</v>
      </c>
    </row>
    <row r="805" spans="1:2" x14ac:dyDescent="0.2">
      <c r="A805" s="16">
        <v>46377</v>
      </c>
      <c r="B805" t="s">
        <v>343</v>
      </c>
    </row>
    <row r="806" spans="1:2" x14ac:dyDescent="0.2">
      <c r="A806" s="16">
        <v>46377</v>
      </c>
      <c r="B806" t="s">
        <v>346</v>
      </c>
    </row>
    <row r="807" spans="1:2" x14ac:dyDescent="0.2">
      <c r="A807" s="16">
        <v>46377</v>
      </c>
      <c r="B807" t="s">
        <v>361</v>
      </c>
    </row>
    <row r="808" spans="1:2" x14ac:dyDescent="0.2">
      <c r="A808" s="16">
        <v>46377</v>
      </c>
      <c r="B808" t="s">
        <v>385</v>
      </c>
    </row>
    <row r="809" spans="1:2" x14ac:dyDescent="0.2">
      <c r="A809" s="16">
        <v>46377</v>
      </c>
      <c r="B809" t="s">
        <v>351</v>
      </c>
    </row>
    <row r="810" spans="1:2" x14ac:dyDescent="0.2">
      <c r="A810" s="16">
        <v>46378</v>
      </c>
      <c r="B810" t="s">
        <v>357</v>
      </c>
    </row>
    <row r="811" spans="1:2" x14ac:dyDescent="0.2">
      <c r="A811" s="16">
        <v>46378</v>
      </c>
      <c r="B811" t="s">
        <v>355</v>
      </c>
    </row>
    <row r="812" spans="1:2" x14ac:dyDescent="0.2">
      <c r="A812" s="16">
        <v>46378</v>
      </c>
      <c r="B812" t="s">
        <v>345</v>
      </c>
    </row>
    <row r="813" spans="1:2" x14ac:dyDescent="0.2">
      <c r="A813" s="16">
        <v>46378</v>
      </c>
      <c r="B813" t="s">
        <v>325</v>
      </c>
    </row>
    <row r="814" spans="1:2" x14ac:dyDescent="0.2">
      <c r="A814" s="16">
        <v>46378</v>
      </c>
      <c r="B814" t="s">
        <v>353</v>
      </c>
    </row>
    <row r="815" spans="1:2" x14ac:dyDescent="0.2">
      <c r="A815" s="16">
        <v>46378</v>
      </c>
      <c r="B815" t="s">
        <v>368</v>
      </c>
    </row>
    <row r="816" spans="1:2" x14ac:dyDescent="0.2">
      <c r="A816" s="16">
        <v>46379</v>
      </c>
      <c r="B816" t="s">
        <v>377</v>
      </c>
    </row>
    <row r="817" spans="1:2" x14ac:dyDescent="0.2">
      <c r="A817" s="16">
        <v>46379</v>
      </c>
      <c r="B817" t="s">
        <v>379</v>
      </c>
    </row>
    <row r="818" spans="1:2" x14ac:dyDescent="0.2">
      <c r="A818" s="16">
        <v>46379</v>
      </c>
      <c r="B818" t="s">
        <v>337</v>
      </c>
    </row>
    <row r="819" spans="1:2" x14ac:dyDescent="0.2">
      <c r="A819" s="16">
        <v>46379</v>
      </c>
      <c r="B819" t="s">
        <v>378</v>
      </c>
    </row>
    <row r="820" spans="1:2" x14ac:dyDescent="0.2">
      <c r="A820" s="16">
        <v>46379</v>
      </c>
      <c r="B820" t="s">
        <v>370</v>
      </c>
    </row>
    <row r="821" spans="1:2" x14ac:dyDescent="0.2">
      <c r="A821" s="16">
        <v>46379</v>
      </c>
      <c r="B821" t="s">
        <v>341</v>
      </c>
    </row>
    <row r="822" spans="1:2" x14ac:dyDescent="0.2">
      <c r="A822" s="16">
        <v>46379</v>
      </c>
      <c r="B822" t="s">
        <v>357</v>
      </c>
    </row>
    <row r="823" spans="1:2" x14ac:dyDescent="0.2">
      <c r="A823" s="16">
        <v>46379</v>
      </c>
      <c r="B823" t="s">
        <v>339</v>
      </c>
    </row>
    <row r="824" spans="1:2" x14ac:dyDescent="0.2">
      <c r="A824" s="16">
        <v>46379</v>
      </c>
      <c r="B824" t="s">
        <v>355</v>
      </c>
    </row>
    <row r="825" spans="1:2" x14ac:dyDescent="0.2">
      <c r="A825" s="16">
        <v>46379</v>
      </c>
      <c r="B825" t="s">
        <v>345</v>
      </c>
    </row>
    <row r="826" spans="1:2" x14ac:dyDescent="0.2">
      <c r="A826" s="16">
        <v>46379</v>
      </c>
      <c r="B826" t="s">
        <v>348</v>
      </c>
    </row>
    <row r="827" spans="1:2" x14ac:dyDescent="0.2">
      <c r="A827" s="16">
        <v>46379</v>
      </c>
      <c r="B827" t="s">
        <v>366</v>
      </c>
    </row>
    <row r="828" spans="1:2" x14ac:dyDescent="0.2">
      <c r="A828" s="16">
        <v>46379</v>
      </c>
      <c r="B828" t="s">
        <v>373</v>
      </c>
    </row>
    <row r="829" spans="1:2" x14ac:dyDescent="0.2">
      <c r="A829" s="16">
        <v>46379</v>
      </c>
      <c r="B829" t="s">
        <v>332</v>
      </c>
    </row>
    <row r="830" spans="1:2" x14ac:dyDescent="0.2">
      <c r="A830" s="16">
        <v>46379</v>
      </c>
      <c r="B830" t="s">
        <v>396</v>
      </c>
    </row>
    <row r="831" spans="1:2" x14ac:dyDescent="0.2">
      <c r="A831" s="16">
        <v>46379</v>
      </c>
      <c r="B831" t="s">
        <v>329</v>
      </c>
    </row>
    <row r="832" spans="1:2" x14ac:dyDescent="0.2">
      <c r="A832" s="16">
        <v>46379</v>
      </c>
      <c r="B832" t="s">
        <v>369</v>
      </c>
    </row>
    <row r="833" spans="1:2" x14ac:dyDescent="0.2">
      <c r="A833" s="16">
        <v>46379</v>
      </c>
      <c r="B833" t="s">
        <v>334</v>
      </c>
    </row>
    <row r="834" spans="1:2" x14ac:dyDescent="0.2">
      <c r="A834" s="16">
        <v>46379</v>
      </c>
      <c r="B834" t="s">
        <v>364</v>
      </c>
    </row>
    <row r="835" spans="1:2" x14ac:dyDescent="0.2">
      <c r="A835" s="16">
        <v>46379</v>
      </c>
      <c r="B835" t="s">
        <v>342</v>
      </c>
    </row>
    <row r="836" spans="1:2" x14ac:dyDescent="0.2">
      <c r="A836" s="16">
        <v>46379</v>
      </c>
      <c r="B836" t="s">
        <v>325</v>
      </c>
    </row>
    <row r="837" spans="1:2" x14ac:dyDescent="0.2">
      <c r="A837" s="16">
        <v>46379</v>
      </c>
      <c r="B837" t="s">
        <v>358</v>
      </c>
    </row>
    <row r="838" spans="1:2" x14ac:dyDescent="0.2">
      <c r="A838" s="16">
        <v>46379</v>
      </c>
      <c r="B838" t="s">
        <v>343</v>
      </c>
    </row>
    <row r="839" spans="1:2" x14ac:dyDescent="0.2">
      <c r="A839" s="16">
        <v>46379</v>
      </c>
      <c r="B839" t="s">
        <v>346</v>
      </c>
    </row>
    <row r="840" spans="1:2" x14ac:dyDescent="0.2">
      <c r="A840" s="16">
        <v>46379</v>
      </c>
      <c r="B840" t="s">
        <v>361</v>
      </c>
    </row>
    <row r="841" spans="1:2" x14ac:dyDescent="0.2">
      <c r="A841" s="16">
        <v>46379</v>
      </c>
      <c r="B841" t="s">
        <v>385</v>
      </c>
    </row>
    <row r="842" spans="1:2" x14ac:dyDescent="0.2">
      <c r="A842" s="16">
        <v>46379</v>
      </c>
      <c r="B842" t="s">
        <v>351</v>
      </c>
    </row>
    <row r="843" spans="1:2" x14ac:dyDescent="0.2">
      <c r="A843" s="16">
        <v>46379</v>
      </c>
      <c r="B843" t="s">
        <v>353</v>
      </c>
    </row>
    <row r="844" spans="1:2" x14ac:dyDescent="0.2">
      <c r="A844" s="16">
        <v>46379</v>
      </c>
      <c r="B844" t="s">
        <v>362</v>
      </c>
    </row>
    <row r="845" spans="1:2" x14ac:dyDescent="0.2">
      <c r="A845" s="16">
        <v>46379</v>
      </c>
      <c r="B845" t="s">
        <v>368</v>
      </c>
    </row>
    <row r="846" spans="1:2" x14ac:dyDescent="0.2">
      <c r="A846" s="16">
        <v>46381</v>
      </c>
      <c r="B846" t="s">
        <v>337</v>
      </c>
    </row>
    <row r="847" spans="1:2" x14ac:dyDescent="0.2">
      <c r="A847" s="16">
        <v>46381</v>
      </c>
      <c r="B847" t="s">
        <v>339</v>
      </c>
    </row>
    <row r="848" spans="1:2" x14ac:dyDescent="0.2">
      <c r="A848" s="16">
        <v>46381</v>
      </c>
      <c r="B848" t="s">
        <v>345</v>
      </c>
    </row>
    <row r="849" spans="1:2" x14ac:dyDescent="0.2">
      <c r="A849" s="16">
        <v>46381</v>
      </c>
      <c r="B849" t="s">
        <v>332</v>
      </c>
    </row>
    <row r="850" spans="1:2" x14ac:dyDescent="0.2">
      <c r="A850" s="16">
        <v>46381</v>
      </c>
      <c r="B850" t="s">
        <v>329</v>
      </c>
    </row>
    <row r="851" spans="1:2" x14ac:dyDescent="0.2">
      <c r="A851" s="16">
        <v>46381</v>
      </c>
      <c r="B851" t="s">
        <v>334</v>
      </c>
    </row>
    <row r="852" spans="1:2" x14ac:dyDescent="0.2">
      <c r="A852" s="16">
        <v>46381</v>
      </c>
      <c r="B852" t="s">
        <v>342</v>
      </c>
    </row>
    <row r="853" spans="1:2" x14ac:dyDescent="0.2">
      <c r="A853" s="16">
        <v>46381</v>
      </c>
      <c r="B853" t="s">
        <v>325</v>
      </c>
    </row>
    <row r="854" spans="1:2" x14ac:dyDescent="0.2">
      <c r="A854" s="16">
        <v>46381</v>
      </c>
      <c r="B854" t="s">
        <v>343</v>
      </c>
    </row>
    <row r="855" spans="1:2" x14ac:dyDescent="0.2">
      <c r="A855" s="16">
        <v>46381</v>
      </c>
      <c r="B855" t="s">
        <v>351</v>
      </c>
    </row>
    <row r="856" spans="1:2" x14ac:dyDescent="0.2">
      <c r="A856" s="16">
        <v>46382</v>
      </c>
      <c r="B856" t="s">
        <v>377</v>
      </c>
    </row>
    <row r="857" spans="1:2" x14ac:dyDescent="0.2">
      <c r="A857" s="16">
        <v>46382</v>
      </c>
      <c r="B857" t="s">
        <v>379</v>
      </c>
    </row>
    <row r="858" spans="1:2" x14ac:dyDescent="0.2">
      <c r="A858" s="16">
        <v>46382</v>
      </c>
      <c r="B858" t="s">
        <v>378</v>
      </c>
    </row>
    <row r="859" spans="1:2" x14ac:dyDescent="0.2">
      <c r="A859" s="16">
        <v>46382</v>
      </c>
      <c r="B859" t="s">
        <v>370</v>
      </c>
    </row>
    <row r="860" spans="1:2" x14ac:dyDescent="0.2">
      <c r="A860" s="16">
        <v>46382</v>
      </c>
      <c r="B860" t="s">
        <v>357</v>
      </c>
    </row>
    <row r="861" spans="1:2" x14ac:dyDescent="0.2">
      <c r="A861" s="16">
        <v>46382</v>
      </c>
      <c r="B861" t="s">
        <v>355</v>
      </c>
    </row>
    <row r="862" spans="1:2" x14ac:dyDescent="0.2">
      <c r="A862" s="16">
        <v>46382</v>
      </c>
      <c r="B862" t="s">
        <v>366</v>
      </c>
    </row>
    <row r="863" spans="1:2" x14ac:dyDescent="0.2">
      <c r="A863" s="16">
        <v>46382</v>
      </c>
      <c r="B863" t="s">
        <v>373</v>
      </c>
    </row>
    <row r="864" spans="1:2" x14ac:dyDescent="0.2">
      <c r="A864" s="16">
        <v>46382</v>
      </c>
      <c r="B864" t="s">
        <v>396</v>
      </c>
    </row>
    <row r="865" spans="1:2" x14ac:dyDescent="0.2">
      <c r="A865" s="16">
        <v>46382</v>
      </c>
      <c r="B865" t="s">
        <v>364</v>
      </c>
    </row>
    <row r="866" spans="1:2" x14ac:dyDescent="0.2">
      <c r="A866" s="16">
        <v>46382</v>
      </c>
      <c r="B866" t="s">
        <v>358</v>
      </c>
    </row>
    <row r="867" spans="1:2" x14ac:dyDescent="0.2">
      <c r="A867" s="16">
        <v>46382</v>
      </c>
      <c r="B867" t="s">
        <v>346</v>
      </c>
    </row>
    <row r="868" spans="1:2" x14ac:dyDescent="0.2">
      <c r="A868" s="16">
        <v>46382</v>
      </c>
      <c r="B868" t="s">
        <v>361</v>
      </c>
    </row>
    <row r="869" spans="1:2" x14ac:dyDescent="0.2">
      <c r="A869" s="16">
        <v>46382</v>
      </c>
      <c r="B869" t="s">
        <v>353</v>
      </c>
    </row>
    <row r="870" spans="1:2" x14ac:dyDescent="0.2">
      <c r="A870" s="16">
        <v>46382</v>
      </c>
      <c r="B870" t="s">
        <v>362</v>
      </c>
    </row>
    <row r="871" spans="1:2" x14ac:dyDescent="0.2">
      <c r="A871" s="16">
        <v>46382</v>
      </c>
      <c r="B871" t="s">
        <v>368</v>
      </c>
    </row>
    <row r="872" spans="1:2" x14ac:dyDescent="0.2">
      <c r="A872" s="16">
        <v>46383</v>
      </c>
      <c r="B872" t="s">
        <v>377</v>
      </c>
    </row>
    <row r="873" spans="1:2" x14ac:dyDescent="0.2">
      <c r="A873" s="16">
        <v>46383</v>
      </c>
      <c r="B873" t="s">
        <v>379</v>
      </c>
    </row>
    <row r="874" spans="1:2" x14ac:dyDescent="0.2">
      <c r="A874" s="16">
        <v>46383</v>
      </c>
      <c r="B874" t="s">
        <v>378</v>
      </c>
    </row>
    <row r="875" spans="1:2" x14ac:dyDescent="0.2">
      <c r="A875" s="16">
        <v>46383</v>
      </c>
      <c r="B875" t="s">
        <v>341</v>
      </c>
    </row>
    <row r="876" spans="1:2" x14ac:dyDescent="0.2">
      <c r="A876" s="16">
        <v>46383</v>
      </c>
      <c r="B876" t="s">
        <v>339</v>
      </c>
    </row>
    <row r="877" spans="1:2" x14ac:dyDescent="0.2">
      <c r="A877" s="16">
        <v>46383</v>
      </c>
      <c r="B877" t="s">
        <v>355</v>
      </c>
    </row>
    <row r="878" spans="1:2" x14ac:dyDescent="0.2">
      <c r="A878" s="16">
        <v>46383</v>
      </c>
      <c r="B878" t="s">
        <v>345</v>
      </c>
    </row>
    <row r="879" spans="1:2" x14ac:dyDescent="0.2">
      <c r="A879" s="16">
        <v>46383</v>
      </c>
      <c r="B879" t="s">
        <v>348</v>
      </c>
    </row>
    <row r="880" spans="1:2" x14ac:dyDescent="0.2">
      <c r="A880" s="16">
        <v>46383</v>
      </c>
      <c r="B880" t="s">
        <v>366</v>
      </c>
    </row>
    <row r="881" spans="1:2" x14ac:dyDescent="0.2">
      <c r="A881" s="16">
        <v>46383</v>
      </c>
      <c r="B881" t="s">
        <v>373</v>
      </c>
    </row>
    <row r="882" spans="1:2" x14ac:dyDescent="0.2">
      <c r="A882" s="16">
        <v>46383</v>
      </c>
      <c r="B882" t="s">
        <v>332</v>
      </c>
    </row>
    <row r="883" spans="1:2" x14ac:dyDescent="0.2">
      <c r="A883" s="16">
        <v>46383</v>
      </c>
      <c r="B883" t="s">
        <v>396</v>
      </c>
    </row>
    <row r="884" spans="1:2" x14ac:dyDescent="0.2">
      <c r="A884" s="16">
        <v>46383</v>
      </c>
      <c r="B884" t="s">
        <v>329</v>
      </c>
    </row>
    <row r="885" spans="1:2" x14ac:dyDescent="0.2">
      <c r="A885" s="16">
        <v>46383</v>
      </c>
      <c r="B885" t="s">
        <v>369</v>
      </c>
    </row>
    <row r="886" spans="1:2" x14ac:dyDescent="0.2">
      <c r="A886" s="16">
        <v>46383</v>
      </c>
      <c r="B886" t="s">
        <v>334</v>
      </c>
    </row>
    <row r="887" spans="1:2" x14ac:dyDescent="0.2">
      <c r="A887" s="16">
        <v>46383</v>
      </c>
      <c r="B887" t="s">
        <v>342</v>
      </c>
    </row>
    <row r="888" spans="1:2" x14ac:dyDescent="0.2">
      <c r="A888" s="16">
        <v>46383</v>
      </c>
      <c r="B888" t="s">
        <v>325</v>
      </c>
    </row>
    <row r="889" spans="1:2" x14ac:dyDescent="0.2">
      <c r="A889" s="16">
        <v>46383</v>
      </c>
      <c r="B889" t="s">
        <v>358</v>
      </c>
    </row>
    <row r="890" spans="1:2" x14ac:dyDescent="0.2">
      <c r="A890" s="16">
        <v>46383</v>
      </c>
      <c r="B890" t="s">
        <v>343</v>
      </c>
    </row>
    <row r="891" spans="1:2" x14ac:dyDescent="0.2">
      <c r="A891" s="16">
        <v>46383</v>
      </c>
      <c r="B891" t="s">
        <v>361</v>
      </c>
    </row>
    <row r="892" spans="1:2" x14ac:dyDescent="0.2">
      <c r="A892" s="16">
        <v>46383</v>
      </c>
      <c r="B892" t="s">
        <v>385</v>
      </c>
    </row>
    <row r="893" spans="1:2" x14ac:dyDescent="0.2">
      <c r="A893" s="16">
        <v>46383</v>
      </c>
      <c r="B893" t="s">
        <v>351</v>
      </c>
    </row>
    <row r="894" spans="1:2" x14ac:dyDescent="0.2">
      <c r="A894" s="16">
        <v>46383</v>
      </c>
      <c r="B894" t="s">
        <v>362</v>
      </c>
    </row>
    <row r="895" spans="1:2" x14ac:dyDescent="0.2">
      <c r="A895" s="16">
        <v>46383</v>
      </c>
      <c r="B895" t="s">
        <v>368</v>
      </c>
    </row>
    <row r="896" spans="1:2" x14ac:dyDescent="0.2">
      <c r="A896" s="16">
        <v>46384</v>
      </c>
      <c r="B896" t="s">
        <v>337</v>
      </c>
    </row>
    <row r="897" spans="1:2" x14ac:dyDescent="0.2">
      <c r="A897" s="16">
        <v>46384</v>
      </c>
      <c r="B897" t="s">
        <v>341</v>
      </c>
    </row>
    <row r="898" spans="1:2" x14ac:dyDescent="0.2">
      <c r="A898" s="16">
        <v>46384</v>
      </c>
      <c r="B898" t="s">
        <v>339</v>
      </c>
    </row>
    <row r="899" spans="1:2" x14ac:dyDescent="0.2">
      <c r="A899" s="16">
        <v>46384</v>
      </c>
      <c r="B899" t="s">
        <v>345</v>
      </c>
    </row>
    <row r="900" spans="1:2" x14ac:dyDescent="0.2">
      <c r="A900" s="16">
        <v>46384</v>
      </c>
      <c r="B900" t="s">
        <v>334</v>
      </c>
    </row>
    <row r="901" spans="1:2" x14ac:dyDescent="0.2">
      <c r="A901" s="16">
        <v>46384</v>
      </c>
      <c r="B901" t="s">
        <v>364</v>
      </c>
    </row>
    <row r="902" spans="1:2" x14ac:dyDescent="0.2">
      <c r="A902" s="16">
        <v>46384</v>
      </c>
      <c r="B902" t="s">
        <v>346</v>
      </c>
    </row>
    <row r="903" spans="1:2" x14ac:dyDescent="0.2">
      <c r="A903" s="16">
        <v>46384</v>
      </c>
      <c r="B903" t="s">
        <v>353</v>
      </c>
    </row>
    <row r="904" spans="1:2" x14ac:dyDescent="0.2">
      <c r="A904" s="16">
        <v>46385</v>
      </c>
      <c r="B904" t="s">
        <v>377</v>
      </c>
    </row>
    <row r="905" spans="1:2" x14ac:dyDescent="0.2">
      <c r="A905" s="16">
        <v>46385</v>
      </c>
      <c r="B905" t="s">
        <v>379</v>
      </c>
    </row>
    <row r="906" spans="1:2" x14ac:dyDescent="0.2">
      <c r="A906" s="16">
        <v>46385</v>
      </c>
      <c r="B906" t="s">
        <v>378</v>
      </c>
    </row>
    <row r="907" spans="1:2" x14ac:dyDescent="0.2">
      <c r="A907" s="16">
        <v>46385</v>
      </c>
      <c r="B907" t="s">
        <v>370</v>
      </c>
    </row>
    <row r="908" spans="1:2" x14ac:dyDescent="0.2">
      <c r="A908" s="16">
        <v>46385</v>
      </c>
      <c r="B908" t="s">
        <v>357</v>
      </c>
    </row>
    <row r="909" spans="1:2" x14ac:dyDescent="0.2">
      <c r="A909" s="16">
        <v>46385</v>
      </c>
      <c r="B909" t="s">
        <v>348</v>
      </c>
    </row>
    <row r="910" spans="1:2" x14ac:dyDescent="0.2">
      <c r="A910" s="16">
        <v>46385</v>
      </c>
      <c r="B910" t="s">
        <v>366</v>
      </c>
    </row>
    <row r="911" spans="1:2" x14ac:dyDescent="0.2">
      <c r="A911" s="16">
        <v>46385</v>
      </c>
      <c r="B911" t="s">
        <v>373</v>
      </c>
    </row>
    <row r="912" spans="1:2" x14ac:dyDescent="0.2">
      <c r="A912" s="16">
        <v>46385</v>
      </c>
      <c r="B912" t="s">
        <v>332</v>
      </c>
    </row>
    <row r="913" spans="1:2" x14ac:dyDescent="0.2">
      <c r="A913" s="16">
        <v>46385</v>
      </c>
      <c r="B913" t="s">
        <v>396</v>
      </c>
    </row>
    <row r="914" spans="1:2" x14ac:dyDescent="0.2">
      <c r="A914" s="16">
        <v>46385</v>
      </c>
      <c r="B914" t="s">
        <v>329</v>
      </c>
    </row>
    <row r="915" spans="1:2" x14ac:dyDescent="0.2">
      <c r="A915" s="16">
        <v>46385</v>
      </c>
      <c r="B915" t="s">
        <v>369</v>
      </c>
    </row>
    <row r="916" spans="1:2" x14ac:dyDescent="0.2">
      <c r="A916" s="16">
        <v>46385</v>
      </c>
      <c r="B916" t="s">
        <v>325</v>
      </c>
    </row>
    <row r="917" spans="1:2" x14ac:dyDescent="0.2">
      <c r="A917" s="16">
        <v>46385</v>
      </c>
      <c r="B917" t="s">
        <v>358</v>
      </c>
    </row>
    <row r="918" spans="1:2" x14ac:dyDescent="0.2">
      <c r="A918" s="16">
        <v>46385</v>
      </c>
      <c r="B918" t="s">
        <v>343</v>
      </c>
    </row>
    <row r="919" spans="1:2" x14ac:dyDescent="0.2">
      <c r="A919" s="16">
        <v>46385</v>
      </c>
      <c r="B919" t="s">
        <v>361</v>
      </c>
    </row>
    <row r="920" spans="1:2" x14ac:dyDescent="0.2">
      <c r="A920" s="16">
        <v>46385</v>
      </c>
      <c r="B920" t="s">
        <v>385</v>
      </c>
    </row>
    <row r="921" spans="1:2" x14ac:dyDescent="0.2">
      <c r="A921" s="16">
        <v>46385</v>
      </c>
      <c r="B921" t="s">
        <v>351</v>
      </c>
    </row>
    <row r="922" spans="1:2" x14ac:dyDescent="0.2">
      <c r="A922" s="16">
        <v>46386</v>
      </c>
      <c r="B922" t="s">
        <v>337</v>
      </c>
    </row>
    <row r="923" spans="1:2" x14ac:dyDescent="0.2">
      <c r="A923" s="16">
        <v>46386</v>
      </c>
      <c r="B923" t="s">
        <v>370</v>
      </c>
    </row>
    <row r="924" spans="1:2" x14ac:dyDescent="0.2">
      <c r="A924" s="16">
        <v>46386</v>
      </c>
      <c r="B924" t="s">
        <v>355</v>
      </c>
    </row>
    <row r="925" spans="1:2" x14ac:dyDescent="0.2">
      <c r="A925" s="16">
        <v>46386</v>
      </c>
      <c r="B925" t="s">
        <v>345</v>
      </c>
    </row>
    <row r="926" spans="1:2" x14ac:dyDescent="0.2">
      <c r="A926" s="16">
        <v>46386</v>
      </c>
      <c r="B926" t="s">
        <v>348</v>
      </c>
    </row>
    <row r="927" spans="1:2" x14ac:dyDescent="0.2">
      <c r="A927" s="16">
        <v>46386</v>
      </c>
      <c r="B927" t="s">
        <v>364</v>
      </c>
    </row>
    <row r="928" spans="1:2" x14ac:dyDescent="0.2">
      <c r="A928" s="16">
        <v>46386</v>
      </c>
      <c r="B928" t="s">
        <v>342</v>
      </c>
    </row>
    <row r="929" spans="1:2" x14ac:dyDescent="0.2">
      <c r="A929" s="16">
        <v>46386</v>
      </c>
      <c r="B929" t="s">
        <v>343</v>
      </c>
    </row>
    <row r="930" spans="1:2" x14ac:dyDescent="0.2">
      <c r="A930" s="16">
        <v>46386</v>
      </c>
      <c r="B930" t="s">
        <v>346</v>
      </c>
    </row>
    <row r="931" spans="1:2" x14ac:dyDescent="0.2">
      <c r="A931" s="16">
        <v>46386</v>
      </c>
      <c r="B931" t="s">
        <v>353</v>
      </c>
    </row>
    <row r="932" spans="1:2" x14ac:dyDescent="0.2">
      <c r="A932" s="16">
        <v>46386</v>
      </c>
      <c r="B932" t="s">
        <v>362</v>
      </c>
    </row>
    <row r="933" spans="1:2" x14ac:dyDescent="0.2">
      <c r="A933" s="16">
        <v>46386</v>
      </c>
      <c r="B933" t="s">
        <v>368</v>
      </c>
    </row>
    <row r="934" spans="1:2" x14ac:dyDescent="0.2">
      <c r="A934" s="16">
        <v>46387</v>
      </c>
      <c r="B934" t="s">
        <v>377</v>
      </c>
    </row>
    <row r="935" spans="1:2" x14ac:dyDescent="0.2">
      <c r="A935" s="16">
        <v>46387</v>
      </c>
      <c r="B935" t="s">
        <v>379</v>
      </c>
    </row>
    <row r="936" spans="1:2" x14ac:dyDescent="0.2">
      <c r="A936" s="16">
        <v>46387</v>
      </c>
      <c r="B936" t="s">
        <v>378</v>
      </c>
    </row>
    <row r="937" spans="1:2" x14ac:dyDescent="0.2">
      <c r="A937" s="16">
        <v>46387</v>
      </c>
      <c r="B937" t="s">
        <v>341</v>
      </c>
    </row>
    <row r="938" spans="1:2" x14ac:dyDescent="0.2">
      <c r="A938" s="16">
        <v>46387</v>
      </c>
      <c r="B938" t="s">
        <v>339</v>
      </c>
    </row>
    <row r="939" spans="1:2" x14ac:dyDescent="0.2">
      <c r="A939" s="16">
        <v>46387</v>
      </c>
      <c r="B939" t="s">
        <v>366</v>
      </c>
    </row>
    <row r="940" spans="1:2" x14ac:dyDescent="0.2">
      <c r="A940" s="16">
        <v>46387</v>
      </c>
      <c r="B940" t="s">
        <v>373</v>
      </c>
    </row>
    <row r="941" spans="1:2" x14ac:dyDescent="0.2">
      <c r="A941" s="16">
        <v>46387</v>
      </c>
      <c r="B941" t="s">
        <v>332</v>
      </c>
    </row>
    <row r="942" spans="1:2" x14ac:dyDescent="0.2">
      <c r="A942" s="16">
        <v>46387</v>
      </c>
      <c r="B942" t="s">
        <v>329</v>
      </c>
    </row>
    <row r="943" spans="1:2" x14ac:dyDescent="0.2">
      <c r="A943" s="16">
        <v>46387</v>
      </c>
      <c r="B943" t="s">
        <v>369</v>
      </c>
    </row>
    <row r="944" spans="1:2" x14ac:dyDescent="0.2">
      <c r="A944" s="16">
        <v>46387</v>
      </c>
      <c r="B944" t="s">
        <v>334</v>
      </c>
    </row>
    <row r="945" spans="1:2" x14ac:dyDescent="0.2">
      <c r="A945" s="16">
        <v>46387</v>
      </c>
      <c r="B945" t="s">
        <v>364</v>
      </c>
    </row>
    <row r="946" spans="1:2" x14ac:dyDescent="0.2">
      <c r="A946" s="16">
        <v>46387</v>
      </c>
      <c r="B946" t="s">
        <v>342</v>
      </c>
    </row>
    <row r="947" spans="1:2" x14ac:dyDescent="0.2">
      <c r="A947" s="16">
        <v>46387</v>
      </c>
      <c r="B947" t="s">
        <v>325</v>
      </c>
    </row>
    <row r="948" spans="1:2" x14ac:dyDescent="0.2">
      <c r="A948" s="16">
        <v>46387</v>
      </c>
      <c r="B948" t="s">
        <v>358</v>
      </c>
    </row>
    <row r="949" spans="1:2" x14ac:dyDescent="0.2">
      <c r="A949" s="16">
        <v>46387</v>
      </c>
      <c r="B949" t="s">
        <v>346</v>
      </c>
    </row>
    <row r="950" spans="1:2" x14ac:dyDescent="0.2">
      <c r="A950" s="16">
        <v>46387</v>
      </c>
      <c r="B950" t="s">
        <v>385</v>
      </c>
    </row>
    <row r="951" spans="1:2" x14ac:dyDescent="0.2">
      <c r="A951" s="16">
        <v>46387</v>
      </c>
      <c r="B951" t="s">
        <v>351</v>
      </c>
    </row>
    <row r="952" spans="1:2" x14ac:dyDescent="0.2">
      <c r="A952" s="16">
        <v>46388</v>
      </c>
      <c r="B952" t="s">
        <v>337</v>
      </c>
    </row>
    <row r="953" spans="1:2" x14ac:dyDescent="0.2">
      <c r="A953" s="16">
        <v>46388</v>
      </c>
      <c r="B953" t="s">
        <v>357</v>
      </c>
    </row>
    <row r="954" spans="1:2" x14ac:dyDescent="0.2">
      <c r="A954" s="16">
        <v>46388</v>
      </c>
      <c r="B954" t="s">
        <v>355</v>
      </c>
    </row>
    <row r="955" spans="1:2" x14ac:dyDescent="0.2">
      <c r="A955" s="16">
        <v>46388</v>
      </c>
      <c r="B955" t="s">
        <v>348</v>
      </c>
    </row>
    <row r="956" spans="1:2" x14ac:dyDescent="0.2">
      <c r="A956" s="16">
        <v>46388</v>
      </c>
      <c r="B956" t="s">
        <v>373</v>
      </c>
    </row>
    <row r="957" spans="1:2" x14ac:dyDescent="0.2">
      <c r="A957" s="16">
        <v>46388</v>
      </c>
      <c r="B957" t="s">
        <v>369</v>
      </c>
    </row>
    <row r="958" spans="1:2" x14ac:dyDescent="0.2">
      <c r="A958" s="16">
        <v>46388</v>
      </c>
      <c r="B958" t="s">
        <v>358</v>
      </c>
    </row>
    <row r="959" spans="1:2" x14ac:dyDescent="0.2">
      <c r="A959" s="16">
        <v>46388</v>
      </c>
      <c r="B959" t="s">
        <v>343</v>
      </c>
    </row>
    <row r="960" spans="1:2" x14ac:dyDescent="0.2">
      <c r="A960" s="16">
        <v>46388</v>
      </c>
      <c r="B960" t="s">
        <v>351</v>
      </c>
    </row>
    <row r="961" spans="1:2" x14ac:dyDescent="0.2">
      <c r="A961" s="16">
        <v>46388</v>
      </c>
      <c r="B961" t="s">
        <v>353</v>
      </c>
    </row>
    <row r="962" spans="1:2" x14ac:dyDescent="0.2">
      <c r="A962" s="16">
        <v>46388</v>
      </c>
      <c r="B962" t="s">
        <v>362</v>
      </c>
    </row>
    <row r="963" spans="1:2" x14ac:dyDescent="0.2">
      <c r="A963" s="16">
        <v>46388</v>
      </c>
      <c r="B963" t="s">
        <v>368</v>
      </c>
    </row>
    <row r="964" spans="1:2" x14ac:dyDescent="0.2">
      <c r="A964" s="16">
        <v>46389</v>
      </c>
      <c r="B964" t="s">
        <v>377</v>
      </c>
    </row>
    <row r="965" spans="1:2" x14ac:dyDescent="0.2">
      <c r="A965" s="16">
        <v>46389</v>
      </c>
      <c r="B965" t="s">
        <v>379</v>
      </c>
    </row>
    <row r="966" spans="1:2" x14ac:dyDescent="0.2">
      <c r="A966" s="16">
        <v>46389</v>
      </c>
      <c r="B966" t="s">
        <v>337</v>
      </c>
    </row>
    <row r="967" spans="1:2" x14ac:dyDescent="0.2">
      <c r="A967" s="16">
        <v>46389</v>
      </c>
      <c r="B967" t="s">
        <v>378</v>
      </c>
    </row>
    <row r="968" spans="1:2" x14ac:dyDescent="0.2">
      <c r="A968" s="16">
        <v>46389</v>
      </c>
      <c r="B968" t="s">
        <v>370</v>
      </c>
    </row>
    <row r="969" spans="1:2" x14ac:dyDescent="0.2">
      <c r="A969" s="16">
        <v>46389</v>
      </c>
      <c r="B969" t="s">
        <v>341</v>
      </c>
    </row>
    <row r="970" spans="1:2" x14ac:dyDescent="0.2">
      <c r="A970" s="16">
        <v>46389</v>
      </c>
      <c r="B970" t="s">
        <v>357</v>
      </c>
    </row>
    <row r="971" spans="1:2" x14ac:dyDescent="0.2">
      <c r="A971" s="16">
        <v>46389</v>
      </c>
      <c r="B971" t="s">
        <v>339</v>
      </c>
    </row>
    <row r="972" spans="1:2" x14ac:dyDescent="0.2">
      <c r="A972" s="16">
        <v>46389</v>
      </c>
      <c r="B972" t="s">
        <v>345</v>
      </c>
    </row>
    <row r="973" spans="1:2" x14ac:dyDescent="0.2">
      <c r="A973" s="16">
        <v>46389</v>
      </c>
      <c r="B973" t="s">
        <v>366</v>
      </c>
    </row>
    <row r="974" spans="1:2" x14ac:dyDescent="0.2">
      <c r="A974" s="16">
        <v>46389</v>
      </c>
      <c r="B974" t="s">
        <v>332</v>
      </c>
    </row>
    <row r="975" spans="1:2" x14ac:dyDescent="0.2">
      <c r="A975" s="16">
        <v>46389</v>
      </c>
      <c r="B975" t="s">
        <v>329</v>
      </c>
    </row>
    <row r="976" spans="1:2" x14ac:dyDescent="0.2">
      <c r="A976" s="16">
        <v>46389</v>
      </c>
      <c r="B976" t="s">
        <v>334</v>
      </c>
    </row>
    <row r="977" spans="1:2" x14ac:dyDescent="0.2">
      <c r="A977" s="16">
        <v>46389</v>
      </c>
      <c r="B977" t="s">
        <v>364</v>
      </c>
    </row>
    <row r="978" spans="1:2" x14ac:dyDescent="0.2">
      <c r="A978" s="16">
        <v>46389</v>
      </c>
      <c r="B978" t="s">
        <v>342</v>
      </c>
    </row>
    <row r="979" spans="1:2" x14ac:dyDescent="0.2">
      <c r="A979" s="16">
        <v>46389</v>
      </c>
      <c r="B979" t="s">
        <v>325</v>
      </c>
    </row>
    <row r="980" spans="1:2" x14ac:dyDescent="0.2">
      <c r="A980" s="16">
        <v>46389</v>
      </c>
      <c r="B980" t="s">
        <v>346</v>
      </c>
    </row>
    <row r="981" spans="1:2" x14ac:dyDescent="0.2">
      <c r="A981" s="16">
        <v>46389</v>
      </c>
      <c r="B981" t="s">
        <v>361</v>
      </c>
    </row>
    <row r="982" spans="1:2" x14ac:dyDescent="0.2">
      <c r="A982" s="16">
        <v>46389</v>
      </c>
      <c r="B982" t="s">
        <v>385</v>
      </c>
    </row>
    <row r="983" spans="1:2" x14ac:dyDescent="0.2">
      <c r="A983" s="16">
        <v>46389</v>
      </c>
      <c r="B983" t="s">
        <v>362</v>
      </c>
    </row>
    <row r="984" spans="1:2" x14ac:dyDescent="0.2">
      <c r="A984" s="16">
        <v>46390</v>
      </c>
      <c r="B984" t="s">
        <v>378</v>
      </c>
    </row>
    <row r="985" spans="1:2" x14ac:dyDescent="0.2">
      <c r="A985" s="16">
        <v>46390</v>
      </c>
      <c r="B985" t="s">
        <v>341</v>
      </c>
    </row>
    <row r="986" spans="1:2" x14ac:dyDescent="0.2">
      <c r="A986" s="16">
        <v>46390</v>
      </c>
      <c r="B986" t="s">
        <v>339</v>
      </c>
    </row>
    <row r="987" spans="1:2" x14ac:dyDescent="0.2">
      <c r="A987" s="16">
        <v>46390</v>
      </c>
      <c r="B987" t="s">
        <v>355</v>
      </c>
    </row>
    <row r="988" spans="1:2" x14ac:dyDescent="0.2">
      <c r="A988" s="16">
        <v>46390</v>
      </c>
      <c r="B988" t="s">
        <v>348</v>
      </c>
    </row>
    <row r="989" spans="1:2" x14ac:dyDescent="0.2">
      <c r="A989" s="16">
        <v>46390</v>
      </c>
      <c r="B989" t="s">
        <v>373</v>
      </c>
    </row>
    <row r="990" spans="1:2" x14ac:dyDescent="0.2">
      <c r="A990" s="16">
        <v>46390</v>
      </c>
      <c r="B990" t="s">
        <v>332</v>
      </c>
    </row>
    <row r="991" spans="1:2" x14ac:dyDescent="0.2">
      <c r="A991" s="16">
        <v>46390</v>
      </c>
      <c r="B991" t="s">
        <v>396</v>
      </c>
    </row>
    <row r="992" spans="1:2" x14ac:dyDescent="0.2">
      <c r="A992" s="16">
        <v>46390</v>
      </c>
      <c r="B992" t="s">
        <v>369</v>
      </c>
    </row>
    <row r="993" spans="1:2" x14ac:dyDescent="0.2">
      <c r="A993" s="16">
        <v>46390</v>
      </c>
      <c r="B993" t="s">
        <v>334</v>
      </c>
    </row>
    <row r="994" spans="1:2" x14ac:dyDescent="0.2">
      <c r="A994" s="16">
        <v>46390</v>
      </c>
      <c r="B994" t="s">
        <v>325</v>
      </c>
    </row>
    <row r="995" spans="1:2" x14ac:dyDescent="0.2">
      <c r="A995" s="16">
        <v>46390</v>
      </c>
      <c r="B995" t="s">
        <v>358</v>
      </c>
    </row>
    <row r="996" spans="1:2" x14ac:dyDescent="0.2">
      <c r="A996" s="16">
        <v>46390</v>
      </c>
      <c r="B996" t="s">
        <v>385</v>
      </c>
    </row>
    <row r="997" spans="1:2" x14ac:dyDescent="0.2">
      <c r="A997" s="16">
        <v>46390</v>
      </c>
      <c r="B997" t="s">
        <v>351</v>
      </c>
    </row>
    <row r="998" spans="1:2" x14ac:dyDescent="0.2">
      <c r="A998" s="16">
        <v>46390</v>
      </c>
      <c r="B998" t="s">
        <v>353</v>
      </c>
    </row>
    <row r="999" spans="1:2" x14ac:dyDescent="0.2">
      <c r="A999" s="16">
        <v>46390</v>
      </c>
      <c r="B999" t="s">
        <v>368</v>
      </c>
    </row>
    <row r="1000" spans="1:2" x14ac:dyDescent="0.2">
      <c r="A1000" s="16">
        <v>46391</v>
      </c>
      <c r="B1000" t="s">
        <v>377</v>
      </c>
    </row>
    <row r="1001" spans="1:2" x14ac:dyDescent="0.2">
      <c r="A1001" s="16">
        <v>46391</v>
      </c>
      <c r="B1001" t="s">
        <v>379</v>
      </c>
    </row>
    <row r="1002" spans="1:2" x14ac:dyDescent="0.2">
      <c r="A1002" s="16">
        <v>46391</v>
      </c>
      <c r="B1002" t="s">
        <v>337</v>
      </c>
    </row>
    <row r="1003" spans="1:2" x14ac:dyDescent="0.2">
      <c r="A1003" s="16">
        <v>46391</v>
      </c>
      <c r="B1003" t="s">
        <v>370</v>
      </c>
    </row>
    <row r="1004" spans="1:2" x14ac:dyDescent="0.2">
      <c r="A1004" s="16">
        <v>46391</v>
      </c>
      <c r="B1004" t="s">
        <v>357</v>
      </c>
    </row>
    <row r="1005" spans="1:2" x14ac:dyDescent="0.2">
      <c r="A1005" s="16">
        <v>46391</v>
      </c>
      <c r="B1005" t="s">
        <v>366</v>
      </c>
    </row>
    <row r="1006" spans="1:2" x14ac:dyDescent="0.2">
      <c r="A1006" s="16">
        <v>46391</v>
      </c>
      <c r="B1006" t="s">
        <v>364</v>
      </c>
    </row>
    <row r="1007" spans="1:2" x14ac:dyDescent="0.2">
      <c r="A1007" s="16">
        <v>46391</v>
      </c>
      <c r="B1007" t="s">
        <v>342</v>
      </c>
    </row>
    <row r="1008" spans="1:2" x14ac:dyDescent="0.2">
      <c r="A1008" s="16">
        <v>46391</v>
      </c>
      <c r="B1008" t="s">
        <v>343</v>
      </c>
    </row>
    <row r="1009" spans="1:2" x14ac:dyDescent="0.2">
      <c r="A1009" s="16">
        <v>46391</v>
      </c>
      <c r="B1009" t="s">
        <v>346</v>
      </c>
    </row>
    <row r="1010" spans="1:2" x14ac:dyDescent="0.2">
      <c r="A1010" s="16">
        <v>46391</v>
      </c>
      <c r="B1010" t="s">
        <v>361</v>
      </c>
    </row>
    <row r="1011" spans="1:2" x14ac:dyDescent="0.2">
      <c r="A1011" s="16">
        <v>46391</v>
      </c>
      <c r="B1011" t="s">
        <v>362</v>
      </c>
    </row>
    <row r="1012" spans="1:2" x14ac:dyDescent="0.2">
      <c r="A1012" s="16">
        <v>46392</v>
      </c>
      <c r="B1012" t="s">
        <v>377</v>
      </c>
    </row>
    <row r="1013" spans="1:2" x14ac:dyDescent="0.2">
      <c r="A1013" s="16">
        <v>46392</v>
      </c>
      <c r="B1013" t="s">
        <v>378</v>
      </c>
    </row>
    <row r="1014" spans="1:2" x14ac:dyDescent="0.2">
      <c r="A1014" s="16">
        <v>46392</v>
      </c>
      <c r="B1014" t="s">
        <v>370</v>
      </c>
    </row>
    <row r="1015" spans="1:2" x14ac:dyDescent="0.2">
      <c r="A1015" s="16">
        <v>46392</v>
      </c>
      <c r="B1015" t="s">
        <v>341</v>
      </c>
    </row>
    <row r="1016" spans="1:2" x14ac:dyDescent="0.2">
      <c r="A1016" s="16">
        <v>46392</v>
      </c>
      <c r="B1016" t="s">
        <v>339</v>
      </c>
    </row>
    <row r="1017" spans="1:2" x14ac:dyDescent="0.2">
      <c r="A1017" s="16">
        <v>46392</v>
      </c>
      <c r="B1017" t="s">
        <v>355</v>
      </c>
    </row>
    <row r="1018" spans="1:2" x14ac:dyDescent="0.2">
      <c r="A1018" s="16">
        <v>46392</v>
      </c>
      <c r="B1018" t="s">
        <v>348</v>
      </c>
    </row>
    <row r="1019" spans="1:2" x14ac:dyDescent="0.2">
      <c r="A1019" s="16">
        <v>46392</v>
      </c>
      <c r="B1019" t="s">
        <v>373</v>
      </c>
    </row>
    <row r="1020" spans="1:2" x14ac:dyDescent="0.2">
      <c r="A1020" s="16">
        <v>46392</v>
      </c>
      <c r="B1020" t="s">
        <v>332</v>
      </c>
    </row>
    <row r="1021" spans="1:2" x14ac:dyDescent="0.2">
      <c r="A1021" s="16">
        <v>46392</v>
      </c>
      <c r="B1021" t="s">
        <v>396</v>
      </c>
    </row>
    <row r="1022" spans="1:2" x14ac:dyDescent="0.2">
      <c r="A1022" s="16">
        <v>46392</v>
      </c>
      <c r="B1022" t="s">
        <v>329</v>
      </c>
    </row>
    <row r="1023" spans="1:2" x14ac:dyDescent="0.2">
      <c r="A1023" s="16">
        <v>46392</v>
      </c>
      <c r="B1023" t="s">
        <v>369</v>
      </c>
    </row>
    <row r="1024" spans="1:2" x14ac:dyDescent="0.2">
      <c r="A1024" s="16">
        <v>46392</v>
      </c>
      <c r="B1024" t="s">
        <v>334</v>
      </c>
    </row>
    <row r="1025" spans="1:2" x14ac:dyDescent="0.2">
      <c r="A1025" s="16">
        <v>46392</v>
      </c>
      <c r="B1025" t="s">
        <v>358</v>
      </c>
    </row>
    <row r="1026" spans="1:2" x14ac:dyDescent="0.2">
      <c r="A1026" s="16">
        <v>46392</v>
      </c>
      <c r="B1026" t="s">
        <v>346</v>
      </c>
    </row>
    <row r="1027" spans="1:2" x14ac:dyDescent="0.2">
      <c r="A1027" s="16">
        <v>46392</v>
      </c>
      <c r="B1027" t="s">
        <v>385</v>
      </c>
    </row>
    <row r="1028" spans="1:2" x14ac:dyDescent="0.2">
      <c r="A1028" s="16">
        <v>46392</v>
      </c>
      <c r="B1028" t="s">
        <v>353</v>
      </c>
    </row>
    <row r="1029" spans="1:2" x14ac:dyDescent="0.2">
      <c r="A1029" s="16">
        <v>46392</v>
      </c>
      <c r="B1029" t="s">
        <v>368</v>
      </c>
    </row>
    <row r="1030" spans="1:2" x14ac:dyDescent="0.2">
      <c r="A1030" s="16">
        <v>46393</v>
      </c>
      <c r="B1030" t="s">
        <v>379</v>
      </c>
    </row>
    <row r="1031" spans="1:2" x14ac:dyDescent="0.2">
      <c r="A1031" s="16">
        <v>46393</v>
      </c>
      <c r="B1031" t="s">
        <v>345</v>
      </c>
    </row>
    <row r="1032" spans="1:2" x14ac:dyDescent="0.2">
      <c r="A1032" s="16">
        <v>46393</v>
      </c>
      <c r="B1032" t="s">
        <v>366</v>
      </c>
    </row>
    <row r="1033" spans="1:2" x14ac:dyDescent="0.2">
      <c r="A1033" s="16">
        <v>46393</v>
      </c>
      <c r="B1033" t="s">
        <v>364</v>
      </c>
    </row>
    <row r="1034" spans="1:2" x14ac:dyDescent="0.2">
      <c r="A1034" s="16">
        <v>46393</v>
      </c>
      <c r="B1034" t="s">
        <v>342</v>
      </c>
    </row>
    <row r="1035" spans="1:2" x14ac:dyDescent="0.2">
      <c r="A1035" s="16">
        <v>46393</v>
      </c>
      <c r="B1035" t="s">
        <v>325</v>
      </c>
    </row>
    <row r="1036" spans="1:2" x14ac:dyDescent="0.2">
      <c r="A1036" s="16">
        <v>46393</v>
      </c>
      <c r="B1036" t="s">
        <v>343</v>
      </c>
    </row>
    <row r="1037" spans="1:2" x14ac:dyDescent="0.2">
      <c r="A1037" s="16">
        <v>46393</v>
      </c>
      <c r="B1037" t="s">
        <v>361</v>
      </c>
    </row>
    <row r="1038" spans="1:2" x14ac:dyDescent="0.2">
      <c r="A1038" s="16">
        <v>46393</v>
      </c>
      <c r="B1038" t="s">
        <v>351</v>
      </c>
    </row>
    <row r="1039" spans="1:2" x14ac:dyDescent="0.2">
      <c r="A1039" s="16">
        <v>46393</v>
      </c>
      <c r="B1039" t="s">
        <v>362</v>
      </c>
    </row>
    <row r="1040" spans="1:2" x14ac:dyDescent="0.2">
      <c r="A1040" s="16">
        <v>46394</v>
      </c>
      <c r="B1040" t="s">
        <v>377</v>
      </c>
    </row>
    <row r="1041" spans="1:2" x14ac:dyDescent="0.2">
      <c r="A1041" s="16">
        <v>46394</v>
      </c>
      <c r="B1041" t="s">
        <v>379</v>
      </c>
    </row>
    <row r="1042" spans="1:2" x14ac:dyDescent="0.2">
      <c r="A1042" s="16">
        <v>46394</v>
      </c>
      <c r="B1042" t="s">
        <v>337</v>
      </c>
    </row>
    <row r="1043" spans="1:2" x14ac:dyDescent="0.2">
      <c r="A1043" s="16">
        <v>46394</v>
      </c>
      <c r="B1043" t="s">
        <v>378</v>
      </c>
    </row>
    <row r="1044" spans="1:2" x14ac:dyDescent="0.2">
      <c r="A1044" s="16">
        <v>46394</v>
      </c>
      <c r="B1044" t="s">
        <v>370</v>
      </c>
    </row>
    <row r="1045" spans="1:2" x14ac:dyDescent="0.2">
      <c r="A1045" s="16">
        <v>46394</v>
      </c>
      <c r="B1045" t="s">
        <v>341</v>
      </c>
    </row>
    <row r="1046" spans="1:2" x14ac:dyDescent="0.2">
      <c r="A1046" s="16">
        <v>46394</v>
      </c>
      <c r="B1046" t="s">
        <v>357</v>
      </c>
    </row>
    <row r="1047" spans="1:2" x14ac:dyDescent="0.2">
      <c r="A1047" s="16">
        <v>46394</v>
      </c>
      <c r="B1047" t="s">
        <v>339</v>
      </c>
    </row>
    <row r="1048" spans="1:2" x14ac:dyDescent="0.2">
      <c r="A1048" s="16">
        <v>46394</v>
      </c>
      <c r="B1048" t="s">
        <v>355</v>
      </c>
    </row>
    <row r="1049" spans="1:2" x14ac:dyDescent="0.2">
      <c r="A1049" s="16">
        <v>46394</v>
      </c>
      <c r="B1049" t="s">
        <v>345</v>
      </c>
    </row>
    <row r="1050" spans="1:2" x14ac:dyDescent="0.2">
      <c r="A1050" s="16">
        <v>46394</v>
      </c>
      <c r="B1050" t="s">
        <v>348</v>
      </c>
    </row>
    <row r="1051" spans="1:2" x14ac:dyDescent="0.2">
      <c r="A1051" s="16">
        <v>46394</v>
      </c>
      <c r="B1051" t="s">
        <v>366</v>
      </c>
    </row>
    <row r="1052" spans="1:2" x14ac:dyDescent="0.2">
      <c r="A1052" s="16">
        <v>46394</v>
      </c>
      <c r="B1052" t="s">
        <v>373</v>
      </c>
    </row>
    <row r="1053" spans="1:2" x14ac:dyDescent="0.2">
      <c r="A1053" s="16">
        <v>46394</v>
      </c>
      <c r="B1053" t="s">
        <v>332</v>
      </c>
    </row>
    <row r="1054" spans="1:2" x14ac:dyDescent="0.2">
      <c r="A1054" s="16">
        <v>46394</v>
      </c>
      <c r="B1054" t="s">
        <v>396</v>
      </c>
    </row>
    <row r="1055" spans="1:2" x14ac:dyDescent="0.2">
      <c r="A1055" s="16">
        <v>46394</v>
      </c>
      <c r="B1055" t="s">
        <v>329</v>
      </c>
    </row>
    <row r="1056" spans="1:2" x14ac:dyDescent="0.2">
      <c r="A1056" s="16">
        <v>46394</v>
      </c>
      <c r="B1056" t="s">
        <v>369</v>
      </c>
    </row>
    <row r="1057" spans="1:2" x14ac:dyDescent="0.2">
      <c r="A1057" s="16">
        <v>46394</v>
      </c>
      <c r="B1057" t="s">
        <v>334</v>
      </c>
    </row>
    <row r="1058" spans="1:2" x14ac:dyDescent="0.2">
      <c r="A1058" s="16">
        <v>46394</v>
      </c>
      <c r="B1058" t="s">
        <v>325</v>
      </c>
    </row>
    <row r="1059" spans="1:2" x14ac:dyDescent="0.2">
      <c r="A1059" s="16">
        <v>46394</v>
      </c>
      <c r="B1059" t="s">
        <v>358</v>
      </c>
    </row>
    <row r="1060" spans="1:2" x14ac:dyDescent="0.2">
      <c r="A1060" s="16">
        <v>46394</v>
      </c>
      <c r="B1060" t="s">
        <v>361</v>
      </c>
    </row>
    <row r="1061" spans="1:2" x14ac:dyDescent="0.2">
      <c r="A1061" s="16">
        <v>46394</v>
      </c>
      <c r="B1061" t="s">
        <v>385</v>
      </c>
    </row>
    <row r="1062" spans="1:2" x14ac:dyDescent="0.2">
      <c r="A1062" s="16">
        <v>46394</v>
      </c>
      <c r="B1062" t="s">
        <v>353</v>
      </c>
    </row>
    <row r="1063" spans="1:2" x14ac:dyDescent="0.2">
      <c r="A1063" s="16">
        <v>46394</v>
      </c>
      <c r="B1063" t="s">
        <v>368</v>
      </c>
    </row>
    <row r="1064" spans="1:2" x14ac:dyDescent="0.2">
      <c r="A1064" s="16">
        <v>46395</v>
      </c>
      <c r="B1064" t="s">
        <v>357</v>
      </c>
    </row>
    <row r="1065" spans="1:2" x14ac:dyDescent="0.2">
      <c r="A1065" s="16">
        <v>46395</v>
      </c>
      <c r="B1065" t="s">
        <v>355</v>
      </c>
    </row>
    <row r="1066" spans="1:2" x14ac:dyDescent="0.2">
      <c r="A1066" s="16">
        <v>46395</v>
      </c>
      <c r="B1066" t="s">
        <v>332</v>
      </c>
    </row>
    <row r="1067" spans="1:2" x14ac:dyDescent="0.2">
      <c r="A1067" s="16">
        <v>46395</v>
      </c>
      <c r="B1067" t="s">
        <v>396</v>
      </c>
    </row>
    <row r="1068" spans="1:2" x14ac:dyDescent="0.2">
      <c r="A1068" s="16">
        <v>46395</v>
      </c>
      <c r="B1068" t="s">
        <v>329</v>
      </c>
    </row>
    <row r="1069" spans="1:2" x14ac:dyDescent="0.2">
      <c r="A1069" s="16">
        <v>46395</v>
      </c>
      <c r="B1069" t="s">
        <v>334</v>
      </c>
    </row>
    <row r="1070" spans="1:2" x14ac:dyDescent="0.2">
      <c r="A1070" s="16">
        <v>46395</v>
      </c>
      <c r="B1070" t="s">
        <v>364</v>
      </c>
    </row>
    <row r="1071" spans="1:2" x14ac:dyDescent="0.2">
      <c r="A1071" s="16">
        <v>46395</v>
      </c>
      <c r="B1071" t="s">
        <v>342</v>
      </c>
    </row>
    <row r="1072" spans="1:2" x14ac:dyDescent="0.2">
      <c r="A1072" s="16">
        <v>46395</v>
      </c>
      <c r="B1072" t="s">
        <v>358</v>
      </c>
    </row>
    <row r="1073" spans="1:2" x14ac:dyDescent="0.2">
      <c r="A1073" s="16">
        <v>46395</v>
      </c>
      <c r="B1073" t="s">
        <v>343</v>
      </c>
    </row>
    <row r="1074" spans="1:2" x14ac:dyDescent="0.2">
      <c r="A1074" s="16">
        <v>46395</v>
      </c>
      <c r="B1074" t="s">
        <v>346</v>
      </c>
    </row>
    <row r="1075" spans="1:2" x14ac:dyDescent="0.2">
      <c r="A1075" s="16">
        <v>46395</v>
      </c>
      <c r="B1075" t="s">
        <v>385</v>
      </c>
    </row>
    <row r="1076" spans="1:2" x14ac:dyDescent="0.2">
      <c r="A1076" s="16">
        <v>46395</v>
      </c>
      <c r="B1076" t="s">
        <v>351</v>
      </c>
    </row>
    <row r="1077" spans="1:2" x14ac:dyDescent="0.2">
      <c r="A1077" s="16">
        <v>46395</v>
      </c>
      <c r="B1077" t="s">
        <v>353</v>
      </c>
    </row>
    <row r="1078" spans="1:2" x14ac:dyDescent="0.2">
      <c r="A1078" s="16">
        <v>46395</v>
      </c>
      <c r="B1078" t="s">
        <v>362</v>
      </c>
    </row>
    <row r="1079" spans="1:2" x14ac:dyDescent="0.2">
      <c r="A1079" s="16">
        <v>46395</v>
      </c>
      <c r="B1079" t="s">
        <v>368</v>
      </c>
    </row>
    <row r="1080" spans="1:2" x14ac:dyDescent="0.2">
      <c r="A1080" s="16">
        <v>46396</v>
      </c>
      <c r="B1080" t="s">
        <v>379</v>
      </c>
    </row>
    <row r="1081" spans="1:2" x14ac:dyDescent="0.2">
      <c r="A1081" s="16">
        <v>46396</v>
      </c>
      <c r="B1081" t="s">
        <v>337</v>
      </c>
    </row>
    <row r="1082" spans="1:2" x14ac:dyDescent="0.2">
      <c r="A1082" s="16">
        <v>46396</v>
      </c>
      <c r="B1082" t="s">
        <v>378</v>
      </c>
    </row>
    <row r="1083" spans="1:2" x14ac:dyDescent="0.2">
      <c r="A1083" s="16">
        <v>46396</v>
      </c>
      <c r="B1083" t="s">
        <v>370</v>
      </c>
    </row>
    <row r="1084" spans="1:2" x14ac:dyDescent="0.2">
      <c r="A1084" s="16">
        <v>46396</v>
      </c>
      <c r="B1084" t="s">
        <v>341</v>
      </c>
    </row>
    <row r="1085" spans="1:2" x14ac:dyDescent="0.2">
      <c r="A1085" s="16">
        <v>46396</v>
      </c>
      <c r="B1085" t="s">
        <v>339</v>
      </c>
    </row>
    <row r="1086" spans="1:2" x14ac:dyDescent="0.2">
      <c r="A1086" s="16">
        <v>46396</v>
      </c>
      <c r="B1086" t="s">
        <v>345</v>
      </c>
    </row>
    <row r="1087" spans="1:2" x14ac:dyDescent="0.2">
      <c r="A1087" s="16">
        <v>46396</v>
      </c>
      <c r="B1087" t="s">
        <v>348</v>
      </c>
    </row>
    <row r="1088" spans="1:2" x14ac:dyDescent="0.2">
      <c r="A1088" s="16">
        <v>46396</v>
      </c>
      <c r="B1088" t="s">
        <v>366</v>
      </c>
    </row>
    <row r="1089" spans="1:2" x14ac:dyDescent="0.2">
      <c r="A1089" s="16">
        <v>46396</v>
      </c>
      <c r="B1089" t="s">
        <v>373</v>
      </c>
    </row>
    <row r="1090" spans="1:2" x14ac:dyDescent="0.2">
      <c r="A1090" s="16">
        <v>46396</v>
      </c>
      <c r="B1090" t="s">
        <v>369</v>
      </c>
    </row>
    <row r="1091" spans="1:2" x14ac:dyDescent="0.2">
      <c r="A1091" s="16">
        <v>46396</v>
      </c>
      <c r="B1091" t="s">
        <v>361</v>
      </c>
    </row>
    <row r="1092" spans="1:2" x14ac:dyDescent="0.2">
      <c r="A1092" s="16">
        <v>46397</v>
      </c>
      <c r="B1092" t="s">
        <v>377</v>
      </c>
    </row>
    <row r="1093" spans="1:2" x14ac:dyDescent="0.2">
      <c r="A1093" s="16">
        <v>46397</v>
      </c>
      <c r="B1093" t="s">
        <v>378</v>
      </c>
    </row>
    <row r="1094" spans="1:2" x14ac:dyDescent="0.2">
      <c r="A1094" s="16">
        <v>46397</v>
      </c>
      <c r="B1094" t="s">
        <v>370</v>
      </c>
    </row>
    <row r="1095" spans="1:2" x14ac:dyDescent="0.2">
      <c r="A1095" s="16">
        <v>46397</v>
      </c>
      <c r="B1095" t="s">
        <v>357</v>
      </c>
    </row>
    <row r="1096" spans="1:2" x14ac:dyDescent="0.2">
      <c r="A1096" s="16">
        <v>46397</v>
      </c>
      <c r="B1096" t="s">
        <v>355</v>
      </c>
    </row>
    <row r="1097" spans="1:2" x14ac:dyDescent="0.2">
      <c r="A1097" s="16">
        <v>46397</v>
      </c>
      <c r="B1097" t="s">
        <v>396</v>
      </c>
    </row>
    <row r="1098" spans="1:2" x14ac:dyDescent="0.2">
      <c r="A1098" s="16">
        <v>46397</v>
      </c>
      <c r="B1098" t="s">
        <v>329</v>
      </c>
    </row>
    <row r="1099" spans="1:2" x14ac:dyDescent="0.2">
      <c r="A1099" s="16">
        <v>46397</v>
      </c>
      <c r="B1099" t="s">
        <v>364</v>
      </c>
    </row>
    <row r="1100" spans="1:2" x14ac:dyDescent="0.2">
      <c r="A1100" s="16">
        <v>46397</v>
      </c>
      <c r="B1100" t="s">
        <v>325</v>
      </c>
    </row>
    <row r="1101" spans="1:2" x14ac:dyDescent="0.2">
      <c r="A1101" s="16">
        <v>46397</v>
      </c>
      <c r="B1101" t="s">
        <v>358</v>
      </c>
    </row>
    <row r="1102" spans="1:2" x14ac:dyDescent="0.2">
      <c r="A1102" s="16">
        <v>46397</v>
      </c>
      <c r="B1102" t="s">
        <v>343</v>
      </c>
    </row>
    <row r="1103" spans="1:2" x14ac:dyDescent="0.2">
      <c r="A1103" s="16">
        <v>46397</v>
      </c>
      <c r="B1103" t="s">
        <v>346</v>
      </c>
    </row>
    <row r="1104" spans="1:2" x14ac:dyDescent="0.2">
      <c r="A1104" s="16">
        <v>46397</v>
      </c>
      <c r="B1104" t="s">
        <v>385</v>
      </c>
    </row>
    <row r="1105" spans="1:2" x14ac:dyDescent="0.2">
      <c r="A1105" s="16">
        <v>46397</v>
      </c>
      <c r="B1105" t="s">
        <v>351</v>
      </c>
    </row>
    <row r="1106" spans="1:2" x14ac:dyDescent="0.2">
      <c r="A1106" s="16">
        <v>46397</v>
      </c>
      <c r="B1106" t="s">
        <v>353</v>
      </c>
    </row>
    <row r="1107" spans="1:2" x14ac:dyDescent="0.2">
      <c r="A1107" s="16">
        <v>46397</v>
      </c>
      <c r="B1107" t="s">
        <v>362</v>
      </c>
    </row>
    <row r="1108" spans="1:2" x14ac:dyDescent="0.2">
      <c r="A1108" s="16">
        <v>46398</v>
      </c>
      <c r="B1108" t="s">
        <v>377</v>
      </c>
    </row>
    <row r="1109" spans="1:2" x14ac:dyDescent="0.2">
      <c r="A1109" s="16">
        <v>46398</v>
      </c>
      <c r="B1109" t="s">
        <v>379</v>
      </c>
    </row>
    <row r="1110" spans="1:2" x14ac:dyDescent="0.2">
      <c r="A1110" s="16">
        <v>46398</v>
      </c>
      <c r="B1110" t="s">
        <v>337</v>
      </c>
    </row>
    <row r="1111" spans="1:2" x14ac:dyDescent="0.2">
      <c r="A1111" s="16">
        <v>46398</v>
      </c>
      <c r="B1111" t="s">
        <v>341</v>
      </c>
    </row>
    <row r="1112" spans="1:2" x14ac:dyDescent="0.2">
      <c r="A1112" s="16">
        <v>46398</v>
      </c>
      <c r="B1112" t="s">
        <v>339</v>
      </c>
    </row>
    <row r="1113" spans="1:2" x14ac:dyDescent="0.2">
      <c r="A1113" s="16">
        <v>46398</v>
      </c>
      <c r="B1113" t="s">
        <v>348</v>
      </c>
    </row>
    <row r="1114" spans="1:2" x14ac:dyDescent="0.2">
      <c r="A1114" s="16">
        <v>46398</v>
      </c>
      <c r="B1114" t="s">
        <v>366</v>
      </c>
    </row>
    <row r="1115" spans="1:2" x14ac:dyDescent="0.2">
      <c r="A1115" s="16">
        <v>46398</v>
      </c>
      <c r="B1115" t="s">
        <v>373</v>
      </c>
    </row>
    <row r="1116" spans="1:2" x14ac:dyDescent="0.2">
      <c r="A1116" s="16">
        <v>46398</v>
      </c>
      <c r="B1116" t="s">
        <v>332</v>
      </c>
    </row>
    <row r="1117" spans="1:2" x14ac:dyDescent="0.2">
      <c r="A1117" s="16">
        <v>46398</v>
      </c>
      <c r="B1117" t="s">
        <v>334</v>
      </c>
    </row>
    <row r="1118" spans="1:2" x14ac:dyDescent="0.2">
      <c r="A1118" s="16">
        <v>46398</v>
      </c>
      <c r="B1118" t="s">
        <v>342</v>
      </c>
    </row>
    <row r="1119" spans="1:2" x14ac:dyDescent="0.2">
      <c r="A1119" s="16">
        <v>46398</v>
      </c>
      <c r="B1119" t="s">
        <v>368</v>
      </c>
    </row>
    <row r="1120" spans="1:2" x14ac:dyDescent="0.2">
      <c r="A1120" s="16">
        <v>46399</v>
      </c>
      <c r="B1120" t="s">
        <v>379</v>
      </c>
    </row>
    <row r="1121" spans="1:2" x14ac:dyDescent="0.2">
      <c r="A1121" s="16">
        <v>46399</v>
      </c>
      <c r="B1121" t="s">
        <v>370</v>
      </c>
    </row>
    <row r="1122" spans="1:2" x14ac:dyDescent="0.2">
      <c r="A1122" s="16">
        <v>46399</v>
      </c>
      <c r="B1122" t="s">
        <v>357</v>
      </c>
    </row>
    <row r="1123" spans="1:2" x14ac:dyDescent="0.2">
      <c r="A1123" s="16">
        <v>46399</v>
      </c>
      <c r="B1123" t="s">
        <v>339</v>
      </c>
    </row>
    <row r="1124" spans="1:2" x14ac:dyDescent="0.2">
      <c r="A1124" s="16">
        <v>46399</v>
      </c>
      <c r="B1124" t="s">
        <v>355</v>
      </c>
    </row>
    <row r="1125" spans="1:2" x14ac:dyDescent="0.2">
      <c r="A1125" s="16">
        <v>46399</v>
      </c>
      <c r="B1125" t="s">
        <v>345</v>
      </c>
    </row>
    <row r="1126" spans="1:2" x14ac:dyDescent="0.2">
      <c r="A1126" s="16">
        <v>46399</v>
      </c>
      <c r="B1126" t="s">
        <v>396</v>
      </c>
    </row>
    <row r="1127" spans="1:2" x14ac:dyDescent="0.2">
      <c r="A1127" s="16">
        <v>46399</v>
      </c>
      <c r="B1127" t="s">
        <v>329</v>
      </c>
    </row>
    <row r="1128" spans="1:2" x14ac:dyDescent="0.2">
      <c r="A1128" s="16">
        <v>46399</v>
      </c>
      <c r="B1128" t="s">
        <v>369</v>
      </c>
    </row>
    <row r="1129" spans="1:2" x14ac:dyDescent="0.2">
      <c r="A1129" s="16">
        <v>46399</v>
      </c>
      <c r="B1129" t="s">
        <v>358</v>
      </c>
    </row>
    <row r="1130" spans="1:2" x14ac:dyDescent="0.2">
      <c r="A1130" s="16">
        <v>46399</v>
      </c>
      <c r="B1130" t="s">
        <v>343</v>
      </c>
    </row>
    <row r="1131" spans="1:2" x14ac:dyDescent="0.2">
      <c r="A1131" s="16">
        <v>46399</v>
      </c>
      <c r="B1131" t="s">
        <v>361</v>
      </c>
    </row>
    <row r="1132" spans="1:2" x14ac:dyDescent="0.2">
      <c r="A1132" s="16">
        <v>46399</v>
      </c>
      <c r="B1132" t="s">
        <v>385</v>
      </c>
    </row>
    <row r="1133" spans="1:2" x14ac:dyDescent="0.2">
      <c r="A1133" s="16">
        <v>46399</v>
      </c>
      <c r="B1133" t="s">
        <v>353</v>
      </c>
    </row>
    <row r="1134" spans="1:2" x14ac:dyDescent="0.2">
      <c r="A1134" s="16">
        <v>46399</v>
      </c>
      <c r="B1134" t="s">
        <v>362</v>
      </c>
    </row>
    <row r="1135" spans="1:2" x14ac:dyDescent="0.2">
      <c r="A1135" s="16">
        <v>46399</v>
      </c>
      <c r="B1135" t="s">
        <v>368</v>
      </c>
    </row>
    <row r="1136" spans="1:2" x14ac:dyDescent="0.2">
      <c r="A1136" s="16">
        <v>46400</v>
      </c>
      <c r="B1136" t="s">
        <v>377</v>
      </c>
    </row>
    <row r="1137" spans="1:2" x14ac:dyDescent="0.2">
      <c r="A1137" s="16">
        <v>46400</v>
      </c>
      <c r="B1137" t="s">
        <v>337</v>
      </c>
    </row>
    <row r="1138" spans="1:2" x14ac:dyDescent="0.2">
      <c r="A1138" s="16">
        <v>46400</v>
      </c>
      <c r="B1138" t="s">
        <v>378</v>
      </c>
    </row>
    <row r="1139" spans="1:2" x14ac:dyDescent="0.2">
      <c r="A1139" s="16">
        <v>46400</v>
      </c>
      <c r="B1139" t="s">
        <v>341</v>
      </c>
    </row>
    <row r="1140" spans="1:2" x14ac:dyDescent="0.2">
      <c r="A1140" s="16">
        <v>46400</v>
      </c>
      <c r="B1140" t="s">
        <v>345</v>
      </c>
    </row>
    <row r="1141" spans="1:2" x14ac:dyDescent="0.2">
      <c r="A1141" s="16">
        <v>46400</v>
      </c>
      <c r="B1141" t="s">
        <v>348</v>
      </c>
    </row>
    <row r="1142" spans="1:2" x14ac:dyDescent="0.2">
      <c r="A1142" s="16">
        <v>46400</v>
      </c>
      <c r="B1142" t="s">
        <v>366</v>
      </c>
    </row>
    <row r="1143" spans="1:2" x14ac:dyDescent="0.2">
      <c r="A1143" s="16">
        <v>46400</v>
      </c>
      <c r="B1143" t="s">
        <v>332</v>
      </c>
    </row>
    <row r="1144" spans="1:2" x14ac:dyDescent="0.2">
      <c r="A1144" s="16">
        <v>46400</v>
      </c>
      <c r="B1144" t="s">
        <v>369</v>
      </c>
    </row>
    <row r="1145" spans="1:2" x14ac:dyDescent="0.2">
      <c r="A1145" s="16">
        <v>46400</v>
      </c>
      <c r="B1145" t="s">
        <v>342</v>
      </c>
    </row>
    <row r="1146" spans="1:2" x14ac:dyDescent="0.2">
      <c r="A1146" s="16">
        <v>46400</v>
      </c>
      <c r="B1146" t="s">
        <v>325</v>
      </c>
    </row>
    <row r="1147" spans="1:2" x14ac:dyDescent="0.2">
      <c r="A1147" s="16">
        <v>46400</v>
      </c>
      <c r="B1147" t="s">
        <v>346</v>
      </c>
    </row>
    <row r="1148" spans="1:2" x14ac:dyDescent="0.2">
      <c r="A1148" s="16">
        <v>46400</v>
      </c>
      <c r="B1148" t="s">
        <v>361</v>
      </c>
    </row>
    <row r="1149" spans="1:2" x14ac:dyDescent="0.2">
      <c r="A1149" s="16">
        <v>46400</v>
      </c>
      <c r="B1149" t="s">
        <v>353</v>
      </c>
    </row>
    <row r="1150" spans="1:2" x14ac:dyDescent="0.2">
      <c r="A1150" s="16">
        <v>46401</v>
      </c>
      <c r="B1150" t="s">
        <v>379</v>
      </c>
    </row>
    <row r="1151" spans="1:2" x14ac:dyDescent="0.2">
      <c r="A1151" s="16">
        <v>46401</v>
      </c>
      <c r="B1151" t="s">
        <v>378</v>
      </c>
    </row>
    <row r="1152" spans="1:2" x14ac:dyDescent="0.2">
      <c r="A1152" s="16">
        <v>46401</v>
      </c>
      <c r="B1152" t="s">
        <v>370</v>
      </c>
    </row>
    <row r="1153" spans="1:2" x14ac:dyDescent="0.2">
      <c r="A1153" s="16">
        <v>46401</v>
      </c>
      <c r="B1153" t="s">
        <v>357</v>
      </c>
    </row>
    <row r="1154" spans="1:2" x14ac:dyDescent="0.2">
      <c r="A1154" s="16">
        <v>46401</v>
      </c>
      <c r="B1154" t="s">
        <v>339</v>
      </c>
    </row>
    <row r="1155" spans="1:2" x14ac:dyDescent="0.2">
      <c r="A1155" s="16">
        <v>46401</v>
      </c>
      <c r="B1155" t="s">
        <v>355</v>
      </c>
    </row>
    <row r="1156" spans="1:2" x14ac:dyDescent="0.2">
      <c r="A1156" s="16">
        <v>46401</v>
      </c>
      <c r="B1156" t="s">
        <v>373</v>
      </c>
    </row>
    <row r="1157" spans="1:2" x14ac:dyDescent="0.2">
      <c r="A1157" s="16">
        <v>46401</v>
      </c>
      <c r="B1157" t="s">
        <v>332</v>
      </c>
    </row>
    <row r="1158" spans="1:2" x14ac:dyDescent="0.2">
      <c r="A1158" s="16">
        <v>46401</v>
      </c>
      <c r="B1158" t="s">
        <v>396</v>
      </c>
    </row>
    <row r="1159" spans="1:2" x14ac:dyDescent="0.2">
      <c r="A1159" s="16">
        <v>46401</v>
      </c>
      <c r="B1159" t="s">
        <v>329</v>
      </c>
    </row>
    <row r="1160" spans="1:2" x14ac:dyDescent="0.2">
      <c r="A1160" s="16">
        <v>46401</v>
      </c>
      <c r="B1160" t="s">
        <v>334</v>
      </c>
    </row>
    <row r="1161" spans="1:2" x14ac:dyDescent="0.2">
      <c r="A1161" s="16">
        <v>46401</v>
      </c>
      <c r="B1161" t="s">
        <v>364</v>
      </c>
    </row>
    <row r="1162" spans="1:2" x14ac:dyDescent="0.2">
      <c r="A1162" s="16">
        <v>46401</v>
      </c>
      <c r="B1162" t="s">
        <v>342</v>
      </c>
    </row>
    <row r="1163" spans="1:2" x14ac:dyDescent="0.2">
      <c r="A1163" s="16">
        <v>46401</v>
      </c>
      <c r="B1163" t="s">
        <v>358</v>
      </c>
    </row>
    <row r="1164" spans="1:2" x14ac:dyDescent="0.2">
      <c r="A1164" s="16">
        <v>46401</v>
      </c>
      <c r="B1164" t="s">
        <v>343</v>
      </c>
    </row>
    <row r="1165" spans="1:2" x14ac:dyDescent="0.2">
      <c r="A1165" s="16">
        <v>46401</v>
      </c>
      <c r="B1165" t="s">
        <v>385</v>
      </c>
    </row>
    <row r="1166" spans="1:2" x14ac:dyDescent="0.2">
      <c r="A1166" s="16">
        <v>46401</v>
      </c>
      <c r="B1166" t="s">
        <v>351</v>
      </c>
    </row>
    <row r="1167" spans="1:2" x14ac:dyDescent="0.2">
      <c r="A1167" s="16">
        <v>46401</v>
      </c>
      <c r="B1167" t="s">
        <v>362</v>
      </c>
    </row>
    <row r="1168" spans="1:2" x14ac:dyDescent="0.2">
      <c r="A1168" s="16">
        <v>46402</v>
      </c>
      <c r="B1168" t="s">
        <v>377</v>
      </c>
    </row>
    <row r="1169" spans="1:2" x14ac:dyDescent="0.2">
      <c r="A1169" s="16">
        <v>46402</v>
      </c>
      <c r="B1169" t="s">
        <v>341</v>
      </c>
    </row>
    <row r="1170" spans="1:2" x14ac:dyDescent="0.2">
      <c r="A1170" s="16">
        <v>46402</v>
      </c>
      <c r="B1170" t="s">
        <v>345</v>
      </c>
    </row>
    <row r="1171" spans="1:2" x14ac:dyDescent="0.2">
      <c r="A1171" s="16">
        <v>46402</v>
      </c>
      <c r="B1171" t="s">
        <v>348</v>
      </c>
    </row>
    <row r="1172" spans="1:2" x14ac:dyDescent="0.2">
      <c r="A1172" s="16">
        <v>46402</v>
      </c>
      <c r="B1172" t="s">
        <v>366</v>
      </c>
    </row>
    <row r="1173" spans="1:2" x14ac:dyDescent="0.2">
      <c r="A1173" s="16">
        <v>46402</v>
      </c>
      <c r="B1173" t="s">
        <v>373</v>
      </c>
    </row>
    <row r="1174" spans="1:2" x14ac:dyDescent="0.2">
      <c r="A1174" s="16">
        <v>46402</v>
      </c>
      <c r="B1174" t="s">
        <v>329</v>
      </c>
    </row>
    <row r="1175" spans="1:2" x14ac:dyDescent="0.2">
      <c r="A1175" s="16">
        <v>46402</v>
      </c>
      <c r="B1175" t="s">
        <v>369</v>
      </c>
    </row>
    <row r="1176" spans="1:2" x14ac:dyDescent="0.2">
      <c r="A1176" s="16">
        <v>46402</v>
      </c>
      <c r="B1176" t="s">
        <v>325</v>
      </c>
    </row>
    <row r="1177" spans="1:2" x14ac:dyDescent="0.2">
      <c r="A1177" s="16">
        <v>46402</v>
      </c>
      <c r="B1177" t="s">
        <v>358</v>
      </c>
    </row>
    <row r="1178" spans="1:2" x14ac:dyDescent="0.2">
      <c r="A1178" s="16">
        <v>46402</v>
      </c>
      <c r="B1178" t="s">
        <v>346</v>
      </c>
    </row>
    <row r="1179" spans="1:2" x14ac:dyDescent="0.2">
      <c r="A1179" s="16">
        <v>46402</v>
      </c>
      <c r="B1179" t="s">
        <v>361</v>
      </c>
    </row>
    <row r="1180" spans="1:2" x14ac:dyDescent="0.2">
      <c r="A1180" s="16">
        <v>46402</v>
      </c>
      <c r="B1180" t="s">
        <v>385</v>
      </c>
    </row>
    <row r="1181" spans="1:2" x14ac:dyDescent="0.2">
      <c r="A1181" s="16">
        <v>46402</v>
      </c>
      <c r="B1181" t="s">
        <v>353</v>
      </c>
    </row>
    <row r="1182" spans="1:2" x14ac:dyDescent="0.2">
      <c r="A1182" s="16">
        <v>46402</v>
      </c>
      <c r="B1182" t="s">
        <v>362</v>
      </c>
    </row>
    <row r="1183" spans="1:2" x14ac:dyDescent="0.2">
      <c r="A1183" s="16">
        <v>46402</v>
      </c>
      <c r="B1183" t="s">
        <v>368</v>
      </c>
    </row>
    <row r="1184" spans="1:2" x14ac:dyDescent="0.2">
      <c r="A1184" s="16">
        <v>46403</v>
      </c>
      <c r="B1184" t="s">
        <v>379</v>
      </c>
    </row>
    <row r="1185" spans="1:2" x14ac:dyDescent="0.2">
      <c r="A1185" s="16">
        <v>46403</v>
      </c>
      <c r="B1185" t="s">
        <v>337</v>
      </c>
    </row>
    <row r="1186" spans="1:2" x14ac:dyDescent="0.2">
      <c r="A1186" s="16">
        <v>46403</v>
      </c>
      <c r="B1186" t="s">
        <v>378</v>
      </c>
    </row>
    <row r="1187" spans="1:2" x14ac:dyDescent="0.2">
      <c r="A1187" s="16">
        <v>46403</v>
      </c>
      <c r="B1187" t="s">
        <v>341</v>
      </c>
    </row>
    <row r="1188" spans="1:2" x14ac:dyDescent="0.2">
      <c r="A1188" s="16">
        <v>46403</v>
      </c>
      <c r="B1188" t="s">
        <v>357</v>
      </c>
    </row>
    <row r="1189" spans="1:2" x14ac:dyDescent="0.2">
      <c r="A1189" s="16">
        <v>46403</v>
      </c>
      <c r="B1189" t="s">
        <v>339</v>
      </c>
    </row>
    <row r="1190" spans="1:2" x14ac:dyDescent="0.2">
      <c r="A1190" s="16">
        <v>46403</v>
      </c>
      <c r="B1190" t="s">
        <v>355</v>
      </c>
    </row>
    <row r="1191" spans="1:2" x14ac:dyDescent="0.2">
      <c r="A1191" s="16">
        <v>46403</v>
      </c>
      <c r="B1191" t="s">
        <v>348</v>
      </c>
    </row>
    <row r="1192" spans="1:2" x14ac:dyDescent="0.2">
      <c r="A1192" s="16">
        <v>46403</v>
      </c>
      <c r="B1192" t="s">
        <v>396</v>
      </c>
    </row>
    <row r="1193" spans="1:2" x14ac:dyDescent="0.2">
      <c r="A1193" s="16">
        <v>46403</v>
      </c>
      <c r="B1193" t="s">
        <v>334</v>
      </c>
    </row>
    <row r="1194" spans="1:2" x14ac:dyDescent="0.2">
      <c r="A1194" s="16">
        <v>46403</v>
      </c>
      <c r="B1194" t="s">
        <v>342</v>
      </c>
    </row>
    <row r="1195" spans="1:2" x14ac:dyDescent="0.2">
      <c r="A1195" s="16">
        <v>46403</v>
      </c>
      <c r="B1195" t="s">
        <v>343</v>
      </c>
    </row>
    <row r="1196" spans="1:2" x14ac:dyDescent="0.2">
      <c r="A1196" s="16">
        <v>46404</v>
      </c>
      <c r="B1196" t="s">
        <v>370</v>
      </c>
    </row>
    <row r="1197" spans="1:2" x14ac:dyDescent="0.2">
      <c r="A1197" s="16">
        <v>46404</v>
      </c>
      <c r="B1197" t="s">
        <v>339</v>
      </c>
    </row>
    <row r="1198" spans="1:2" x14ac:dyDescent="0.2">
      <c r="A1198" s="16">
        <v>46404</v>
      </c>
      <c r="B1198" t="s">
        <v>345</v>
      </c>
    </row>
    <row r="1199" spans="1:2" x14ac:dyDescent="0.2">
      <c r="A1199" s="16">
        <v>46404</v>
      </c>
      <c r="B1199" t="s">
        <v>366</v>
      </c>
    </row>
    <row r="1200" spans="1:2" x14ac:dyDescent="0.2">
      <c r="A1200" s="16">
        <v>46404</v>
      </c>
      <c r="B1200" t="s">
        <v>332</v>
      </c>
    </row>
    <row r="1201" spans="1:2" x14ac:dyDescent="0.2">
      <c r="A1201" s="16">
        <v>46404</v>
      </c>
      <c r="B1201" t="s">
        <v>329</v>
      </c>
    </row>
    <row r="1202" spans="1:2" x14ac:dyDescent="0.2">
      <c r="A1202" s="16">
        <v>46404</v>
      </c>
      <c r="B1202" t="s">
        <v>369</v>
      </c>
    </row>
    <row r="1203" spans="1:2" x14ac:dyDescent="0.2">
      <c r="A1203" s="16">
        <v>46404</v>
      </c>
      <c r="B1203" t="s">
        <v>364</v>
      </c>
    </row>
    <row r="1204" spans="1:2" x14ac:dyDescent="0.2">
      <c r="A1204" s="16">
        <v>46404</v>
      </c>
      <c r="B1204" t="s">
        <v>325</v>
      </c>
    </row>
    <row r="1205" spans="1:2" x14ac:dyDescent="0.2">
      <c r="A1205" s="16">
        <v>46404</v>
      </c>
      <c r="B1205" t="s">
        <v>358</v>
      </c>
    </row>
    <row r="1206" spans="1:2" x14ac:dyDescent="0.2">
      <c r="A1206" s="16">
        <v>46404</v>
      </c>
      <c r="B1206" t="s">
        <v>361</v>
      </c>
    </row>
    <row r="1207" spans="1:2" x14ac:dyDescent="0.2">
      <c r="A1207" s="16">
        <v>46404</v>
      </c>
      <c r="B1207" t="s">
        <v>385</v>
      </c>
    </row>
    <row r="1208" spans="1:2" x14ac:dyDescent="0.2">
      <c r="A1208" s="16">
        <v>46404</v>
      </c>
      <c r="B1208" t="s">
        <v>351</v>
      </c>
    </row>
    <row r="1209" spans="1:2" x14ac:dyDescent="0.2">
      <c r="A1209" s="16">
        <v>46404</v>
      </c>
      <c r="B1209" t="s">
        <v>353</v>
      </c>
    </row>
    <row r="1210" spans="1:2" x14ac:dyDescent="0.2">
      <c r="A1210" s="16">
        <v>46404</v>
      </c>
      <c r="B1210" t="s">
        <v>362</v>
      </c>
    </row>
    <row r="1211" spans="1:2" x14ac:dyDescent="0.2">
      <c r="A1211" s="16">
        <v>46404</v>
      </c>
      <c r="B1211" t="s">
        <v>368</v>
      </c>
    </row>
    <row r="1212" spans="1:2" x14ac:dyDescent="0.2">
      <c r="A1212" s="16">
        <v>46405</v>
      </c>
      <c r="B1212" t="s">
        <v>377</v>
      </c>
    </row>
    <row r="1213" spans="1:2" x14ac:dyDescent="0.2">
      <c r="A1213" s="16">
        <v>46405</v>
      </c>
      <c r="B1213" t="s">
        <v>337</v>
      </c>
    </row>
    <row r="1214" spans="1:2" x14ac:dyDescent="0.2">
      <c r="A1214" s="16">
        <v>46405</v>
      </c>
      <c r="B1214" t="s">
        <v>341</v>
      </c>
    </row>
    <row r="1215" spans="1:2" x14ac:dyDescent="0.2">
      <c r="A1215" s="16">
        <v>46405</v>
      </c>
      <c r="B1215" t="s">
        <v>357</v>
      </c>
    </row>
    <row r="1216" spans="1:2" x14ac:dyDescent="0.2">
      <c r="A1216" s="16">
        <v>46405</v>
      </c>
      <c r="B1216" t="s">
        <v>355</v>
      </c>
    </row>
    <row r="1217" spans="1:2" x14ac:dyDescent="0.2">
      <c r="A1217" s="16">
        <v>46405</v>
      </c>
      <c r="B1217" t="s">
        <v>348</v>
      </c>
    </row>
    <row r="1218" spans="1:2" x14ac:dyDescent="0.2">
      <c r="A1218" s="16">
        <v>46405</v>
      </c>
      <c r="B1218" t="s">
        <v>373</v>
      </c>
    </row>
    <row r="1219" spans="1:2" x14ac:dyDescent="0.2">
      <c r="A1219" s="16">
        <v>46405</v>
      </c>
      <c r="B1219" t="s">
        <v>396</v>
      </c>
    </row>
    <row r="1220" spans="1:2" x14ac:dyDescent="0.2">
      <c r="A1220" s="16">
        <v>46405</v>
      </c>
      <c r="B1220" t="s">
        <v>334</v>
      </c>
    </row>
    <row r="1221" spans="1:2" x14ac:dyDescent="0.2">
      <c r="A1221" s="16">
        <v>46405</v>
      </c>
      <c r="B1221" t="s">
        <v>342</v>
      </c>
    </row>
    <row r="1222" spans="1:2" x14ac:dyDescent="0.2">
      <c r="A1222" s="16">
        <v>46405</v>
      </c>
      <c r="B1222" t="s">
        <v>325</v>
      </c>
    </row>
    <row r="1223" spans="1:2" x14ac:dyDescent="0.2">
      <c r="A1223" s="16">
        <v>46405</v>
      </c>
      <c r="B1223" t="s">
        <v>343</v>
      </c>
    </row>
    <row r="1224" spans="1:2" x14ac:dyDescent="0.2">
      <c r="A1224" s="16">
        <v>46405</v>
      </c>
      <c r="B1224" t="s">
        <v>346</v>
      </c>
    </row>
    <row r="1225" spans="1:2" x14ac:dyDescent="0.2">
      <c r="A1225" s="16">
        <v>46405</v>
      </c>
      <c r="B1225" t="s">
        <v>368</v>
      </c>
    </row>
    <row r="1226" spans="1:2" x14ac:dyDescent="0.2">
      <c r="A1226" s="16">
        <v>46406</v>
      </c>
      <c r="B1226" t="s">
        <v>378</v>
      </c>
    </row>
    <row r="1227" spans="1:2" x14ac:dyDescent="0.2">
      <c r="A1227" s="16">
        <v>46406</v>
      </c>
      <c r="B1227" t="s">
        <v>370</v>
      </c>
    </row>
    <row r="1228" spans="1:2" x14ac:dyDescent="0.2">
      <c r="A1228" s="16">
        <v>46406</v>
      </c>
      <c r="B1228" t="s">
        <v>357</v>
      </c>
    </row>
    <row r="1229" spans="1:2" x14ac:dyDescent="0.2">
      <c r="A1229" s="16">
        <v>46406</v>
      </c>
      <c r="B1229" t="s">
        <v>339</v>
      </c>
    </row>
    <row r="1230" spans="1:2" x14ac:dyDescent="0.2">
      <c r="A1230" s="16">
        <v>46406</v>
      </c>
      <c r="B1230" t="s">
        <v>345</v>
      </c>
    </row>
    <row r="1231" spans="1:2" x14ac:dyDescent="0.2">
      <c r="A1231" s="16">
        <v>46406</v>
      </c>
      <c r="B1231" t="s">
        <v>366</v>
      </c>
    </row>
    <row r="1232" spans="1:2" x14ac:dyDescent="0.2">
      <c r="A1232" s="16">
        <v>46406</v>
      </c>
      <c r="B1232" t="s">
        <v>332</v>
      </c>
    </row>
    <row r="1233" spans="1:2" x14ac:dyDescent="0.2">
      <c r="A1233" s="16">
        <v>46406</v>
      </c>
      <c r="B1233" t="s">
        <v>329</v>
      </c>
    </row>
    <row r="1234" spans="1:2" x14ac:dyDescent="0.2">
      <c r="A1234" s="16">
        <v>46406</v>
      </c>
      <c r="B1234" t="s">
        <v>358</v>
      </c>
    </row>
    <row r="1235" spans="1:2" x14ac:dyDescent="0.2">
      <c r="A1235" s="16">
        <v>46406</v>
      </c>
      <c r="B1235" t="s">
        <v>343</v>
      </c>
    </row>
    <row r="1236" spans="1:2" x14ac:dyDescent="0.2">
      <c r="A1236" s="16">
        <v>46406</v>
      </c>
      <c r="B1236" t="s">
        <v>361</v>
      </c>
    </row>
    <row r="1237" spans="1:2" x14ac:dyDescent="0.2">
      <c r="A1237" s="16">
        <v>46406</v>
      </c>
      <c r="B1237" t="s">
        <v>385</v>
      </c>
    </row>
    <row r="1238" spans="1:2" x14ac:dyDescent="0.2">
      <c r="A1238" s="16">
        <v>46406</v>
      </c>
      <c r="B1238" t="s">
        <v>353</v>
      </c>
    </row>
    <row r="1239" spans="1:2" x14ac:dyDescent="0.2">
      <c r="A1239" s="16">
        <v>46406</v>
      </c>
      <c r="B1239" t="s">
        <v>362</v>
      </c>
    </row>
    <row r="1240" spans="1:2" x14ac:dyDescent="0.2">
      <c r="A1240" s="16">
        <v>46407</v>
      </c>
      <c r="B1240" t="s">
        <v>377</v>
      </c>
    </row>
    <row r="1241" spans="1:2" x14ac:dyDescent="0.2">
      <c r="A1241" s="16">
        <v>46407</v>
      </c>
      <c r="B1241" t="s">
        <v>379</v>
      </c>
    </row>
    <row r="1242" spans="1:2" x14ac:dyDescent="0.2">
      <c r="A1242" s="16">
        <v>46407</v>
      </c>
      <c r="B1242" t="s">
        <v>337</v>
      </c>
    </row>
    <row r="1243" spans="1:2" x14ac:dyDescent="0.2">
      <c r="A1243" s="16">
        <v>46407</v>
      </c>
      <c r="B1243" t="s">
        <v>370</v>
      </c>
    </row>
    <row r="1244" spans="1:2" x14ac:dyDescent="0.2">
      <c r="A1244" s="16">
        <v>46407</v>
      </c>
      <c r="B1244" t="s">
        <v>348</v>
      </c>
    </row>
    <row r="1245" spans="1:2" x14ac:dyDescent="0.2">
      <c r="A1245" s="16">
        <v>46407</v>
      </c>
      <c r="B1245" t="s">
        <v>366</v>
      </c>
    </row>
    <row r="1246" spans="1:2" x14ac:dyDescent="0.2">
      <c r="A1246" s="16">
        <v>46407</v>
      </c>
      <c r="B1246" t="s">
        <v>373</v>
      </c>
    </row>
    <row r="1247" spans="1:2" x14ac:dyDescent="0.2">
      <c r="A1247" s="16">
        <v>46407</v>
      </c>
      <c r="B1247" t="s">
        <v>396</v>
      </c>
    </row>
    <row r="1248" spans="1:2" x14ac:dyDescent="0.2">
      <c r="A1248" s="16">
        <v>46407</v>
      </c>
      <c r="B1248" t="s">
        <v>329</v>
      </c>
    </row>
    <row r="1249" spans="1:2" x14ac:dyDescent="0.2">
      <c r="A1249" s="16">
        <v>46407</v>
      </c>
      <c r="B1249" t="s">
        <v>369</v>
      </c>
    </row>
    <row r="1250" spans="1:2" x14ac:dyDescent="0.2">
      <c r="A1250" s="16">
        <v>46407</v>
      </c>
      <c r="B1250" t="s">
        <v>334</v>
      </c>
    </row>
    <row r="1251" spans="1:2" x14ac:dyDescent="0.2">
      <c r="A1251" s="16">
        <v>46407</v>
      </c>
      <c r="B1251" t="s">
        <v>364</v>
      </c>
    </row>
    <row r="1252" spans="1:2" x14ac:dyDescent="0.2">
      <c r="A1252" s="16">
        <v>46407</v>
      </c>
      <c r="B1252" t="s">
        <v>342</v>
      </c>
    </row>
    <row r="1253" spans="1:2" x14ac:dyDescent="0.2">
      <c r="A1253" s="16">
        <v>46407</v>
      </c>
      <c r="B1253" t="s">
        <v>325</v>
      </c>
    </row>
    <row r="1254" spans="1:2" x14ac:dyDescent="0.2">
      <c r="A1254" s="16">
        <v>46407</v>
      </c>
      <c r="B1254" t="s">
        <v>346</v>
      </c>
    </row>
    <row r="1255" spans="1:2" x14ac:dyDescent="0.2">
      <c r="A1255" s="16">
        <v>46407</v>
      </c>
      <c r="B1255" t="s">
        <v>361</v>
      </c>
    </row>
    <row r="1256" spans="1:2" x14ac:dyDescent="0.2">
      <c r="A1256" s="16">
        <v>46407</v>
      </c>
      <c r="B1256" t="s">
        <v>385</v>
      </c>
    </row>
    <row r="1257" spans="1:2" x14ac:dyDescent="0.2">
      <c r="A1257" s="16">
        <v>46407</v>
      </c>
      <c r="B1257" t="s">
        <v>351</v>
      </c>
    </row>
    <row r="1258" spans="1:2" x14ac:dyDescent="0.2">
      <c r="A1258" s="16">
        <v>46407</v>
      </c>
      <c r="B1258" t="s">
        <v>353</v>
      </c>
    </row>
    <row r="1259" spans="1:2" x14ac:dyDescent="0.2">
      <c r="A1259" s="16">
        <v>46407</v>
      </c>
      <c r="B1259" t="s">
        <v>362</v>
      </c>
    </row>
    <row r="1260" spans="1:2" x14ac:dyDescent="0.2">
      <c r="A1260" s="16">
        <v>46408</v>
      </c>
      <c r="B1260" t="s">
        <v>379</v>
      </c>
    </row>
    <row r="1261" spans="1:2" x14ac:dyDescent="0.2">
      <c r="A1261" s="16">
        <v>46408</v>
      </c>
      <c r="B1261" t="s">
        <v>337</v>
      </c>
    </row>
    <row r="1262" spans="1:2" x14ac:dyDescent="0.2">
      <c r="A1262" s="16">
        <v>46408</v>
      </c>
      <c r="B1262" t="s">
        <v>341</v>
      </c>
    </row>
    <row r="1263" spans="1:2" x14ac:dyDescent="0.2">
      <c r="A1263" s="16">
        <v>46408</v>
      </c>
      <c r="B1263" t="s">
        <v>339</v>
      </c>
    </row>
    <row r="1264" spans="1:2" x14ac:dyDescent="0.2">
      <c r="A1264" s="16">
        <v>46408</v>
      </c>
      <c r="B1264" t="s">
        <v>345</v>
      </c>
    </row>
    <row r="1265" spans="1:2" x14ac:dyDescent="0.2">
      <c r="A1265" s="16">
        <v>46408</v>
      </c>
      <c r="B1265" t="s">
        <v>332</v>
      </c>
    </row>
    <row r="1266" spans="1:2" x14ac:dyDescent="0.2">
      <c r="A1266" s="16">
        <v>46408</v>
      </c>
      <c r="B1266" t="s">
        <v>343</v>
      </c>
    </row>
    <row r="1267" spans="1:2" x14ac:dyDescent="0.2">
      <c r="A1267" s="16">
        <v>46408</v>
      </c>
      <c r="B1267" t="s">
        <v>368</v>
      </c>
    </row>
    <row r="1268" spans="1:2" x14ac:dyDescent="0.2">
      <c r="A1268" s="16">
        <v>46409</v>
      </c>
      <c r="B1268" t="s">
        <v>377</v>
      </c>
    </row>
    <row r="1269" spans="1:2" x14ac:dyDescent="0.2">
      <c r="A1269" s="16">
        <v>46409</v>
      </c>
      <c r="B1269" t="s">
        <v>378</v>
      </c>
    </row>
    <row r="1270" spans="1:2" x14ac:dyDescent="0.2">
      <c r="A1270" s="16">
        <v>46409</v>
      </c>
      <c r="B1270" t="s">
        <v>357</v>
      </c>
    </row>
    <row r="1271" spans="1:2" x14ac:dyDescent="0.2">
      <c r="A1271" s="16">
        <v>46409</v>
      </c>
      <c r="B1271" t="s">
        <v>355</v>
      </c>
    </row>
    <row r="1272" spans="1:2" x14ac:dyDescent="0.2">
      <c r="A1272" s="16">
        <v>46409</v>
      </c>
      <c r="B1272" t="s">
        <v>345</v>
      </c>
    </row>
    <row r="1273" spans="1:2" x14ac:dyDescent="0.2">
      <c r="A1273" s="16">
        <v>46409</v>
      </c>
      <c r="B1273" t="s">
        <v>348</v>
      </c>
    </row>
    <row r="1274" spans="1:2" x14ac:dyDescent="0.2">
      <c r="A1274" s="16">
        <v>46409</v>
      </c>
      <c r="B1274" t="s">
        <v>366</v>
      </c>
    </row>
    <row r="1275" spans="1:2" x14ac:dyDescent="0.2">
      <c r="A1275" s="16">
        <v>46409</v>
      </c>
      <c r="B1275" t="s">
        <v>373</v>
      </c>
    </row>
    <row r="1276" spans="1:2" x14ac:dyDescent="0.2">
      <c r="A1276" s="16">
        <v>46409</v>
      </c>
      <c r="B1276" t="s">
        <v>332</v>
      </c>
    </row>
    <row r="1277" spans="1:2" x14ac:dyDescent="0.2">
      <c r="A1277" s="16">
        <v>46409</v>
      </c>
      <c r="B1277" t="s">
        <v>396</v>
      </c>
    </row>
    <row r="1278" spans="1:2" x14ac:dyDescent="0.2">
      <c r="A1278" s="16">
        <v>46409</v>
      </c>
      <c r="B1278" t="s">
        <v>369</v>
      </c>
    </row>
    <row r="1279" spans="1:2" x14ac:dyDescent="0.2">
      <c r="A1279" s="16">
        <v>46409</v>
      </c>
      <c r="B1279" t="s">
        <v>334</v>
      </c>
    </row>
    <row r="1280" spans="1:2" x14ac:dyDescent="0.2">
      <c r="A1280" s="16">
        <v>46409</v>
      </c>
      <c r="B1280" t="s">
        <v>364</v>
      </c>
    </row>
    <row r="1281" spans="1:2" x14ac:dyDescent="0.2">
      <c r="A1281" s="16">
        <v>46409</v>
      </c>
      <c r="B1281" t="s">
        <v>342</v>
      </c>
    </row>
    <row r="1282" spans="1:2" x14ac:dyDescent="0.2">
      <c r="A1282" s="16">
        <v>46409</v>
      </c>
      <c r="B1282" t="s">
        <v>325</v>
      </c>
    </row>
    <row r="1283" spans="1:2" x14ac:dyDescent="0.2">
      <c r="A1283" s="16">
        <v>46409</v>
      </c>
      <c r="B1283" t="s">
        <v>358</v>
      </c>
    </row>
    <row r="1284" spans="1:2" x14ac:dyDescent="0.2">
      <c r="A1284" s="16">
        <v>46409</v>
      </c>
      <c r="B1284" t="s">
        <v>346</v>
      </c>
    </row>
    <row r="1285" spans="1:2" x14ac:dyDescent="0.2">
      <c r="A1285" s="16">
        <v>46409</v>
      </c>
      <c r="B1285" t="s">
        <v>361</v>
      </c>
    </row>
    <row r="1286" spans="1:2" x14ac:dyDescent="0.2">
      <c r="A1286" s="16">
        <v>46409</v>
      </c>
      <c r="B1286" t="s">
        <v>385</v>
      </c>
    </row>
    <row r="1287" spans="1:2" x14ac:dyDescent="0.2">
      <c r="A1287" s="16">
        <v>46409</v>
      </c>
      <c r="B1287" t="s">
        <v>351</v>
      </c>
    </row>
    <row r="1288" spans="1:2" x14ac:dyDescent="0.2">
      <c r="A1288" s="16">
        <v>46409</v>
      </c>
      <c r="B1288" t="s">
        <v>362</v>
      </c>
    </row>
    <row r="1289" spans="1:2" x14ac:dyDescent="0.2">
      <c r="A1289" s="16">
        <v>46409</v>
      </c>
      <c r="B1289" t="s">
        <v>368</v>
      </c>
    </row>
    <row r="1290" spans="1:2" x14ac:dyDescent="0.2">
      <c r="A1290" s="16">
        <v>46410</v>
      </c>
      <c r="B1290" t="s">
        <v>377</v>
      </c>
    </row>
    <row r="1291" spans="1:2" x14ac:dyDescent="0.2">
      <c r="A1291" s="16">
        <v>46410</v>
      </c>
      <c r="B1291" t="s">
        <v>379</v>
      </c>
    </row>
    <row r="1292" spans="1:2" x14ac:dyDescent="0.2">
      <c r="A1292" s="16">
        <v>46410</v>
      </c>
      <c r="B1292" t="s">
        <v>337</v>
      </c>
    </row>
    <row r="1293" spans="1:2" x14ac:dyDescent="0.2">
      <c r="A1293" s="16">
        <v>46410</v>
      </c>
      <c r="B1293" t="s">
        <v>378</v>
      </c>
    </row>
    <row r="1294" spans="1:2" x14ac:dyDescent="0.2">
      <c r="A1294" s="16">
        <v>46410</v>
      </c>
      <c r="B1294" t="s">
        <v>370</v>
      </c>
    </row>
    <row r="1295" spans="1:2" x14ac:dyDescent="0.2">
      <c r="A1295" s="16">
        <v>46410</v>
      </c>
      <c r="B1295" t="s">
        <v>341</v>
      </c>
    </row>
    <row r="1296" spans="1:2" x14ac:dyDescent="0.2">
      <c r="A1296" s="16">
        <v>46410</v>
      </c>
      <c r="B1296" t="s">
        <v>357</v>
      </c>
    </row>
    <row r="1297" spans="1:2" x14ac:dyDescent="0.2">
      <c r="A1297" s="16">
        <v>46410</v>
      </c>
      <c r="B1297" t="s">
        <v>339</v>
      </c>
    </row>
    <row r="1298" spans="1:2" x14ac:dyDescent="0.2">
      <c r="A1298" s="16">
        <v>46410</v>
      </c>
      <c r="B1298" t="s">
        <v>329</v>
      </c>
    </row>
    <row r="1299" spans="1:2" x14ac:dyDescent="0.2">
      <c r="A1299" s="16">
        <v>46410</v>
      </c>
      <c r="B1299" t="s">
        <v>369</v>
      </c>
    </row>
    <row r="1300" spans="1:2" x14ac:dyDescent="0.2">
      <c r="A1300" s="16">
        <v>46410</v>
      </c>
      <c r="B1300" t="s">
        <v>343</v>
      </c>
    </row>
    <row r="1301" spans="1:2" x14ac:dyDescent="0.2">
      <c r="A1301" s="16">
        <v>46410</v>
      </c>
      <c r="B1301" t="s">
        <v>353</v>
      </c>
    </row>
    <row r="1302" spans="1:2" x14ac:dyDescent="0.2">
      <c r="A1302" s="16">
        <v>46411</v>
      </c>
      <c r="B1302" t="s">
        <v>355</v>
      </c>
    </row>
    <row r="1303" spans="1:2" x14ac:dyDescent="0.2">
      <c r="A1303" s="16">
        <v>46411</v>
      </c>
      <c r="B1303" t="s">
        <v>345</v>
      </c>
    </row>
    <row r="1304" spans="1:2" x14ac:dyDescent="0.2">
      <c r="A1304" s="16">
        <v>46411</v>
      </c>
      <c r="B1304" t="s">
        <v>348</v>
      </c>
    </row>
    <row r="1305" spans="1:2" x14ac:dyDescent="0.2">
      <c r="A1305" s="16">
        <v>46411</v>
      </c>
      <c r="B1305" t="s">
        <v>373</v>
      </c>
    </row>
    <row r="1306" spans="1:2" x14ac:dyDescent="0.2">
      <c r="A1306" s="16">
        <v>46411</v>
      </c>
      <c r="B1306" t="s">
        <v>332</v>
      </c>
    </row>
    <row r="1307" spans="1:2" x14ac:dyDescent="0.2">
      <c r="A1307" s="16">
        <v>46411</v>
      </c>
      <c r="B1307" t="s">
        <v>334</v>
      </c>
    </row>
    <row r="1308" spans="1:2" x14ac:dyDescent="0.2">
      <c r="A1308" s="16">
        <v>46411</v>
      </c>
      <c r="B1308" t="s">
        <v>342</v>
      </c>
    </row>
    <row r="1309" spans="1:2" x14ac:dyDescent="0.2">
      <c r="A1309" s="16">
        <v>46411</v>
      </c>
      <c r="B1309" t="s">
        <v>325</v>
      </c>
    </row>
    <row r="1310" spans="1:2" x14ac:dyDescent="0.2">
      <c r="A1310" s="16">
        <v>46411</v>
      </c>
      <c r="B1310" t="s">
        <v>358</v>
      </c>
    </row>
    <row r="1311" spans="1:2" x14ac:dyDescent="0.2">
      <c r="A1311" s="16">
        <v>46411</v>
      </c>
      <c r="B1311" t="s">
        <v>346</v>
      </c>
    </row>
    <row r="1312" spans="1:2" x14ac:dyDescent="0.2">
      <c r="A1312" s="16">
        <v>46411</v>
      </c>
      <c r="B1312" t="s">
        <v>361</v>
      </c>
    </row>
    <row r="1313" spans="1:2" x14ac:dyDescent="0.2">
      <c r="A1313" s="16">
        <v>46411</v>
      </c>
      <c r="B1313" t="s">
        <v>351</v>
      </c>
    </row>
    <row r="1314" spans="1:2" x14ac:dyDescent="0.2">
      <c r="A1314" s="16">
        <v>46411</v>
      </c>
      <c r="B1314" t="s">
        <v>362</v>
      </c>
    </row>
    <row r="1315" spans="1:2" x14ac:dyDescent="0.2">
      <c r="A1315" s="16">
        <v>46411</v>
      </c>
      <c r="B1315" t="s">
        <v>368</v>
      </c>
    </row>
    <row r="1316" spans="1:2" x14ac:dyDescent="0.2">
      <c r="A1316" s="16">
        <v>46412</v>
      </c>
      <c r="B1316" t="s">
        <v>379</v>
      </c>
    </row>
    <row r="1317" spans="1:2" x14ac:dyDescent="0.2">
      <c r="A1317" s="16">
        <v>46412</v>
      </c>
      <c r="B1317" t="s">
        <v>337</v>
      </c>
    </row>
    <row r="1318" spans="1:2" x14ac:dyDescent="0.2">
      <c r="A1318" s="16">
        <v>46412</v>
      </c>
      <c r="B1318" t="s">
        <v>378</v>
      </c>
    </row>
    <row r="1319" spans="1:2" x14ac:dyDescent="0.2">
      <c r="A1319" s="16">
        <v>46412</v>
      </c>
      <c r="B1319" t="s">
        <v>370</v>
      </c>
    </row>
    <row r="1320" spans="1:2" x14ac:dyDescent="0.2">
      <c r="A1320" s="16">
        <v>46412</v>
      </c>
      <c r="B1320" t="s">
        <v>341</v>
      </c>
    </row>
    <row r="1321" spans="1:2" x14ac:dyDescent="0.2">
      <c r="A1321" s="16">
        <v>46412</v>
      </c>
      <c r="B1321" t="s">
        <v>357</v>
      </c>
    </row>
    <row r="1322" spans="1:2" x14ac:dyDescent="0.2">
      <c r="A1322" s="16">
        <v>46412</v>
      </c>
      <c r="B1322" t="s">
        <v>339</v>
      </c>
    </row>
    <row r="1323" spans="1:2" x14ac:dyDescent="0.2">
      <c r="A1323" s="16">
        <v>46412</v>
      </c>
      <c r="B1323" t="s">
        <v>373</v>
      </c>
    </row>
    <row r="1324" spans="1:2" x14ac:dyDescent="0.2">
      <c r="A1324" s="16">
        <v>46412</v>
      </c>
      <c r="B1324" t="s">
        <v>396</v>
      </c>
    </row>
    <row r="1325" spans="1:2" x14ac:dyDescent="0.2">
      <c r="A1325" s="16">
        <v>46412</v>
      </c>
      <c r="B1325" t="s">
        <v>329</v>
      </c>
    </row>
    <row r="1326" spans="1:2" x14ac:dyDescent="0.2">
      <c r="A1326" s="16">
        <v>46412</v>
      </c>
      <c r="B1326" t="s">
        <v>334</v>
      </c>
    </row>
    <row r="1327" spans="1:2" x14ac:dyDescent="0.2">
      <c r="A1327" s="16">
        <v>46412</v>
      </c>
      <c r="B1327" t="s">
        <v>364</v>
      </c>
    </row>
    <row r="1328" spans="1:2" x14ac:dyDescent="0.2">
      <c r="A1328" s="16">
        <v>46412</v>
      </c>
      <c r="B1328" t="s">
        <v>358</v>
      </c>
    </row>
    <row r="1329" spans="1:2" x14ac:dyDescent="0.2">
      <c r="A1329" s="16">
        <v>46412</v>
      </c>
      <c r="B1329" t="s">
        <v>343</v>
      </c>
    </row>
    <row r="1330" spans="1:2" x14ac:dyDescent="0.2">
      <c r="A1330" s="16">
        <v>46412</v>
      </c>
      <c r="B1330" t="s">
        <v>385</v>
      </c>
    </row>
    <row r="1331" spans="1:2" x14ac:dyDescent="0.2">
      <c r="A1331" s="16">
        <v>46412</v>
      </c>
      <c r="B1331" t="s">
        <v>353</v>
      </c>
    </row>
    <row r="1332" spans="1:2" x14ac:dyDescent="0.2">
      <c r="A1332" s="16">
        <v>46413</v>
      </c>
      <c r="B1332" t="s">
        <v>377</v>
      </c>
    </row>
    <row r="1333" spans="1:2" x14ac:dyDescent="0.2">
      <c r="A1333" s="16">
        <v>46413</v>
      </c>
      <c r="B1333" t="s">
        <v>370</v>
      </c>
    </row>
    <row r="1334" spans="1:2" x14ac:dyDescent="0.2">
      <c r="A1334" s="16">
        <v>46413</v>
      </c>
      <c r="B1334" t="s">
        <v>355</v>
      </c>
    </row>
    <row r="1335" spans="1:2" x14ac:dyDescent="0.2">
      <c r="A1335" s="16">
        <v>46413</v>
      </c>
      <c r="B1335" t="s">
        <v>348</v>
      </c>
    </row>
    <row r="1336" spans="1:2" x14ac:dyDescent="0.2">
      <c r="A1336" s="16">
        <v>46413</v>
      </c>
      <c r="B1336" t="s">
        <v>366</v>
      </c>
    </row>
    <row r="1337" spans="1:2" x14ac:dyDescent="0.2">
      <c r="A1337" s="16">
        <v>46413</v>
      </c>
      <c r="B1337" t="s">
        <v>332</v>
      </c>
    </row>
    <row r="1338" spans="1:2" x14ac:dyDescent="0.2">
      <c r="A1338" s="16">
        <v>46413</v>
      </c>
      <c r="B1338" t="s">
        <v>369</v>
      </c>
    </row>
    <row r="1339" spans="1:2" x14ac:dyDescent="0.2">
      <c r="A1339" s="16">
        <v>46413</v>
      </c>
      <c r="B1339" t="s">
        <v>342</v>
      </c>
    </row>
    <row r="1340" spans="1:2" x14ac:dyDescent="0.2">
      <c r="A1340" s="16">
        <v>46413</v>
      </c>
      <c r="B1340" t="s">
        <v>325</v>
      </c>
    </row>
    <row r="1341" spans="1:2" x14ac:dyDescent="0.2">
      <c r="A1341" s="16">
        <v>46413</v>
      </c>
      <c r="B1341" t="s">
        <v>346</v>
      </c>
    </row>
    <row r="1342" spans="1:2" x14ac:dyDescent="0.2">
      <c r="A1342" s="16">
        <v>46413</v>
      </c>
      <c r="B1342" t="s">
        <v>361</v>
      </c>
    </row>
    <row r="1343" spans="1:2" x14ac:dyDescent="0.2">
      <c r="A1343" s="16">
        <v>46413</v>
      </c>
      <c r="B1343" t="s">
        <v>351</v>
      </c>
    </row>
    <row r="1344" spans="1:2" x14ac:dyDescent="0.2">
      <c r="A1344" s="16">
        <v>46413</v>
      </c>
      <c r="B1344" t="s">
        <v>362</v>
      </c>
    </row>
    <row r="1345" spans="1:2" x14ac:dyDescent="0.2">
      <c r="A1345" s="16">
        <v>46413</v>
      </c>
      <c r="B1345" t="s">
        <v>368</v>
      </c>
    </row>
    <row r="1346" spans="1:2" x14ac:dyDescent="0.2">
      <c r="A1346" s="16">
        <v>46414</v>
      </c>
      <c r="B1346" t="s">
        <v>379</v>
      </c>
    </row>
    <row r="1347" spans="1:2" x14ac:dyDescent="0.2">
      <c r="A1347" s="16">
        <v>46414</v>
      </c>
      <c r="B1347" t="s">
        <v>337</v>
      </c>
    </row>
    <row r="1348" spans="1:2" x14ac:dyDescent="0.2">
      <c r="A1348" s="16">
        <v>46414</v>
      </c>
      <c r="B1348" t="s">
        <v>378</v>
      </c>
    </row>
    <row r="1349" spans="1:2" x14ac:dyDescent="0.2">
      <c r="A1349" s="16">
        <v>46414</v>
      </c>
      <c r="B1349" t="s">
        <v>341</v>
      </c>
    </row>
    <row r="1350" spans="1:2" x14ac:dyDescent="0.2">
      <c r="A1350" s="16">
        <v>46414</v>
      </c>
      <c r="B1350" t="s">
        <v>357</v>
      </c>
    </row>
    <row r="1351" spans="1:2" x14ac:dyDescent="0.2">
      <c r="A1351" s="16">
        <v>46414</v>
      </c>
      <c r="B1351" t="s">
        <v>339</v>
      </c>
    </row>
    <row r="1352" spans="1:2" x14ac:dyDescent="0.2">
      <c r="A1352" s="16">
        <v>46414</v>
      </c>
      <c r="B1352" t="s">
        <v>355</v>
      </c>
    </row>
    <row r="1353" spans="1:2" x14ac:dyDescent="0.2">
      <c r="A1353" s="16">
        <v>46414</v>
      </c>
      <c r="B1353" t="s">
        <v>345</v>
      </c>
    </row>
    <row r="1354" spans="1:2" x14ac:dyDescent="0.2">
      <c r="A1354" s="16">
        <v>46414</v>
      </c>
      <c r="B1354" t="s">
        <v>348</v>
      </c>
    </row>
    <row r="1355" spans="1:2" x14ac:dyDescent="0.2">
      <c r="A1355" s="16">
        <v>46414</v>
      </c>
      <c r="B1355" t="s">
        <v>373</v>
      </c>
    </row>
    <row r="1356" spans="1:2" x14ac:dyDescent="0.2">
      <c r="A1356" s="16">
        <v>46414</v>
      </c>
      <c r="B1356" t="s">
        <v>334</v>
      </c>
    </row>
    <row r="1357" spans="1:2" x14ac:dyDescent="0.2">
      <c r="A1357" s="16">
        <v>46414</v>
      </c>
      <c r="B1357" t="s">
        <v>364</v>
      </c>
    </row>
    <row r="1358" spans="1:2" x14ac:dyDescent="0.2">
      <c r="A1358" s="16">
        <v>46414</v>
      </c>
      <c r="B1358" t="s">
        <v>343</v>
      </c>
    </row>
    <row r="1359" spans="1:2" x14ac:dyDescent="0.2">
      <c r="A1359" s="16">
        <v>46414</v>
      </c>
      <c r="B1359" t="s">
        <v>346</v>
      </c>
    </row>
    <row r="1360" spans="1:2" x14ac:dyDescent="0.2">
      <c r="A1360" s="16">
        <v>46414</v>
      </c>
      <c r="B1360" t="s">
        <v>361</v>
      </c>
    </row>
    <row r="1361" spans="1:2" x14ac:dyDescent="0.2">
      <c r="A1361" s="16">
        <v>46414</v>
      </c>
      <c r="B1361" t="s">
        <v>385</v>
      </c>
    </row>
    <row r="1362" spans="1:2" x14ac:dyDescent="0.2">
      <c r="A1362" s="16">
        <v>46414</v>
      </c>
      <c r="B1362" t="s">
        <v>351</v>
      </c>
    </row>
    <row r="1363" spans="1:2" x14ac:dyDescent="0.2">
      <c r="A1363" s="16">
        <v>46414</v>
      </c>
      <c r="B1363" t="s">
        <v>353</v>
      </c>
    </row>
    <row r="1364" spans="1:2" x14ac:dyDescent="0.2">
      <c r="A1364" s="16">
        <v>46415</v>
      </c>
      <c r="B1364" t="s">
        <v>377</v>
      </c>
    </row>
    <row r="1365" spans="1:2" x14ac:dyDescent="0.2">
      <c r="A1365" s="16">
        <v>46415</v>
      </c>
      <c r="B1365" t="s">
        <v>370</v>
      </c>
    </row>
    <row r="1366" spans="1:2" x14ac:dyDescent="0.2">
      <c r="A1366" s="16">
        <v>46415</v>
      </c>
      <c r="B1366" t="s">
        <v>345</v>
      </c>
    </row>
    <row r="1367" spans="1:2" x14ac:dyDescent="0.2">
      <c r="A1367" s="16">
        <v>46415</v>
      </c>
      <c r="B1367" t="s">
        <v>366</v>
      </c>
    </row>
    <row r="1368" spans="1:2" x14ac:dyDescent="0.2">
      <c r="A1368" s="16">
        <v>46415</v>
      </c>
      <c r="B1368" t="s">
        <v>332</v>
      </c>
    </row>
    <row r="1369" spans="1:2" x14ac:dyDescent="0.2">
      <c r="A1369" s="16">
        <v>46415</v>
      </c>
      <c r="B1369" t="s">
        <v>396</v>
      </c>
    </row>
    <row r="1370" spans="1:2" x14ac:dyDescent="0.2">
      <c r="A1370" s="16">
        <v>46415</v>
      </c>
      <c r="B1370" t="s">
        <v>329</v>
      </c>
    </row>
    <row r="1371" spans="1:2" x14ac:dyDescent="0.2">
      <c r="A1371" s="16">
        <v>46415</v>
      </c>
      <c r="B1371" t="s">
        <v>369</v>
      </c>
    </row>
    <row r="1372" spans="1:2" x14ac:dyDescent="0.2">
      <c r="A1372" s="16">
        <v>46415</v>
      </c>
      <c r="B1372" t="s">
        <v>364</v>
      </c>
    </row>
    <row r="1373" spans="1:2" x14ac:dyDescent="0.2">
      <c r="A1373" s="16">
        <v>46415</v>
      </c>
      <c r="B1373" t="s">
        <v>342</v>
      </c>
    </row>
    <row r="1374" spans="1:2" x14ac:dyDescent="0.2">
      <c r="A1374" s="16">
        <v>46415</v>
      </c>
      <c r="B1374" t="s">
        <v>325</v>
      </c>
    </row>
    <row r="1375" spans="1:2" x14ac:dyDescent="0.2">
      <c r="A1375" s="16">
        <v>46415</v>
      </c>
      <c r="B1375" t="s">
        <v>358</v>
      </c>
    </row>
    <row r="1376" spans="1:2" x14ac:dyDescent="0.2">
      <c r="A1376" s="16">
        <v>46415</v>
      </c>
      <c r="B1376" t="s">
        <v>343</v>
      </c>
    </row>
    <row r="1377" spans="1:2" x14ac:dyDescent="0.2">
      <c r="A1377" s="16">
        <v>46415</v>
      </c>
      <c r="B1377" t="s">
        <v>385</v>
      </c>
    </row>
    <row r="1378" spans="1:2" x14ac:dyDescent="0.2">
      <c r="A1378" s="16">
        <v>46415</v>
      </c>
      <c r="B1378" t="s">
        <v>362</v>
      </c>
    </row>
    <row r="1379" spans="1:2" x14ac:dyDescent="0.2">
      <c r="A1379" s="16">
        <v>46415</v>
      </c>
      <c r="B1379" t="s">
        <v>368</v>
      </c>
    </row>
    <row r="1380" spans="1:2" x14ac:dyDescent="0.2">
      <c r="A1380" s="16">
        <v>46416</v>
      </c>
      <c r="B1380" t="s">
        <v>379</v>
      </c>
    </row>
    <row r="1381" spans="1:2" x14ac:dyDescent="0.2">
      <c r="A1381" s="16">
        <v>46416</v>
      </c>
      <c r="B1381" t="s">
        <v>337</v>
      </c>
    </row>
    <row r="1382" spans="1:2" x14ac:dyDescent="0.2">
      <c r="A1382" s="16">
        <v>46416</v>
      </c>
      <c r="B1382" t="s">
        <v>378</v>
      </c>
    </row>
    <row r="1383" spans="1:2" x14ac:dyDescent="0.2">
      <c r="A1383" s="16">
        <v>46416</v>
      </c>
      <c r="B1383" t="s">
        <v>341</v>
      </c>
    </row>
    <row r="1384" spans="1:2" x14ac:dyDescent="0.2">
      <c r="A1384" s="16">
        <v>46416</v>
      </c>
      <c r="B1384" t="s">
        <v>357</v>
      </c>
    </row>
    <row r="1385" spans="1:2" x14ac:dyDescent="0.2">
      <c r="A1385" s="16">
        <v>46416</v>
      </c>
      <c r="B1385" t="s">
        <v>355</v>
      </c>
    </row>
    <row r="1386" spans="1:2" x14ac:dyDescent="0.2">
      <c r="A1386" s="16">
        <v>46416</v>
      </c>
      <c r="B1386" t="s">
        <v>348</v>
      </c>
    </row>
    <row r="1387" spans="1:2" x14ac:dyDescent="0.2">
      <c r="A1387" s="16">
        <v>46416</v>
      </c>
      <c r="B1387" t="s">
        <v>373</v>
      </c>
    </row>
    <row r="1388" spans="1:2" x14ac:dyDescent="0.2">
      <c r="A1388" s="16">
        <v>46416</v>
      </c>
      <c r="B1388" t="s">
        <v>334</v>
      </c>
    </row>
    <row r="1389" spans="1:2" x14ac:dyDescent="0.2">
      <c r="A1389" s="16">
        <v>46416</v>
      </c>
      <c r="B1389" t="s">
        <v>358</v>
      </c>
    </row>
    <row r="1390" spans="1:2" x14ac:dyDescent="0.2">
      <c r="A1390" s="16">
        <v>46416</v>
      </c>
      <c r="B1390" t="s">
        <v>346</v>
      </c>
    </row>
    <row r="1391" spans="1:2" x14ac:dyDescent="0.2">
      <c r="A1391" s="16">
        <v>46416</v>
      </c>
      <c r="B1391" t="s">
        <v>353</v>
      </c>
    </row>
    <row r="1392" spans="1:2" x14ac:dyDescent="0.2">
      <c r="A1392" s="16">
        <v>46417</v>
      </c>
      <c r="B1392" t="s">
        <v>377</v>
      </c>
    </row>
    <row r="1393" spans="1:2" x14ac:dyDescent="0.2">
      <c r="A1393" s="16">
        <v>46417</v>
      </c>
      <c r="B1393" t="s">
        <v>341</v>
      </c>
    </row>
    <row r="1394" spans="1:2" x14ac:dyDescent="0.2">
      <c r="A1394" s="16">
        <v>46417</v>
      </c>
      <c r="B1394" t="s">
        <v>339</v>
      </c>
    </row>
    <row r="1395" spans="1:2" x14ac:dyDescent="0.2">
      <c r="A1395" s="16">
        <v>46417</v>
      </c>
      <c r="B1395" t="s">
        <v>345</v>
      </c>
    </row>
    <row r="1396" spans="1:2" x14ac:dyDescent="0.2">
      <c r="A1396" s="16">
        <v>46417</v>
      </c>
      <c r="B1396" t="s">
        <v>366</v>
      </c>
    </row>
    <row r="1397" spans="1:2" x14ac:dyDescent="0.2">
      <c r="A1397" s="16">
        <v>46417</v>
      </c>
      <c r="B1397" t="s">
        <v>332</v>
      </c>
    </row>
    <row r="1398" spans="1:2" x14ac:dyDescent="0.2">
      <c r="A1398" s="16">
        <v>46417</v>
      </c>
      <c r="B1398" t="s">
        <v>396</v>
      </c>
    </row>
    <row r="1399" spans="1:2" x14ac:dyDescent="0.2">
      <c r="A1399" s="16">
        <v>46417</v>
      </c>
      <c r="B1399" t="s">
        <v>329</v>
      </c>
    </row>
    <row r="1400" spans="1:2" x14ac:dyDescent="0.2">
      <c r="A1400" s="16">
        <v>46417</v>
      </c>
      <c r="B1400" t="s">
        <v>369</v>
      </c>
    </row>
    <row r="1401" spans="1:2" x14ac:dyDescent="0.2">
      <c r="A1401" s="16">
        <v>46417</v>
      </c>
      <c r="B1401" t="s">
        <v>364</v>
      </c>
    </row>
    <row r="1402" spans="1:2" x14ac:dyDescent="0.2">
      <c r="A1402" s="16">
        <v>46417</v>
      </c>
      <c r="B1402" t="s">
        <v>342</v>
      </c>
    </row>
    <row r="1403" spans="1:2" x14ac:dyDescent="0.2">
      <c r="A1403" s="16">
        <v>46417</v>
      </c>
      <c r="B1403" t="s">
        <v>325</v>
      </c>
    </row>
    <row r="1404" spans="1:2" x14ac:dyDescent="0.2">
      <c r="A1404" s="16">
        <v>46417</v>
      </c>
      <c r="B1404" t="s">
        <v>343</v>
      </c>
    </row>
    <row r="1405" spans="1:2" x14ac:dyDescent="0.2">
      <c r="A1405" s="16">
        <v>46417</v>
      </c>
      <c r="B1405" t="s">
        <v>351</v>
      </c>
    </row>
    <row r="1406" spans="1:2" x14ac:dyDescent="0.2">
      <c r="A1406" s="16">
        <v>46417</v>
      </c>
      <c r="B1406" t="s">
        <v>362</v>
      </c>
    </row>
    <row r="1407" spans="1:2" x14ac:dyDescent="0.2">
      <c r="A1407" s="16">
        <v>46417</v>
      </c>
      <c r="B1407" t="s">
        <v>368</v>
      </c>
    </row>
    <row r="1408" spans="1:2" x14ac:dyDescent="0.2">
      <c r="A1408" s="16">
        <v>46418</v>
      </c>
      <c r="B1408" t="s">
        <v>379</v>
      </c>
    </row>
    <row r="1409" spans="1:2" x14ac:dyDescent="0.2">
      <c r="A1409" s="16">
        <v>46418</v>
      </c>
      <c r="B1409" t="s">
        <v>337</v>
      </c>
    </row>
    <row r="1410" spans="1:2" x14ac:dyDescent="0.2">
      <c r="A1410" s="16">
        <v>46418</v>
      </c>
      <c r="B1410" t="s">
        <v>378</v>
      </c>
    </row>
    <row r="1411" spans="1:2" x14ac:dyDescent="0.2">
      <c r="A1411" s="16">
        <v>46418</v>
      </c>
      <c r="B1411" t="s">
        <v>370</v>
      </c>
    </row>
    <row r="1412" spans="1:2" x14ac:dyDescent="0.2">
      <c r="A1412" s="16">
        <v>46418</v>
      </c>
      <c r="B1412" t="s">
        <v>357</v>
      </c>
    </row>
    <row r="1413" spans="1:2" x14ac:dyDescent="0.2">
      <c r="A1413" s="16">
        <v>46418</v>
      </c>
      <c r="B1413" t="s">
        <v>339</v>
      </c>
    </row>
    <row r="1414" spans="1:2" x14ac:dyDescent="0.2">
      <c r="A1414" s="16">
        <v>46418</v>
      </c>
      <c r="B1414" t="s">
        <v>355</v>
      </c>
    </row>
    <row r="1415" spans="1:2" x14ac:dyDescent="0.2">
      <c r="A1415" s="16">
        <v>46418</v>
      </c>
      <c r="B1415" t="s">
        <v>348</v>
      </c>
    </row>
    <row r="1416" spans="1:2" x14ac:dyDescent="0.2">
      <c r="A1416" s="16">
        <v>46418</v>
      </c>
      <c r="B1416" t="s">
        <v>332</v>
      </c>
    </row>
    <row r="1417" spans="1:2" x14ac:dyDescent="0.2">
      <c r="A1417" s="16">
        <v>46418</v>
      </c>
      <c r="B1417" t="s">
        <v>334</v>
      </c>
    </row>
    <row r="1418" spans="1:2" x14ac:dyDescent="0.2">
      <c r="A1418" s="16">
        <v>46418</v>
      </c>
      <c r="B1418" t="s">
        <v>325</v>
      </c>
    </row>
    <row r="1419" spans="1:2" x14ac:dyDescent="0.2">
      <c r="A1419" s="16">
        <v>46418</v>
      </c>
      <c r="B1419" t="s">
        <v>358</v>
      </c>
    </row>
    <row r="1420" spans="1:2" x14ac:dyDescent="0.2">
      <c r="A1420" s="16">
        <v>46418</v>
      </c>
      <c r="B1420" t="s">
        <v>346</v>
      </c>
    </row>
    <row r="1421" spans="1:2" x14ac:dyDescent="0.2">
      <c r="A1421" s="16">
        <v>46418</v>
      </c>
      <c r="B1421" t="s">
        <v>361</v>
      </c>
    </row>
    <row r="1422" spans="1:2" x14ac:dyDescent="0.2">
      <c r="A1422" s="16">
        <v>46418</v>
      </c>
      <c r="B1422" t="s">
        <v>385</v>
      </c>
    </row>
    <row r="1423" spans="1:2" x14ac:dyDescent="0.2">
      <c r="A1423" s="16">
        <v>46418</v>
      </c>
      <c r="B1423" t="s">
        <v>353</v>
      </c>
    </row>
    <row r="1424" spans="1:2" x14ac:dyDescent="0.2">
      <c r="A1424" s="16">
        <v>46419</v>
      </c>
      <c r="B1424" t="s">
        <v>377</v>
      </c>
    </row>
    <row r="1425" spans="1:2" x14ac:dyDescent="0.2">
      <c r="A1425" s="16">
        <v>46419</v>
      </c>
      <c r="B1425" t="s">
        <v>379</v>
      </c>
    </row>
    <row r="1426" spans="1:2" x14ac:dyDescent="0.2">
      <c r="A1426" s="16">
        <v>46419</v>
      </c>
      <c r="B1426" t="s">
        <v>341</v>
      </c>
    </row>
    <row r="1427" spans="1:2" x14ac:dyDescent="0.2">
      <c r="A1427" s="16">
        <v>46419</v>
      </c>
      <c r="B1427" t="s">
        <v>345</v>
      </c>
    </row>
    <row r="1428" spans="1:2" x14ac:dyDescent="0.2">
      <c r="A1428" s="16">
        <v>46419</v>
      </c>
      <c r="B1428" t="s">
        <v>366</v>
      </c>
    </row>
    <row r="1429" spans="1:2" x14ac:dyDescent="0.2">
      <c r="A1429" s="16">
        <v>46419</v>
      </c>
      <c r="B1429" t="s">
        <v>396</v>
      </c>
    </row>
    <row r="1430" spans="1:2" x14ac:dyDescent="0.2">
      <c r="A1430" s="16">
        <v>46419</v>
      </c>
      <c r="B1430" t="s">
        <v>329</v>
      </c>
    </row>
    <row r="1431" spans="1:2" x14ac:dyDescent="0.2">
      <c r="A1431" s="16">
        <v>46419</v>
      </c>
      <c r="B1431" t="s">
        <v>369</v>
      </c>
    </row>
    <row r="1432" spans="1:2" x14ac:dyDescent="0.2">
      <c r="A1432" s="16">
        <v>46419</v>
      </c>
      <c r="B1432" t="s">
        <v>364</v>
      </c>
    </row>
    <row r="1433" spans="1:2" x14ac:dyDescent="0.2">
      <c r="A1433" s="16">
        <v>46419</v>
      </c>
      <c r="B1433" t="s">
        <v>342</v>
      </c>
    </row>
    <row r="1434" spans="1:2" x14ac:dyDescent="0.2">
      <c r="A1434" s="16">
        <v>46419</v>
      </c>
      <c r="B1434" t="s">
        <v>343</v>
      </c>
    </row>
    <row r="1435" spans="1:2" x14ac:dyDescent="0.2">
      <c r="A1435" s="16">
        <v>46419</v>
      </c>
      <c r="B1435" t="s">
        <v>351</v>
      </c>
    </row>
    <row r="1436" spans="1:2" x14ac:dyDescent="0.2">
      <c r="A1436" s="16">
        <v>46419</v>
      </c>
      <c r="B1436" t="s">
        <v>362</v>
      </c>
    </row>
    <row r="1437" spans="1:2" x14ac:dyDescent="0.2">
      <c r="A1437" s="16">
        <v>46419</v>
      </c>
      <c r="B1437" t="s">
        <v>368</v>
      </c>
    </row>
    <row r="1438" spans="1:2" x14ac:dyDescent="0.2">
      <c r="A1438" s="16">
        <v>46420</v>
      </c>
      <c r="B1438" t="s">
        <v>337</v>
      </c>
    </row>
    <row r="1439" spans="1:2" x14ac:dyDescent="0.2">
      <c r="A1439" s="16">
        <v>46420</v>
      </c>
      <c r="B1439" t="s">
        <v>378</v>
      </c>
    </row>
    <row r="1440" spans="1:2" x14ac:dyDescent="0.2">
      <c r="A1440" s="16">
        <v>46420</v>
      </c>
      <c r="B1440" t="s">
        <v>370</v>
      </c>
    </row>
    <row r="1441" spans="1:2" x14ac:dyDescent="0.2">
      <c r="A1441" s="16">
        <v>46420</v>
      </c>
      <c r="B1441" t="s">
        <v>357</v>
      </c>
    </row>
    <row r="1442" spans="1:2" x14ac:dyDescent="0.2">
      <c r="A1442" s="16">
        <v>46420</v>
      </c>
      <c r="B1442" t="s">
        <v>339</v>
      </c>
    </row>
    <row r="1443" spans="1:2" x14ac:dyDescent="0.2">
      <c r="A1443" s="16">
        <v>46420</v>
      </c>
      <c r="B1443" t="s">
        <v>355</v>
      </c>
    </row>
    <row r="1444" spans="1:2" x14ac:dyDescent="0.2">
      <c r="A1444" s="16">
        <v>46420</v>
      </c>
      <c r="B1444" t="s">
        <v>373</v>
      </c>
    </row>
    <row r="1445" spans="1:2" x14ac:dyDescent="0.2">
      <c r="A1445" s="16">
        <v>46420</v>
      </c>
      <c r="B1445" t="s">
        <v>332</v>
      </c>
    </row>
    <row r="1446" spans="1:2" x14ac:dyDescent="0.2">
      <c r="A1446" s="16">
        <v>46420</v>
      </c>
      <c r="B1446" t="s">
        <v>329</v>
      </c>
    </row>
    <row r="1447" spans="1:2" x14ac:dyDescent="0.2">
      <c r="A1447" s="16">
        <v>46420</v>
      </c>
      <c r="B1447" t="s">
        <v>334</v>
      </c>
    </row>
    <row r="1448" spans="1:2" x14ac:dyDescent="0.2">
      <c r="A1448" s="16">
        <v>46420</v>
      </c>
      <c r="B1448" t="s">
        <v>364</v>
      </c>
    </row>
    <row r="1449" spans="1:2" x14ac:dyDescent="0.2">
      <c r="A1449" s="16">
        <v>46420</v>
      </c>
      <c r="B1449" t="s">
        <v>325</v>
      </c>
    </row>
    <row r="1450" spans="1:2" x14ac:dyDescent="0.2">
      <c r="A1450" s="16">
        <v>46420</v>
      </c>
      <c r="B1450" t="s">
        <v>358</v>
      </c>
    </row>
    <row r="1451" spans="1:2" x14ac:dyDescent="0.2">
      <c r="A1451" s="16">
        <v>46420</v>
      </c>
      <c r="B1451" t="s">
        <v>361</v>
      </c>
    </row>
    <row r="1452" spans="1:2" x14ac:dyDescent="0.2">
      <c r="A1452" s="16">
        <v>46420</v>
      </c>
      <c r="B1452" t="s">
        <v>351</v>
      </c>
    </row>
    <row r="1453" spans="1:2" x14ac:dyDescent="0.2">
      <c r="A1453" s="16">
        <v>46420</v>
      </c>
      <c r="B1453" t="s">
        <v>353</v>
      </c>
    </row>
    <row r="1454" spans="1:2" x14ac:dyDescent="0.2">
      <c r="A1454" s="16">
        <v>46421</v>
      </c>
      <c r="B1454" t="s">
        <v>377</v>
      </c>
    </row>
    <row r="1455" spans="1:2" x14ac:dyDescent="0.2">
      <c r="A1455" s="16">
        <v>46421</v>
      </c>
      <c r="B1455" t="s">
        <v>341</v>
      </c>
    </row>
    <row r="1456" spans="1:2" x14ac:dyDescent="0.2">
      <c r="A1456" s="16">
        <v>46421</v>
      </c>
      <c r="B1456" t="s">
        <v>355</v>
      </c>
    </row>
    <row r="1457" spans="1:2" x14ac:dyDescent="0.2">
      <c r="A1457" s="16">
        <v>46421</v>
      </c>
      <c r="B1457" t="s">
        <v>345</v>
      </c>
    </row>
    <row r="1458" spans="1:2" x14ac:dyDescent="0.2">
      <c r="A1458" s="16">
        <v>46421</v>
      </c>
      <c r="B1458" t="s">
        <v>348</v>
      </c>
    </row>
    <row r="1459" spans="1:2" x14ac:dyDescent="0.2">
      <c r="A1459" s="16">
        <v>46421</v>
      </c>
      <c r="B1459" t="s">
        <v>366</v>
      </c>
    </row>
    <row r="1460" spans="1:2" x14ac:dyDescent="0.2">
      <c r="A1460" s="16">
        <v>46421</v>
      </c>
      <c r="B1460" t="s">
        <v>373</v>
      </c>
    </row>
    <row r="1461" spans="1:2" x14ac:dyDescent="0.2">
      <c r="A1461" s="16">
        <v>46421</v>
      </c>
      <c r="B1461" t="s">
        <v>396</v>
      </c>
    </row>
    <row r="1462" spans="1:2" x14ac:dyDescent="0.2">
      <c r="A1462" s="16">
        <v>46421</v>
      </c>
      <c r="B1462" t="s">
        <v>342</v>
      </c>
    </row>
    <row r="1463" spans="1:2" x14ac:dyDescent="0.2">
      <c r="A1463" s="16">
        <v>46421</v>
      </c>
      <c r="B1463" t="s">
        <v>343</v>
      </c>
    </row>
    <row r="1464" spans="1:2" x14ac:dyDescent="0.2">
      <c r="A1464" s="16">
        <v>46421</v>
      </c>
      <c r="B1464" t="s">
        <v>346</v>
      </c>
    </row>
    <row r="1465" spans="1:2" x14ac:dyDescent="0.2">
      <c r="A1465" s="16">
        <v>46421</v>
      </c>
      <c r="B1465" t="s">
        <v>362</v>
      </c>
    </row>
    <row r="1466" spans="1:2" x14ac:dyDescent="0.2">
      <c r="A1466" s="16">
        <v>46422</v>
      </c>
      <c r="B1466" t="s">
        <v>379</v>
      </c>
    </row>
    <row r="1467" spans="1:2" x14ac:dyDescent="0.2">
      <c r="A1467" s="16">
        <v>46422</v>
      </c>
      <c r="B1467" t="s">
        <v>337</v>
      </c>
    </row>
    <row r="1468" spans="1:2" x14ac:dyDescent="0.2">
      <c r="A1468" s="16">
        <v>46422</v>
      </c>
      <c r="B1468" t="s">
        <v>378</v>
      </c>
    </row>
    <row r="1469" spans="1:2" x14ac:dyDescent="0.2">
      <c r="A1469" s="16">
        <v>46422</v>
      </c>
      <c r="B1469" t="s">
        <v>370</v>
      </c>
    </row>
    <row r="1470" spans="1:2" x14ac:dyDescent="0.2">
      <c r="A1470" s="16">
        <v>46422</v>
      </c>
      <c r="B1470" t="s">
        <v>341</v>
      </c>
    </row>
    <row r="1471" spans="1:2" x14ac:dyDescent="0.2">
      <c r="A1471" s="16">
        <v>46422</v>
      </c>
      <c r="B1471" t="s">
        <v>357</v>
      </c>
    </row>
    <row r="1472" spans="1:2" x14ac:dyDescent="0.2">
      <c r="A1472" s="16">
        <v>46422</v>
      </c>
      <c r="B1472" t="s">
        <v>339</v>
      </c>
    </row>
    <row r="1473" spans="1:2" x14ac:dyDescent="0.2">
      <c r="A1473" s="16">
        <v>46422</v>
      </c>
      <c r="B1473" t="s">
        <v>332</v>
      </c>
    </row>
    <row r="1474" spans="1:2" x14ac:dyDescent="0.2">
      <c r="A1474" s="16">
        <v>46422</v>
      </c>
      <c r="B1474" t="s">
        <v>329</v>
      </c>
    </row>
    <row r="1475" spans="1:2" x14ac:dyDescent="0.2">
      <c r="A1475" s="16">
        <v>46422</v>
      </c>
      <c r="B1475" t="s">
        <v>369</v>
      </c>
    </row>
    <row r="1476" spans="1:2" x14ac:dyDescent="0.2">
      <c r="A1476" s="16">
        <v>46422</v>
      </c>
      <c r="B1476" t="s">
        <v>334</v>
      </c>
    </row>
    <row r="1477" spans="1:2" x14ac:dyDescent="0.2">
      <c r="A1477" s="16">
        <v>46422</v>
      </c>
      <c r="B1477" t="s">
        <v>364</v>
      </c>
    </row>
    <row r="1478" spans="1:2" x14ac:dyDescent="0.2">
      <c r="A1478" s="16">
        <v>46422</v>
      </c>
      <c r="B1478" t="s">
        <v>342</v>
      </c>
    </row>
    <row r="1479" spans="1:2" x14ac:dyDescent="0.2">
      <c r="A1479" s="16">
        <v>46422</v>
      </c>
      <c r="B1479" t="s">
        <v>325</v>
      </c>
    </row>
    <row r="1480" spans="1:2" x14ac:dyDescent="0.2">
      <c r="A1480" s="16">
        <v>46422</v>
      </c>
      <c r="B1480" t="s">
        <v>358</v>
      </c>
    </row>
    <row r="1481" spans="1:2" x14ac:dyDescent="0.2">
      <c r="A1481" s="16">
        <v>46422</v>
      </c>
      <c r="B1481" t="s">
        <v>361</v>
      </c>
    </row>
    <row r="1482" spans="1:2" x14ac:dyDescent="0.2">
      <c r="A1482" s="16">
        <v>46422</v>
      </c>
      <c r="B1482" t="s">
        <v>385</v>
      </c>
    </row>
    <row r="1483" spans="1:2" x14ac:dyDescent="0.2">
      <c r="A1483" s="16">
        <v>46422</v>
      </c>
      <c r="B1483" t="s">
        <v>351</v>
      </c>
    </row>
    <row r="1484" spans="1:2" x14ac:dyDescent="0.2">
      <c r="A1484" s="16">
        <v>46422</v>
      </c>
      <c r="B1484" t="s">
        <v>353</v>
      </c>
    </row>
    <row r="1485" spans="1:2" x14ac:dyDescent="0.2">
      <c r="A1485" s="16">
        <v>46422</v>
      </c>
      <c r="B1485" t="s">
        <v>368</v>
      </c>
    </row>
    <row r="1486" spans="1:2" x14ac:dyDescent="0.2">
      <c r="A1486" s="16">
        <v>46423</v>
      </c>
      <c r="B1486" t="s">
        <v>377</v>
      </c>
    </row>
    <row r="1487" spans="1:2" x14ac:dyDescent="0.2">
      <c r="A1487" s="16">
        <v>46423</v>
      </c>
      <c r="B1487" t="s">
        <v>337</v>
      </c>
    </row>
    <row r="1488" spans="1:2" x14ac:dyDescent="0.2">
      <c r="A1488" s="16">
        <v>46423</v>
      </c>
      <c r="B1488" t="s">
        <v>378</v>
      </c>
    </row>
    <row r="1489" spans="1:2" x14ac:dyDescent="0.2">
      <c r="A1489" s="16">
        <v>46423</v>
      </c>
      <c r="B1489" t="s">
        <v>339</v>
      </c>
    </row>
    <row r="1490" spans="1:2" x14ac:dyDescent="0.2">
      <c r="A1490" s="16">
        <v>46423</v>
      </c>
      <c r="B1490" t="s">
        <v>355</v>
      </c>
    </row>
    <row r="1491" spans="1:2" x14ac:dyDescent="0.2">
      <c r="A1491" s="16">
        <v>46423</v>
      </c>
      <c r="B1491" t="s">
        <v>345</v>
      </c>
    </row>
    <row r="1492" spans="1:2" x14ac:dyDescent="0.2">
      <c r="A1492" s="16">
        <v>46423</v>
      </c>
      <c r="B1492" t="s">
        <v>348</v>
      </c>
    </row>
    <row r="1493" spans="1:2" x14ac:dyDescent="0.2">
      <c r="A1493" s="16">
        <v>46423</v>
      </c>
      <c r="B1493" t="s">
        <v>366</v>
      </c>
    </row>
    <row r="1494" spans="1:2" x14ac:dyDescent="0.2">
      <c r="A1494" s="16">
        <v>46423</v>
      </c>
      <c r="B1494" t="s">
        <v>373</v>
      </c>
    </row>
    <row r="1495" spans="1:2" x14ac:dyDescent="0.2">
      <c r="A1495" s="16">
        <v>46423</v>
      </c>
      <c r="B1495" t="s">
        <v>325</v>
      </c>
    </row>
    <row r="1496" spans="1:2" x14ac:dyDescent="0.2">
      <c r="A1496" s="16">
        <v>46423</v>
      </c>
      <c r="B1496" t="s">
        <v>343</v>
      </c>
    </row>
    <row r="1497" spans="1:2" x14ac:dyDescent="0.2">
      <c r="A1497" s="16">
        <v>46423</v>
      </c>
      <c r="B1497" t="s">
        <v>346</v>
      </c>
    </row>
    <row r="1498" spans="1:2" x14ac:dyDescent="0.2">
      <c r="A1498" s="16">
        <v>46424</v>
      </c>
      <c r="B1498" t="s">
        <v>379</v>
      </c>
    </row>
    <row r="1499" spans="1:2" x14ac:dyDescent="0.2">
      <c r="A1499" s="16">
        <v>46424</v>
      </c>
      <c r="B1499" t="s">
        <v>370</v>
      </c>
    </row>
    <row r="1500" spans="1:2" x14ac:dyDescent="0.2">
      <c r="A1500" s="16">
        <v>46424</v>
      </c>
      <c r="B1500" t="s">
        <v>341</v>
      </c>
    </row>
    <row r="1501" spans="1:2" x14ac:dyDescent="0.2">
      <c r="A1501" s="16">
        <v>46424</v>
      </c>
      <c r="B1501" t="s">
        <v>357</v>
      </c>
    </row>
    <row r="1502" spans="1:2" x14ac:dyDescent="0.2">
      <c r="A1502" s="16">
        <v>46424</v>
      </c>
      <c r="B1502" t="s">
        <v>332</v>
      </c>
    </row>
    <row r="1503" spans="1:2" x14ac:dyDescent="0.2">
      <c r="A1503" s="16">
        <v>46424</v>
      </c>
      <c r="B1503" t="s">
        <v>396</v>
      </c>
    </row>
    <row r="1504" spans="1:2" x14ac:dyDescent="0.2">
      <c r="A1504" s="16">
        <v>46424</v>
      </c>
      <c r="B1504" t="s">
        <v>329</v>
      </c>
    </row>
    <row r="1505" spans="1:2" x14ac:dyDescent="0.2">
      <c r="A1505" s="16">
        <v>46424</v>
      </c>
      <c r="B1505" t="s">
        <v>369</v>
      </c>
    </row>
    <row r="1506" spans="1:2" x14ac:dyDescent="0.2">
      <c r="A1506" s="16">
        <v>46424</v>
      </c>
      <c r="B1506" t="s">
        <v>334</v>
      </c>
    </row>
    <row r="1507" spans="1:2" x14ac:dyDescent="0.2">
      <c r="A1507" s="16">
        <v>46424</v>
      </c>
      <c r="B1507" t="s">
        <v>364</v>
      </c>
    </row>
    <row r="1508" spans="1:2" x14ac:dyDescent="0.2">
      <c r="A1508" s="16">
        <v>46424</v>
      </c>
      <c r="B1508" t="s">
        <v>358</v>
      </c>
    </row>
    <row r="1509" spans="1:2" x14ac:dyDescent="0.2">
      <c r="A1509" s="16">
        <v>46424</v>
      </c>
      <c r="B1509" t="s">
        <v>346</v>
      </c>
    </row>
    <row r="1510" spans="1:2" x14ac:dyDescent="0.2">
      <c r="A1510" s="16">
        <v>46424</v>
      </c>
      <c r="B1510" t="s">
        <v>361</v>
      </c>
    </row>
    <row r="1511" spans="1:2" x14ac:dyDescent="0.2">
      <c r="A1511" s="16">
        <v>46424</v>
      </c>
      <c r="B1511" t="s">
        <v>385</v>
      </c>
    </row>
    <row r="1512" spans="1:2" x14ac:dyDescent="0.2">
      <c r="A1512" s="16">
        <v>46424</v>
      </c>
      <c r="B1512" t="s">
        <v>351</v>
      </c>
    </row>
    <row r="1513" spans="1:2" x14ac:dyDescent="0.2">
      <c r="A1513" s="16">
        <v>46424</v>
      </c>
      <c r="B1513" t="s">
        <v>353</v>
      </c>
    </row>
    <row r="1514" spans="1:2" x14ac:dyDescent="0.2">
      <c r="A1514" s="16">
        <v>46424</v>
      </c>
      <c r="B1514" t="s">
        <v>362</v>
      </c>
    </row>
    <row r="1515" spans="1:2" x14ac:dyDescent="0.2">
      <c r="A1515" s="16">
        <v>46424</v>
      </c>
      <c r="B1515" t="s">
        <v>368</v>
      </c>
    </row>
    <row r="1516" spans="1:2" x14ac:dyDescent="0.2">
      <c r="A1516" s="16">
        <v>46425</v>
      </c>
      <c r="B1516" t="s">
        <v>377</v>
      </c>
    </row>
    <row r="1517" spans="1:2" x14ac:dyDescent="0.2">
      <c r="A1517" s="16">
        <v>46425</v>
      </c>
      <c r="B1517" t="s">
        <v>337</v>
      </c>
    </row>
    <row r="1518" spans="1:2" x14ac:dyDescent="0.2">
      <c r="A1518" s="16">
        <v>46425</v>
      </c>
      <c r="B1518" t="s">
        <v>378</v>
      </c>
    </row>
    <row r="1519" spans="1:2" x14ac:dyDescent="0.2">
      <c r="A1519" s="16">
        <v>46425</v>
      </c>
      <c r="B1519" t="s">
        <v>357</v>
      </c>
    </row>
    <row r="1520" spans="1:2" x14ac:dyDescent="0.2">
      <c r="A1520" s="16">
        <v>46425</v>
      </c>
      <c r="B1520" t="s">
        <v>339</v>
      </c>
    </row>
    <row r="1521" spans="1:2" x14ac:dyDescent="0.2">
      <c r="A1521" s="16">
        <v>46425</v>
      </c>
      <c r="B1521" t="s">
        <v>355</v>
      </c>
    </row>
    <row r="1522" spans="1:2" x14ac:dyDescent="0.2">
      <c r="A1522" s="16">
        <v>46425</v>
      </c>
      <c r="B1522" t="s">
        <v>345</v>
      </c>
    </row>
    <row r="1523" spans="1:2" x14ac:dyDescent="0.2">
      <c r="A1523" s="16">
        <v>46425</v>
      </c>
      <c r="B1523" t="s">
        <v>348</v>
      </c>
    </row>
    <row r="1524" spans="1:2" x14ac:dyDescent="0.2">
      <c r="A1524" s="16">
        <v>46425</v>
      </c>
      <c r="B1524" t="s">
        <v>373</v>
      </c>
    </row>
    <row r="1525" spans="1:2" x14ac:dyDescent="0.2">
      <c r="A1525" s="16">
        <v>46425</v>
      </c>
      <c r="B1525" t="s">
        <v>334</v>
      </c>
    </row>
    <row r="1526" spans="1:2" x14ac:dyDescent="0.2">
      <c r="A1526" s="16">
        <v>46425</v>
      </c>
      <c r="B1526" t="s">
        <v>342</v>
      </c>
    </row>
    <row r="1527" spans="1:2" x14ac:dyDescent="0.2">
      <c r="A1527" s="16">
        <v>46425</v>
      </c>
      <c r="B1527" t="s">
        <v>325</v>
      </c>
    </row>
    <row r="1528" spans="1:2" x14ac:dyDescent="0.2">
      <c r="A1528" s="16">
        <v>46425</v>
      </c>
      <c r="B1528" t="s">
        <v>343</v>
      </c>
    </row>
    <row r="1529" spans="1:2" x14ac:dyDescent="0.2">
      <c r="A1529" s="16">
        <v>46425</v>
      </c>
      <c r="B1529" t="s">
        <v>385</v>
      </c>
    </row>
    <row r="1530" spans="1:2" x14ac:dyDescent="0.2">
      <c r="A1530" s="16">
        <v>46425</v>
      </c>
      <c r="B1530" t="s">
        <v>353</v>
      </c>
    </row>
    <row r="1531" spans="1:2" x14ac:dyDescent="0.2">
      <c r="A1531" s="16">
        <v>46425</v>
      </c>
      <c r="B1531" t="s">
        <v>362</v>
      </c>
    </row>
    <row r="1532" spans="1:2" x14ac:dyDescent="0.2">
      <c r="A1532" s="16">
        <v>46426</v>
      </c>
      <c r="B1532" t="s">
        <v>377</v>
      </c>
    </row>
    <row r="1533" spans="1:2" x14ac:dyDescent="0.2">
      <c r="A1533" s="16">
        <v>46426</v>
      </c>
      <c r="B1533" t="s">
        <v>379</v>
      </c>
    </row>
    <row r="1534" spans="1:2" x14ac:dyDescent="0.2">
      <c r="A1534" s="16">
        <v>46426</v>
      </c>
      <c r="B1534" t="s">
        <v>370</v>
      </c>
    </row>
    <row r="1535" spans="1:2" x14ac:dyDescent="0.2">
      <c r="A1535" s="16">
        <v>46426</v>
      </c>
      <c r="B1535" t="s">
        <v>366</v>
      </c>
    </row>
    <row r="1536" spans="1:2" x14ac:dyDescent="0.2">
      <c r="A1536" s="16">
        <v>46426</v>
      </c>
      <c r="B1536" t="s">
        <v>332</v>
      </c>
    </row>
    <row r="1537" spans="1:2" x14ac:dyDescent="0.2">
      <c r="A1537" s="16">
        <v>46426</v>
      </c>
      <c r="B1537" t="s">
        <v>396</v>
      </c>
    </row>
    <row r="1538" spans="1:2" x14ac:dyDescent="0.2">
      <c r="A1538" s="16">
        <v>46426</v>
      </c>
      <c r="B1538" t="s">
        <v>329</v>
      </c>
    </row>
    <row r="1539" spans="1:2" x14ac:dyDescent="0.2">
      <c r="A1539" s="16">
        <v>46426</v>
      </c>
      <c r="B1539" t="s">
        <v>369</v>
      </c>
    </row>
    <row r="1540" spans="1:2" x14ac:dyDescent="0.2">
      <c r="A1540" s="16">
        <v>46426</v>
      </c>
      <c r="B1540" t="s">
        <v>364</v>
      </c>
    </row>
    <row r="1541" spans="1:2" x14ac:dyDescent="0.2">
      <c r="A1541" s="16">
        <v>46426</v>
      </c>
      <c r="B1541" t="s">
        <v>358</v>
      </c>
    </row>
    <row r="1542" spans="1:2" x14ac:dyDescent="0.2">
      <c r="A1542" s="16">
        <v>46426</v>
      </c>
      <c r="B1542" t="s">
        <v>343</v>
      </c>
    </row>
    <row r="1543" spans="1:2" x14ac:dyDescent="0.2">
      <c r="A1543" s="16">
        <v>46426</v>
      </c>
      <c r="B1543" t="s">
        <v>346</v>
      </c>
    </row>
    <row r="1544" spans="1:2" x14ac:dyDescent="0.2">
      <c r="A1544" s="16">
        <v>46426</v>
      </c>
      <c r="B1544" t="s">
        <v>361</v>
      </c>
    </row>
    <row r="1545" spans="1:2" x14ac:dyDescent="0.2">
      <c r="A1545" s="16">
        <v>46426</v>
      </c>
      <c r="B1545" t="s">
        <v>368</v>
      </c>
    </row>
    <row r="1546" spans="1:2" x14ac:dyDescent="0.2">
      <c r="A1546" s="16">
        <v>46427</v>
      </c>
      <c r="B1546" t="s">
        <v>379</v>
      </c>
    </row>
    <row r="1547" spans="1:2" x14ac:dyDescent="0.2">
      <c r="A1547" s="16">
        <v>46427</v>
      </c>
      <c r="B1547" t="s">
        <v>337</v>
      </c>
    </row>
    <row r="1548" spans="1:2" x14ac:dyDescent="0.2">
      <c r="A1548" s="16">
        <v>46427</v>
      </c>
      <c r="B1548" t="s">
        <v>378</v>
      </c>
    </row>
    <row r="1549" spans="1:2" x14ac:dyDescent="0.2">
      <c r="A1549" s="16">
        <v>46427</v>
      </c>
      <c r="B1549" t="s">
        <v>370</v>
      </c>
    </row>
    <row r="1550" spans="1:2" x14ac:dyDescent="0.2">
      <c r="A1550" s="16">
        <v>46427</v>
      </c>
      <c r="B1550" t="s">
        <v>341</v>
      </c>
    </row>
    <row r="1551" spans="1:2" x14ac:dyDescent="0.2">
      <c r="A1551" s="16">
        <v>46427</v>
      </c>
      <c r="B1551" t="s">
        <v>357</v>
      </c>
    </row>
    <row r="1552" spans="1:2" x14ac:dyDescent="0.2">
      <c r="A1552" s="16">
        <v>46427</v>
      </c>
      <c r="B1552" t="s">
        <v>339</v>
      </c>
    </row>
    <row r="1553" spans="1:2" x14ac:dyDescent="0.2">
      <c r="A1553" s="16">
        <v>46427</v>
      </c>
      <c r="B1553" t="s">
        <v>355</v>
      </c>
    </row>
    <row r="1554" spans="1:2" x14ac:dyDescent="0.2">
      <c r="A1554" s="16">
        <v>46427</v>
      </c>
      <c r="B1554" t="s">
        <v>345</v>
      </c>
    </row>
    <row r="1555" spans="1:2" x14ac:dyDescent="0.2">
      <c r="A1555" s="16">
        <v>46427</v>
      </c>
      <c r="B1555" t="s">
        <v>348</v>
      </c>
    </row>
    <row r="1556" spans="1:2" x14ac:dyDescent="0.2">
      <c r="A1556" s="16">
        <v>46427</v>
      </c>
      <c r="B1556" t="s">
        <v>373</v>
      </c>
    </row>
    <row r="1557" spans="1:2" x14ac:dyDescent="0.2">
      <c r="A1557" s="16">
        <v>46427</v>
      </c>
      <c r="B1557" t="s">
        <v>369</v>
      </c>
    </row>
    <row r="1558" spans="1:2" x14ac:dyDescent="0.2">
      <c r="A1558" s="16">
        <v>46427</v>
      </c>
      <c r="B1558" t="s">
        <v>334</v>
      </c>
    </row>
    <row r="1559" spans="1:2" x14ac:dyDescent="0.2">
      <c r="A1559" s="16">
        <v>46427</v>
      </c>
      <c r="B1559" t="s">
        <v>342</v>
      </c>
    </row>
    <row r="1560" spans="1:2" x14ac:dyDescent="0.2">
      <c r="A1560" s="16">
        <v>46427</v>
      </c>
      <c r="B1560" t="s">
        <v>325</v>
      </c>
    </row>
    <row r="1561" spans="1:2" x14ac:dyDescent="0.2">
      <c r="A1561" s="16">
        <v>46427</v>
      </c>
      <c r="B1561" t="s">
        <v>361</v>
      </c>
    </row>
    <row r="1562" spans="1:2" x14ac:dyDescent="0.2">
      <c r="A1562" s="16">
        <v>46427</v>
      </c>
      <c r="B1562" t="s">
        <v>385</v>
      </c>
    </row>
    <row r="1563" spans="1:2" x14ac:dyDescent="0.2">
      <c r="A1563" s="16">
        <v>46427</v>
      </c>
      <c r="B1563" t="s">
        <v>351</v>
      </c>
    </row>
    <row r="1564" spans="1:2" x14ac:dyDescent="0.2">
      <c r="A1564" s="16">
        <v>46427</v>
      </c>
      <c r="B1564" t="s">
        <v>353</v>
      </c>
    </row>
    <row r="1565" spans="1:2" x14ac:dyDescent="0.2">
      <c r="A1565" s="16">
        <v>46427</v>
      </c>
      <c r="B1565" t="s">
        <v>362</v>
      </c>
    </row>
    <row r="1566" spans="1:2" x14ac:dyDescent="0.2">
      <c r="A1566" s="16">
        <v>46428</v>
      </c>
      <c r="B1566" t="s">
        <v>377</v>
      </c>
    </row>
    <row r="1567" spans="1:2" x14ac:dyDescent="0.2">
      <c r="A1567" s="16">
        <v>46428</v>
      </c>
      <c r="B1567" t="s">
        <v>337</v>
      </c>
    </row>
    <row r="1568" spans="1:2" x14ac:dyDescent="0.2">
      <c r="A1568" s="16">
        <v>46428</v>
      </c>
      <c r="B1568" t="s">
        <v>341</v>
      </c>
    </row>
    <row r="1569" spans="1:2" x14ac:dyDescent="0.2">
      <c r="A1569" s="16">
        <v>46428</v>
      </c>
      <c r="B1569" t="s">
        <v>355</v>
      </c>
    </row>
    <row r="1570" spans="1:2" x14ac:dyDescent="0.2">
      <c r="A1570" s="16">
        <v>46428</v>
      </c>
      <c r="B1570" t="s">
        <v>345</v>
      </c>
    </row>
    <row r="1571" spans="1:2" x14ac:dyDescent="0.2">
      <c r="A1571" s="16">
        <v>46428</v>
      </c>
      <c r="B1571" t="s">
        <v>366</v>
      </c>
    </row>
    <row r="1572" spans="1:2" x14ac:dyDescent="0.2">
      <c r="A1572" s="16">
        <v>46428</v>
      </c>
      <c r="B1572" t="s">
        <v>373</v>
      </c>
    </row>
    <row r="1573" spans="1:2" x14ac:dyDescent="0.2">
      <c r="A1573" s="16">
        <v>46428</v>
      </c>
      <c r="B1573" t="s">
        <v>332</v>
      </c>
    </row>
    <row r="1574" spans="1:2" x14ac:dyDescent="0.2">
      <c r="A1574" s="16">
        <v>46428</v>
      </c>
      <c r="B1574" t="s">
        <v>396</v>
      </c>
    </row>
    <row r="1575" spans="1:2" x14ac:dyDescent="0.2">
      <c r="A1575" s="16">
        <v>46428</v>
      </c>
      <c r="B1575" t="s">
        <v>329</v>
      </c>
    </row>
    <row r="1576" spans="1:2" x14ac:dyDescent="0.2">
      <c r="A1576" s="16">
        <v>46428</v>
      </c>
      <c r="B1576" t="s">
        <v>364</v>
      </c>
    </row>
    <row r="1577" spans="1:2" x14ac:dyDescent="0.2">
      <c r="A1577" s="16">
        <v>46428</v>
      </c>
      <c r="B1577" t="s">
        <v>358</v>
      </c>
    </row>
    <row r="1578" spans="1:2" x14ac:dyDescent="0.2">
      <c r="A1578" s="16">
        <v>46428</v>
      </c>
      <c r="B1578" t="s">
        <v>346</v>
      </c>
    </row>
    <row r="1579" spans="1:2" x14ac:dyDescent="0.2">
      <c r="A1579" s="16">
        <v>46428</v>
      </c>
      <c r="B1579" t="s">
        <v>368</v>
      </c>
    </row>
    <row r="1580" spans="1:2" x14ac:dyDescent="0.2">
      <c r="A1580" s="16">
        <v>46429</v>
      </c>
      <c r="B1580" t="s">
        <v>378</v>
      </c>
    </row>
    <row r="1581" spans="1:2" x14ac:dyDescent="0.2">
      <c r="A1581" s="16">
        <v>46429</v>
      </c>
      <c r="B1581" t="s">
        <v>370</v>
      </c>
    </row>
    <row r="1582" spans="1:2" x14ac:dyDescent="0.2">
      <c r="A1582" s="16">
        <v>46429</v>
      </c>
      <c r="B1582" t="s">
        <v>357</v>
      </c>
    </row>
    <row r="1583" spans="1:2" x14ac:dyDescent="0.2">
      <c r="A1583" s="16">
        <v>46429</v>
      </c>
      <c r="B1583" t="s">
        <v>339</v>
      </c>
    </row>
    <row r="1584" spans="1:2" x14ac:dyDescent="0.2">
      <c r="A1584" s="16">
        <v>46429</v>
      </c>
      <c r="B1584" t="s">
        <v>348</v>
      </c>
    </row>
    <row r="1585" spans="1:2" x14ac:dyDescent="0.2">
      <c r="A1585" s="16">
        <v>46429</v>
      </c>
      <c r="B1585" t="s">
        <v>366</v>
      </c>
    </row>
    <row r="1586" spans="1:2" x14ac:dyDescent="0.2">
      <c r="A1586" s="16">
        <v>46429</v>
      </c>
      <c r="B1586" t="s">
        <v>369</v>
      </c>
    </row>
    <row r="1587" spans="1:2" x14ac:dyDescent="0.2">
      <c r="A1587" s="16">
        <v>46429</v>
      </c>
      <c r="B1587" t="s">
        <v>342</v>
      </c>
    </row>
    <row r="1588" spans="1:2" x14ac:dyDescent="0.2">
      <c r="A1588" s="16">
        <v>46429</v>
      </c>
      <c r="B1588" t="s">
        <v>325</v>
      </c>
    </row>
    <row r="1589" spans="1:2" x14ac:dyDescent="0.2">
      <c r="A1589" s="16">
        <v>46429</v>
      </c>
      <c r="B1589" t="s">
        <v>343</v>
      </c>
    </row>
    <row r="1590" spans="1:2" x14ac:dyDescent="0.2">
      <c r="A1590" s="16">
        <v>46429</v>
      </c>
      <c r="B1590" t="s">
        <v>361</v>
      </c>
    </row>
    <row r="1591" spans="1:2" x14ac:dyDescent="0.2">
      <c r="A1591" s="16">
        <v>46429</v>
      </c>
      <c r="B1591" t="s">
        <v>385</v>
      </c>
    </row>
    <row r="1592" spans="1:2" x14ac:dyDescent="0.2">
      <c r="A1592" s="16">
        <v>46429</v>
      </c>
      <c r="B1592" t="s">
        <v>351</v>
      </c>
    </row>
    <row r="1593" spans="1:2" x14ac:dyDescent="0.2">
      <c r="A1593" s="16">
        <v>46429</v>
      </c>
      <c r="B1593" t="s">
        <v>362</v>
      </c>
    </row>
    <row r="1594" spans="1:2" x14ac:dyDescent="0.2">
      <c r="A1594" s="16">
        <v>46430</v>
      </c>
      <c r="B1594" t="s">
        <v>377</v>
      </c>
    </row>
    <row r="1595" spans="1:2" x14ac:dyDescent="0.2">
      <c r="A1595" s="16">
        <v>46430</v>
      </c>
      <c r="B1595" t="s">
        <v>379</v>
      </c>
    </row>
    <row r="1596" spans="1:2" x14ac:dyDescent="0.2">
      <c r="A1596" s="16">
        <v>46430</v>
      </c>
      <c r="B1596" t="s">
        <v>337</v>
      </c>
    </row>
    <row r="1597" spans="1:2" x14ac:dyDescent="0.2">
      <c r="A1597" s="16">
        <v>46430</v>
      </c>
      <c r="B1597" t="s">
        <v>341</v>
      </c>
    </row>
    <row r="1598" spans="1:2" x14ac:dyDescent="0.2">
      <c r="A1598" s="16">
        <v>46430</v>
      </c>
      <c r="B1598" t="s">
        <v>339</v>
      </c>
    </row>
    <row r="1599" spans="1:2" x14ac:dyDescent="0.2">
      <c r="A1599" s="16">
        <v>46430</v>
      </c>
      <c r="B1599" t="s">
        <v>348</v>
      </c>
    </row>
    <row r="1600" spans="1:2" x14ac:dyDescent="0.2">
      <c r="A1600" s="16">
        <v>46430</v>
      </c>
      <c r="B1600" t="s">
        <v>373</v>
      </c>
    </row>
    <row r="1601" spans="1:2" x14ac:dyDescent="0.2">
      <c r="A1601" s="16">
        <v>46430</v>
      </c>
      <c r="B1601" t="s">
        <v>332</v>
      </c>
    </row>
    <row r="1602" spans="1:2" x14ac:dyDescent="0.2">
      <c r="A1602" s="16">
        <v>46430</v>
      </c>
      <c r="B1602" t="s">
        <v>396</v>
      </c>
    </row>
    <row r="1603" spans="1:2" x14ac:dyDescent="0.2">
      <c r="A1603" s="16">
        <v>46430</v>
      </c>
      <c r="B1603" t="s">
        <v>329</v>
      </c>
    </row>
    <row r="1604" spans="1:2" x14ac:dyDescent="0.2">
      <c r="A1604" s="16">
        <v>46430</v>
      </c>
      <c r="B1604" t="s">
        <v>334</v>
      </c>
    </row>
    <row r="1605" spans="1:2" x14ac:dyDescent="0.2">
      <c r="A1605" s="16">
        <v>46430</v>
      </c>
      <c r="B1605" t="s">
        <v>364</v>
      </c>
    </row>
    <row r="1606" spans="1:2" x14ac:dyDescent="0.2">
      <c r="A1606" s="16">
        <v>46430</v>
      </c>
      <c r="B1606" t="s">
        <v>358</v>
      </c>
    </row>
    <row r="1607" spans="1:2" x14ac:dyDescent="0.2">
      <c r="A1607" s="16">
        <v>46430</v>
      </c>
      <c r="B1607" t="s">
        <v>346</v>
      </c>
    </row>
    <row r="1608" spans="1:2" x14ac:dyDescent="0.2">
      <c r="A1608" s="16">
        <v>46430</v>
      </c>
      <c r="B1608" t="s">
        <v>353</v>
      </c>
    </row>
    <row r="1609" spans="1:2" x14ac:dyDescent="0.2">
      <c r="A1609" s="16">
        <v>46430</v>
      </c>
      <c r="B1609" t="s">
        <v>368</v>
      </c>
    </row>
    <row r="1610" spans="1:2" x14ac:dyDescent="0.2">
      <c r="A1610" s="16">
        <v>46431</v>
      </c>
      <c r="B1610" t="s">
        <v>378</v>
      </c>
    </row>
    <row r="1611" spans="1:2" x14ac:dyDescent="0.2">
      <c r="A1611" s="16">
        <v>46431</v>
      </c>
      <c r="B1611" t="s">
        <v>357</v>
      </c>
    </row>
    <row r="1612" spans="1:2" x14ac:dyDescent="0.2">
      <c r="A1612" s="16">
        <v>46431</v>
      </c>
      <c r="B1612" t="s">
        <v>355</v>
      </c>
    </row>
    <row r="1613" spans="1:2" x14ac:dyDescent="0.2">
      <c r="A1613" s="16">
        <v>46431</v>
      </c>
      <c r="B1613" t="s">
        <v>345</v>
      </c>
    </row>
    <row r="1614" spans="1:2" x14ac:dyDescent="0.2">
      <c r="A1614" s="16">
        <v>46431</v>
      </c>
      <c r="B1614" t="s">
        <v>366</v>
      </c>
    </row>
    <row r="1615" spans="1:2" x14ac:dyDescent="0.2">
      <c r="A1615" s="16">
        <v>46431</v>
      </c>
      <c r="B1615" t="s">
        <v>369</v>
      </c>
    </row>
    <row r="1616" spans="1:2" x14ac:dyDescent="0.2">
      <c r="A1616" s="16">
        <v>46431</v>
      </c>
      <c r="B1616" t="s">
        <v>342</v>
      </c>
    </row>
    <row r="1617" spans="1:2" x14ac:dyDescent="0.2">
      <c r="A1617" s="16">
        <v>46431</v>
      </c>
      <c r="B1617" t="s">
        <v>325</v>
      </c>
    </row>
    <row r="1618" spans="1:2" x14ac:dyDescent="0.2">
      <c r="A1618" s="16">
        <v>46431</v>
      </c>
      <c r="B1618" t="s">
        <v>358</v>
      </c>
    </row>
    <row r="1619" spans="1:2" x14ac:dyDescent="0.2">
      <c r="A1619" s="16">
        <v>46431</v>
      </c>
      <c r="B1619" t="s">
        <v>343</v>
      </c>
    </row>
    <row r="1620" spans="1:2" x14ac:dyDescent="0.2">
      <c r="A1620" s="16">
        <v>46431</v>
      </c>
      <c r="B1620" t="s">
        <v>361</v>
      </c>
    </row>
    <row r="1621" spans="1:2" x14ac:dyDescent="0.2">
      <c r="A1621" s="16">
        <v>46431</v>
      </c>
      <c r="B1621" t="s">
        <v>385</v>
      </c>
    </row>
    <row r="1622" spans="1:2" x14ac:dyDescent="0.2">
      <c r="A1622" s="16">
        <v>46431</v>
      </c>
      <c r="B1622" t="s">
        <v>351</v>
      </c>
    </row>
    <row r="1623" spans="1:2" x14ac:dyDescent="0.2">
      <c r="A1623" s="16">
        <v>46431</v>
      </c>
      <c r="B1623" t="s">
        <v>368</v>
      </c>
    </row>
    <row r="1624" spans="1:2" x14ac:dyDescent="0.2">
      <c r="A1624" s="16">
        <v>46432</v>
      </c>
      <c r="B1624" t="s">
        <v>377</v>
      </c>
    </row>
    <row r="1625" spans="1:2" x14ac:dyDescent="0.2">
      <c r="A1625" s="16">
        <v>46432</v>
      </c>
      <c r="B1625" t="s">
        <v>379</v>
      </c>
    </row>
    <row r="1626" spans="1:2" x14ac:dyDescent="0.2">
      <c r="A1626" s="16">
        <v>46432</v>
      </c>
      <c r="B1626" t="s">
        <v>337</v>
      </c>
    </row>
    <row r="1627" spans="1:2" x14ac:dyDescent="0.2">
      <c r="A1627" s="16">
        <v>46432</v>
      </c>
      <c r="B1627" t="s">
        <v>370</v>
      </c>
    </row>
    <row r="1628" spans="1:2" x14ac:dyDescent="0.2">
      <c r="A1628" s="16">
        <v>46432</v>
      </c>
      <c r="B1628" t="s">
        <v>341</v>
      </c>
    </row>
    <row r="1629" spans="1:2" x14ac:dyDescent="0.2">
      <c r="A1629" s="16">
        <v>46432</v>
      </c>
      <c r="B1629" t="s">
        <v>339</v>
      </c>
    </row>
    <row r="1630" spans="1:2" x14ac:dyDescent="0.2">
      <c r="A1630" s="16">
        <v>46432</v>
      </c>
      <c r="B1630" t="s">
        <v>348</v>
      </c>
    </row>
    <row r="1631" spans="1:2" x14ac:dyDescent="0.2">
      <c r="A1631" s="16">
        <v>46432</v>
      </c>
      <c r="B1631" t="s">
        <v>373</v>
      </c>
    </row>
    <row r="1632" spans="1:2" x14ac:dyDescent="0.2">
      <c r="A1632" s="16">
        <v>46432</v>
      </c>
      <c r="B1632" t="s">
        <v>329</v>
      </c>
    </row>
    <row r="1633" spans="1:2" x14ac:dyDescent="0.2">
      <c r="A1633" s="16">
        <v>46432</v>
      </c>
      <c r="B1633" t="s">
        <v>364</v>
      </c>
    </row>
    <row r="1634" spans="1:2" x14ac:dyDescent="0.2">
      <c r="A1634" s="16">
        <v>46432</v>
      </c>
      <c r="B1634" t="s">
        <v>346</v>
      </c>
    </row>
    <row r="1635" spans="1:2" x14ac:dyDescent="0.2">
      <c r="A1635" s="16">
        <v>46432</v>
      </c>
      <c r="B1635" t="s">
        <v>361</v>
      </c>
    </row>
    <row r="1636" spans="1:2" x14ac:dyDescent="0.2">
      <c r="A1636" s="16">
        <v>46432</v>
      </c>
      <c r="B1636" t="s">
        <v>385</v>
      </c>
    </row>
    <row r="1637" spans="1:2" x14ac:dyDescent="0.2">
      <c r="A1637" s="16">
        <v>46432</v>
      </c>
      <c r="B1637" t="s">
        <v>353</v>
      </c>
    </row>
    <row r="1638" spans="1:2" x14ac:dyDescent="0.2">
      <c r="A1638" s="16">
        <v>46433</v>
      </c>
      <c r="B1638" t="s">
        <v>378</v>
      </c>
    </row>
    <row r="1639" spans="1:2" x14ac:dyDescent="0.2">
      <c r="A1639" s="16">
        <v>46433</v>
      </c>
      <c r="B1639" t="s">
        <v>357</v>
      </c>
    </row>
    <row r="1640" spans="1:2" x14ac:dyDescent="0.2">
      <c r="A1640" s="16">
        <v>46433</v>
      </c>
      <c r="B1640" t="s">
        <v>355</v>
      </c>
    </row>
    <row r="1641" spans="1:2" x14ac:dyDescent="0.2">
      <c r="A1641" s="16">
        <v>46433</v>
      </c>
      <c r="B1641" t="s">
        <v>345</v>
      </c>
    </row>
    <row r="1642" spans="1:2" x14ac:dyDescent="0.2">
      <c r="A1642" s="16">
        <v>46433</v>
      </c>
      <c r="B1642" t="s">
        <v>366</v>
      </c>
    </row>
    <row r="1643" spans="1:2" x14ac:dyDescent="0.2">
      <c r="A1643" s="16">
        <v>46433</v>
      </c>
      <c r="B1643" t="s">
        <v>396</v>
      </c>
    </row>
    <row r="1644" spans="1:2" x14ac:dyDescent="0.2">
      <c r="A1644" s="16">
        <v>46433</v>
      </c>
      <c r="B1644" t="s">
        <v>329</v>
      </c>
    </row>
    <row r="1645" spans="1:2" x14ac:dyDescent="0.2">
      <c r="A1645" s="16">
        <v>46433</v>
      </c>
      <c r="B1645" t="s">
        <v>334</v>
      </c>
    </row>
    <row r="1646" spans="1:2" x14ac:dyDescent="0.2">
      <c r="A1646" s="16">
        <v>46433</v>
      </c>
      <c r="B1646" t="s">
        <v>342</v>
      </c>
    </row>
    <row r="1647" spans="1:2" x14ac:dyDescent="0.2">
      <c r="A1647" s="16">
        <v>46433</v>
      </c>
      <c r="B1647" t="s">
        <v>325</v>
      </c>
    </row>
    <row r="1648" spans="1:2" x14ac:dyDescent="0.2">
      <c r="A1648" s="16">
        <v>46433</v>
      </c>
      <c r="B1648" t="s">
        <v>358</v>
      </c>
    </row>
    <row r="1649" spans="1:2" x14ac:dyDescent="0.2">
      <c r="A1649" s="16">
        <v>46433</v>
      </c>
      <c r="B1649" t="s">
        <v>343</v>
      </c>
    </row>
    <row r="1650" spans="1:2" x14ac:dyDescent="0.2">
      <c r="A1650" s="16">
        <v>46433</v>
      </c>
      <c r="B1650" t="s">
        <v>346</v>
      </c>
    </row>
    <row r="1651" spans="1:2" x14ac:dyDescent="0.2">
      <c r="A1651" s="16">
        <v>46433</v>
      </c>
      <c r="B1651" t="s">
        <v>351</v>
      </c>
    </row>
    <row r="1652" spans="1:2" x14ac:dyDescent="0.2">
      <c r="A1652" s="16">
        <v>46433</v>
      </c>
      <c r="B1652" t="s">
        <v>362</v>
      </c>
    </row>
    <row r="1653" spans="1:2" x14ac:dyDescent="0.2">
      <c r="A1653" s="16">
        <v>46433</v>
      </c>
      <c r="B1653" t="s">
        <v>368</v>
      </c>
    </row>
    <row r="1654" spans="1:2" x14ac:dyDescent="0.2">
      <c r="A1654" s="16">
        <v>46434</v>
      </c>
      <c r="B1654" t="s">
        <v>377</v>
      </c>
    </row>
    <row r="1655" spans="1:2" x14ac:dyDescent="0.2">
      <c r="A1655" s="16">
        <v>46434</v>
      </c>
      <c r="B1655" t="s">
        <v>370</v>
      </c>
    </row>
    <row r="1656" spans="1:2" x14ac:dyDescent="0.2">
      <c r="A1656" s="16">
        <v>46434</v>
      </c>
      <c r="B1656" t="s">
        <v>341</v>
      </c>
    </row>
    <row r="1657" spans="1:2" x14ac:dyDescent="0.2">
      <c r="A1657" s="16">
        <v>46434</v>
      </c>
      <c r="B1657" t="s">
        <v>348</v>
      </c>
    </row>
    <row r="1658" spans="1:2" x14ac:dyDescent="0.2">
      <c r="A1658" s="16">
        <v>46434</v>
      </c>
      <c r="B1658" t="s">
        <v>373</v>
      </c>
    </row>
    <row r="1659" spans="1:2" x14ac:dyDescent="0.2">
      <c r="A1659" s="16">
        <v>46434</v>
      </c>
      <c r="B1659" t="s">
        <v>332</v>
      </c>
    </row>
    <row r="1660" spans="1:2" x14ac:dyDescent="0.2">
      <c r="A1660" s="16">
        <v>46434</v>
      </c>
      <c r="B1660" t="s">
        <v>369</v>
      </c>
    </row>
    <row r="1661" spans="1:2" x14ac:dyDescent="0.2">
      <c r="A1661" s="16">
        <v>46434</v>
      </c>
      <c r="B1661" t="s">
        <v>364</v>
      </c>
    </row>
    <row r="1662" spans="1:2" x14ac:dyDescent="0.2">
      <c r="A1662" s="16">
        <v>46434</v>
      </c>
      <c r="B1662" t="s">
        <v>361</v>
      </c>
    </row>
    <row r="1663" spans="1:2" x14ac:dyDescent="0.2">
      <c r="A1663" s="16">
        <v>46434</v>
      </c>
      <c r="B1663" t="s">
        <v>353</v>
      </c>
    </row>
    <row r="1664" spans="1:2" x14ac:dyDescent="0.2">
      <c r="A1664" s="16">
        <v>46435</v>
      </c>
      <c r="B1664" t="s">
        <v>377</v>
      </c>
    </row>
    <row r="1665" spans="1:2" x14ac:dyDescent="0.2">
      <c r="A1665" s="16">
        <v>46435</v>
      </c>
      <c r="B1665" t="s">
        <v>379</v>
      </c>
    </row>
    <row r="1666" spans="1:2" x14ac:dyDescent="0.2">
      <c r="A1666" s="16">
        <v>46435</v>
      </c>
      <c r="B1666" t="s">
        <v>337</v>
      </c>
    </row>
    <row r="1667" spans="1:2" x14ac:dyDescent="0.2">
      <c r="A1667" s="16">
        <v>46435</v>
      </c>
      <c r="B1667" t="s">
        <v>378</v>
      </c>
    </row>
    <row r="1668" spans="1:2" x14ac:dyDescent="0.2">
      <c r="A1668" s="16">
        <v>46435</v>
      </c>
      <c r="B1668" t="s">
        <v>370</v>
      </c>
    </row>
    <row r="1669" spans="1:2" x14ac:dyDescent="0.2">
      <c r="A1669" s="16">
        <v>46435</v>
      </c>
      <c r="B1669" t="s">
        <v>341</v>
      </c>
    </row>
    <row r="1670" spans="1:2" x14ac:dyDescent="0.2">
      <c r="A1670" s="16">
        <v>46435</v>
      </c>
      <c r="B1670" t="s">
        <v>357</v>
      </c>
    </row>
    <row r="1671" spans="1:2" x14ac:dyDescent="0.2">
      <c r="A1671" s="16">
        <v>46435</v>
      </c>
      <c r="B1671" t="s">
        <v>339</v>
      </c>
    </row>
    <row r="1672" spans="1:2" x14ac:dyDescent="0.2">
      <c r="A1672" s="16">
        <v>46435</v>
      </c>
      <c r="B1672" t="s">
        <v>355</v>
      </c>
    </row>
    <row r="1673" spans="1:2" x14ac:dyDescent="0.2">
      <c r="A1673" s="16">
        <v>46435</v>
      </c>
      <c r="B1673" t="s">
        <v>345</v>
      </c>
    </row>
    <row r="1674" spans="1:2" x14ac:dyDescent="0.2">
      <c r="A1674" s="16">
        <v>46435</v>
      </c>
      <c r="B1674" t="s">
        <v>366</v>
      </c>
    </row>
    <row r="1675" spans="1:2" x14ac:dyDescent="0.2">
      <c r="A1675" s="16">
        <v>46435</v>
      </c>
      <c r="B1675" t="s">
        <v>373</v>
      </c>
    </row>
    <row r="1676" spans="1:2" x14ac:dyDescent="0.2">
      <c r="A1676" s="16">
        <v>46435</v>
      </c>
      <c r="B1676" t="s">
        <v>396</v>
      </c>
    </row>
    <row r="1677" spans="1:2" x14ac:dyDescent="0.2">
      <c r="A1677" s="16">
        <v>46435</v>
      </c>
      <c r="B1677" t="s">
        <v>329</v>
      </c>
    </row>
    <row r="1678" spans="1:2" x14ac:dyDescent="0.2">
      <c r="A1678" s="16">
        <v>46435</v>
      </c>
      <c r="B1678" t="s">
        <v>369</v>
      </c>
    </row>
    <row r="1679" spans="1:2" x14ac:dyDescent="0.2">
      <c r="A1679" s="16">
        <v>46435</v>
      </c>
      <c r="B1679" t="s">
        <v>364</v>
      </c>
    </row>
    <row r="1680" spans="1:2" x14ac:dyDescent="0.2">
      <c r="A1680" s="16">
        <v>46435</v>
      </c>
      <c r="B1680" t="s">
        <v>342</v>
      </c>
    </row>
    <row r="1681" spans="1:2" x14ac:dyDescent="0.2">
      <c r="A1681" s="16">
        <v>46435</v>
      </c>
      <c r="B1681" t="s">
        <v>325</v>
      </c>
    </row>
    <row r="1682" spans="1:2" x14ac:dyDescent="0.2">
      <c r="A1682" s="16">
        <v>46435</v>
      </c>
      <c r="B1682" t="s">
        <v>358</v>
      </c>
    </row>
    <row r="1683" spans="1:2" x14ac:dyDescent="0.2">
      <c r="A1683" s="16">
        <v>46435</v>
      </c>
      <c r="B1683" t="s">
        <v>343</v>
      </c>
    </row>
    <row r="1684" spans="1:2" x14ac:dyDescent="0.2">
      <c r="A1684" s="16">
        <v>46435</v>
      </c>
      <c r="B1684" t="s">
        <v>346</v>
      </c>
    </row>
    <row r="1685" spans="1:2" x14ac:dyDescent="0.2">
      <c r="A1685" s="16">
        <v>46435</v>
      </c>
      <c r="B1685" t="s">
        <v>385</v>
      </c>
    </row>
    <row r="1686" spans="1:2" x14ac:dyDescent="0.2">
      <c r="A1686" s="16">
        <v>46435</v>
      </c>
      <c r="B1686" t="s">
        <v>351</v>
      </c>
    </row>
    <row r="1687" spans="1:2" x14ac:dyDescent="0.2">
      <c r="A1687" s="16">
        <v>46435</v>
      </c>
      <c r="B1687" t="s">
        <v>353</v>
      </c>
    </row>
    <row r="1688" spans="1:2" x14ac:dyDescent="0.2">
      <c r="A1688" s="16">
        <v>46435</v>
      </c>
      <c r="B1688" t="s">
        <v>362</v>
      </c>
    </row>
    <row r="1689" spans="1:2" x14ac:dyDescent="0.2">
      <c r="A1689" s="16">
        <v>46435</v>
      </c>
      <c r="B1689" t="s">
        <v>368</v>
      </c>
    </row>
    <row r="1690" spans="1:2" x14ac:dyDescent="0.2">
      <c r="A1690" s="16">
        <v>46436</v>
      </c>
      <c r="B1690" t="s">
        <v>337</v>
      </c>
    </row>
    <row r="1691" spans="1:2" x14ac:dyDescent="0.2">
      <c r="A1691" s="16">
        <v>46436</v>
      </c>
      <c r="B1691" t="s">
        <v>348</v>
      </c>
    </row>
    <row r="1692" spans="1:2" x14ac:dyDescent="0.2">
      <c r="A1692" s="16">
        <v>46436</v>
      </c>
      <c r="B1692" t="s">
        <v>366</v>
      </c>
    </row>
    <row r="1693" spans="1:2" x14ac:dyDescent="0.2">
      <c r="A1693" s="16">
        <v>46436</v>
      </c>
      <c r="B1693" t="s">
        <v>332</v>
      </c>
    </row>
    <row r="1694" spans="1:2" x14ac:dyDescent="0.2">
      <c r="A1694" s="16">
        <v>46436</v>
      </c>
      <c r="B1694" t="s">
        <v>396</v>
      </c>
    </row>
    <row r="1695" spans="1:2" x14ac:dyDescent="0.2">
      <c r="A1695" s="16">
        <v>46436</v>
      </c>
      <c r="B1695" t="s">
        <v>334</v>
      </c>
    </row>
    <row r="1696" spans="1:2" x14ac:dyDescent="0.2">
      <c r="A1696" s="16">
        <v>46436</v>
      </c>
      <c r="B1696" t="s">
        <v>361</v>
      </c>
    </row>
    <row r="1697" spans="1:2" x14ac:dyDescent="0.2">
      <c r="A1697" s="16">
        <v>46436</v>
      </c>
      <c r="B1697" t="s">
        <v>351</v>
      </c>
    </row>
    <row r="1698" spans="1:2" x14ac:dyDescent="0.2">
      <c r="A1698" s="16">
        <v>46443</v>
      </c>
      <c r="B1698" t="s">
        <v>377</v>
      </c>
    </row>
    <row r="1699" spans="1:2" x14ac:dyDescent="0.2">
      <c r="A1699" s="16">
        <v>46443</v>
      </c>
      <c r="B1699" t="s">
        <v>379</v>
      </c>
    </row>
    <row r="1700" spans="1:2" x14ac:dyDescent="0.2">
      <c r="A1700" s="16">
        <v>46443</v>
      </c>
      <c r="B1700" t="s">
        <v>378</v>
      </c>
    </row>
    <row r="1701" spans="1:2" x14ac:dyDescent="0.2">
      <c r="A1701" s="16">
        <v>46443</v>
      </c>
      <c r="B1701" t="s">
        <v>370</v>
      </c>
    </row>
    <row r="1702" spans="1:2" x14ac:dyDescent="0.2">
      <c r="A1702" s="16">
        <v>46443</v>
      </c>
      <c r="B1702" t="s">
        <v>341</v>
      </c>
    </row>
    <row r="1703" spans="1:2" x14ac:dyDescent="0.2">
      <c r="A1703" s="16">
        <v>46443</v>
      </c>
      <c r="B1703" t="s">
        <v>357</v>
      </c>
    </row>
    <row r="1704" spans="1:2" x14ac:dyDescent="0.2">
      <c r="A1704" s="16">
        <v>46443</v>
      </c>
      <c r="B1704" t="s">
        <v>355</v>
      </c>
    </row>
    <row r="1705" spans="1:2" x14ac:dyDescent="0.2">
      <c r="A1705" s="16">
        <v>46443</v>
      </c>
      <c r="B1705" t="s">
        <v>345</v>
      </c>
    </row>
    <row r="1706" spans="1:2" x14ac:dyDescent="0.2">
      <c r="A1706" s="16">
        <v>46443</v>
      </c>
      <c r="B1706" t="s">
        <v>373</v>
      </c>
    </row>
    <row r="1707" spans="1:2" x14ac:dyDescent="0.2">
      <c r="A1707" s="16">
        <v>46443</v>
      </c>
      <c r="B1707" t="s">
        <v>329</v>
      </c>
    </row>
    <row r="1708" spans="1:2" x14ac:dyDescent="0.2">
      <c r="A1708" s="16">
        <v>46443</v>
      </c>
      <c r="B1708" t="s">
        <v>369</v>
      </c>
    </row>
    <row r="1709" spans="1:2" x14ac:dyDescent="0.2">
      <c r="A1709" s="16">
        <v>46443</v>
      </c>
      <c r="B1709" t="s">
        <v>364</v>
      </c>
    </row>
    <row r="1710" spans="1:2" x14ac:dyDescent="0.2">
      <c r="A1710" s="16">
        <v>46443</v>
      </c>
      <c r="B1710" t="s">
        <v>342</v>
      </c>
    </row>
    <row r="1711" spans="1:2" x14ac:dyDescent="0.2">
      <c r="A1711" s="16">
        <v>46443</v>
      </c>
      <c r="B1711" t="s">
        <v>325</v>
      </c>
    </row>
    <row r="1712" spans="1:2" x14ac:dyDescent="0.2">
      <c r="A1712" s="16">
        <v>46443</v>
      </c>
      <c r="B1712" t="s">
        <v>358</v>
      </c>
    </row>
    <row r="1713" spans="1:2" x14ac:dyDescent="0.2">
      <c r="A1713" s="16">
        <v>46443</v>
      </c>
      <c r="B1713" t="s">
        <v>343</v>
      </c>
    </row>
    <row r="1714" spans="1:2" x14ac:dyDescent="0.2">
      <c r="A1714" s="16">
        <v>46443</v>
      </c>
      <c r="B1714" t="s">
        <v>346</v>
      </c>
    </row>
    <row r="1715" spans="1:2" x14ac:dyDescent="0.2">
      <c r="A1715" s="16">
        <v>46443</v>
      </c>
      <c r="B1715" t="s">
        <v>385</v>
      </c>
    </row>
    <row r="1716" spans="1:2" x14ac:dyDescent="0.2">
      <c r="A1716" s="16">
        <v>46443</v>
      </c>
      <c r="B1716" t="s">
        <v>362</v>
      </c>
    </row>
    <row r="1717" spans="1:2" x14ac:dyDescent="0.2">
      <c r="A1717" s="16">
        <v>46443</v>
      </c>
      <c r="B1717" t="s">
        <v>368</v>
      </c>
    </row>
    <row r="1718" spans="1:2" x14ac:dyDescent="0.2">
      <c r="A1718" s="16">
        <v>46444</v>
      </c>
      <c r="B1718" t="s">
        <v>377</v>
      </c>
    </row>
    <row r="1719" spans="1:2" x14ac:dyDescent="0.2">
      <c r="A1719" s="16">
        <v>46444</v>
      </c>
      <c r="B1719" t="s">
        <v>337</v>
      </c>
    </row>
    <row r="1720" spans="1:2" x14ac:dyDescent="0.2">
      <c r="A1720" s="16">
        <v>46444</v>
      </c>
      <c r="B1720" t="s">
        <v>378</v>
      </c>
    </row>
    <row r="1721" spans="1:2" x14ac:dyDescent="0.2">
      <c r="A1721" s="16">
        <v>46444</v>
      </c>
      <c r="B1721" t="s">
        <v>341</v>
      </c>
    </row>
    <row r="1722" spans="1:2" x14ac:dyDescent="0.2">
      <c r="A1722" s="16">
        <v>46444</v>
      </c>
      <c r="B1722" t="s">
        <v>357</v>
      </c>
    </row>
    <row r="1723" spans="1:2" x14ac:dyDescent="0.2">
      <c r="A1723" s="16">
        <v>46444</v>
      </c>
      <c r="B1723" t="s">
        <v>339</v>
      </c>
    </row>
    <row r="1724" spans="1:2" x14ac:dyDescent="0.2">
      <c r="A1724" s="16">
        <v>46444</v>
      </c>
      <c r="B1724" t="s">
        <v>348</v>
      </c>
    </row>
    <row r="1725" spans="1:2" x14ac:dyDescent="0.2">
      <c r="A1725" s="16">
        <v>46444</v>
      </c>
      <c r="B1725" t="s">
        <v>366</v>
      </c>
    </row>
    <row r="1726" spans="1:2" x14ac:dyDescent="0.2">
      <c r="A1726" s="16">
        <v>46444</v>
      </c>
      <c r="B1726" t="s">
        <v>332</v>
      </c>
    </row>
    <row r="1727" spans="1:2" x14ac:dyDescent="0.2">
      <c r="A1727" s="16">
        <v>46444</v>
      </c>
      <c r="B1727" t="s">
        <v>396</v>
      </c>
    </row>
    <row r="1728" spans="1:2" x14ac:dyDescent="0.2">
      <c r="A1728" s="16">
        <v>46444</v>
      </c>
      <c r="B1728" t="s">
        <v>334</v>
      </c>
    </row>
    <row r="1729" spans="1:2" x14ac:dyDescent="0.2">
      <c r="A1729" s="16">
        <v>46444</v>
      </c>
      <c r="B1729" t="s">
        <v>361</v>
      </c>
    </row>
    <row r="1730" spans="1:2" x14ac:dyDescent="0.2">
      <c r="A1730" s="16">
        <v>46444</v>
      </c>
      <c r="B1730" t="s">
        <v>351</v>
      </c>
    </row>
    <row r="1731" spans="1:2" x14ac:dyDescent="0.2">
      <c r="A1731" s="16">
        <v>46444</v>
      </c>
      <c r="B1731" t="s">
        <v>353</v>
      </c>
    </row>
    <row r="1732" spans="1:2" x14ac:dyDescent="0.2">
      <c r="A1732" s="16">
        <v>46445</v>
      </c>
      <c r="B1732" t="s">
        <v>379</v>
      </c>
    </row>
    <row r="1733" spans="1:2" x14ac:dyDescent="0.2">
      <c r="A1733" s="16">
        <v>46445</v>
      </c>
      <c r="B1733" t="s">
        <v>370</v>
      </c>
    </row>
    <row r="1734" spans="1:2" x14ac:dyDescent="0.2">
      <c r="A1734" s="16">
        <v>46445</v>
      </c>
      <c r="B1734" t="s">
        <v>355</v>
      </c>
    </row>
    <row r="1735" spans="1:2" x14ac:dyDescent="0.2">
      <c r="A1735" s="16">
        <v>46445</v>
      </c>
      <c r="B1735" t="s">
        <v>396</v>
      </c>
    </row>
    <row r="1736" spans="1:2" x14ac:dyDescent="0.2">
      <c r="A1736" s="16">
        <v>46445</v>
      </c>
      <c r="B1736" t="s">
        <v>364</v>
      </c>
    </row>
    <row r="1737" spans="1:2" x14ac:dyDescent="0.2">
      <c r="A1737" s="16">
        <v>46445</v>
      </c>
      <c r="B1737" t="s">
        <v>342</v>
      </c>
    </row>
    <row r="1738" spans="1:2" x14ac:dyDescent="0.2">
      <c r="A1738" s="16">
        <v>46445</v>
      </c>
      <c r="B1738" t="s">
        <v>325</v>
      </c>
    </row>
    <row r="1739" spans="1:2" x14ac:dyDescent="0.2">
      <c r="A1739" s="16">
        <v>46445</v>
      </c>
      <c r="B1739" t="s">
        <v>343</v>
      </c>
    </row>
    <row r="1740" spans="1:2" x14ac:dyDescent="0.2">
      <c r="A1740" s="16">
        <v>46445</v>
      </c>
      <c r="B1740" t="s">
        <v>346</v>
      </c>
    </row>
    <row r="1741" spans="1:2" x14ac:dyDescent="0.2">
      <c r="A1741" s="16">
        <v>46445</v>
      </c>
      <c r="B1741" t="s">
        <v>385</v>
      </c>
    </row>
    <row r="1742" spans="1:2" x14ac:dyDescent="0.2">
      <c r="A1742" s="16">
        <v>46445</v>
      </c>
      <c r="B1742" t="s">
        <v>362</v>
      </c>
    </row>
    <row r="1743" spans="1:2" x14ac:dyDescent="0.2">
      <c r="A1743" s="16">
        <v>46445</v>
      </c>
      <c r="B1743" t="s">
        <v>368</v>
      </c>
    </row>
    <row r="1744" spans="1:2" x14ac:dyDescent="0.2">
      <c r="A1744" s="16">
        <v>46446</v>
      </c>
      <c r="B1744" t="s">
        <v>377</v>
      </c>
    </row>
    <row r="1745" spans="1:2" x14ac:dyDescent="0.2">
      <c r="A1745" s="16">
        <v>46446</v>
      </c>
      <c r="B1745" t="s">
        <v>337</v>
      </c>
    </row>
    <row r="1746" spans="1:2" x14ac:dyDescent="0.2">
      <c r="A1746" s="16">
        <v>46446</v>
      </c>
      <c r="B1746" t="s">
        <v>378</v>
      </c>
    </row>
    <row r="1747" spans="1:2" x14ac:dyDescent="0.2">
      <c r="A1747" s="16">
        <v>46446</v>
      </c>
      <c r="B1747" t="s">
        <v>357</v>
      </c>
    </row>
    <row r="1748" spans="1:2" x14ac:dyDescent="0.2">
      <c r="A1748" s="16">
        <v>46446</v>
      </c>
      <c r="B1748" t="s">
        <v>339</v>
      </c>
    </row>
    <row r="1749" spans="1:2" x14ac:dyDescent="0.2">
      <c r="A1749" s="16">
        <v>46446</v>
      </c>
      <c r="B1749" t="s">
        <v>348</v>
      </c>
    </row>
    <row r="1750" spans="1:2" x14ac:dyDescent="0.2">
      <c r="A1750" s="16">
        <v>46446</v>
      </c>
      <c r="B1750" t="s">
        <v>366</v>
      </c>
    </row>
    <row r="1751" spans="1:2" x14ac:dyDescent="0.2">
      <c r="A1751" s="16">
        <v>46446</v>
      </c>
      <c r="B1751" t="s">
        <v>373</v>
      </c>
    </row>
    <row r="1752" spans="1:2" x14ac:dyDescent="0.2">
      <c r="A1752" s="16">
        <v>46446</v>
      </c>
      <c r="B1752" t="s">
        <v>332</v>
      </c>
    </row>
    <row r="1753" spans="1:2" x14ac:dyDescent="0.2">
      <c r="A1753" s="16">
        <v>46446</v>
      </c>
      <c r="B1753" t="s">
        <v>329</v>
      </c>
    </row>
    <row r="1754" spans="1:2" x14ac:dyDescent="0.2">
      <c r="A1754" s="16">
        <v>46446</v>
      </c>
      <c r="B1754" t="s">
        <v>369</v>
      </c>
    </row>
    <row r="1755" spans="1:2" x14ac:dyDescent="0.2">
      <c r="A1755" s="16">
        <v>46446</v>
      </c>
      <c r="B1755" t="s">
        <v>334</v>
      </c>
    </row>
    <row r="1756" spans="1:2" x14ac:dyDescent="0.2">
      <c r="A1756" s="16">
        <v>46446</v>
      </c>
      <c r="B1756" t="s">
        <v>342</v>
      </c>
    </row>
    <row r="1757" spans="1:2" x14ac:dyDescent="0.2">
      <c r="A1757" s="16">
        <v>46446</v>
      </c>
      <c r="B1757" t="s">
        <v>358</v>
      </c>
    </row>
    <row r="1758" spans="1:2" x14ac:dyDescent="0.2">
      <c r="A1758" s="16">
        <v>46446</v>
      </c>
      <c r="B1758" t="s">
        <v>361</v>
      </c>
    </row>
    <row r="1759" spans="1:2" x14ac:dyDescent="0.2">
      <c r="A1759" s="16">
        <v>46446</v>
      </c>
      <c r="B1759" t="s">
        <v>385</v>
      </c>
    </row>
    <row r="1760" spans="1:2" x14ac:dyDescent="0.2">
      <c r="A1760" s="16">
        <v>46446</v>
      </c>
      <c r="B1760" t="s">
        <v>351</v>
      </c>
    </row>
    <row r="1761" spans="1:2" x14ac:dyDescent="0.2">
      <c r="A1761" s="16">
        <v>46446</v>
      </c>
      <c r="B1761" t="s">
        <v>353</v>
      </c>
    </row>
    <row r="1762" spans="1:2" x14ac:dyDescent="0.2">
      <c r="A1762" s="16">
        <v>46447</v>
      </c>
      <c r="B1762" t="s">
        <v>379</v>
      </c>
    </row>
    <row r="1763" spans="1:2" x14ac:dyDescent="0.2">
      <c r="A1763" s="16">
        <v>46447</v>
      </c>
      <c r="B1763" t="s">
        <v>370</v>
      </c>
    </row>
    <row r="1764" spans="1:2" x14ac:dyDescent="0.2">
      <c r="A1764" s="16">
        <v>46447</v>
      </c>
      <c r="B1764" t="s">
        <v>341</v>
      </c>
    </row>
    <row r="1765" spans="1:2" x14ac:dyDescent="0.2">
      <c r="A1765" s="16">
        <v>46447</v>
      </c>
      <c r="B1765" t="s">
        <v>339</v>
      </c>
    </row>
    <row r="1766" spans="1:2" x14ac:dyDescent="0.2">
      <c r="A1766" s="16">
        <v>46447</v>
      </c>
      <c r="B1766" t="s">
        <v>355</v>
      </c>
    </row>
    <row r="1767" spans="1:2" x14ac:dyDescent="0.2">
      <c r="A1767" s="16">
        <v>46447</v>
      </c>
      <c r="B1767" t="s">
        <v>345</v>
      </c>
    </row>
    <row r="1768" spans="1:2" x14ac:dyDescent="0.2">
      <c r="A1768" s="16">
        <v>46447</v>
      </c>
      <c r="B1768" t="s">
        <v>348</v>
      </c>
    </row>
    <row r="1769" spans="1:2" x14ac:dyDescent="0.2">
      <c r="A1769" s="16">
        <v>46447</v>
      </c>
      <c r="B1769" t="s">
        <v>364</v>
      </c>
    </row>
    <row r="1770" spans="1:2" x14ac:dyDescent="0.2">
      <c r="A1770" s="16">
        <v>46447</v>
      </c>
      <c r="B1770" t="s">
        <v>343</v>
      </c>
    </row>
    <row r="1771" spans="1:2" x14ac:dyDescent="0.2">
      <c r="A1771" s="16">
        <v>46447</v>
      </c>
      <c r="B1771" t="s">
        <v>346</v>
      </c>
    </row>
    <row r="1772" spans="1:2" x14ac:dyDescent="0.2">
      <c r="A1772" s="16">
        <v>46447</v>
      </c>
      <c r="B1772" t="s">
        <v>362</v>
      </c>
    </row>
    <row r="1773" spans="1:2" x14ac:dyDescent="0.2">
      <c r="A1773" s="16">
        <v>46447</v>
      </c>
      <c r="B1773" t="s">
        <v>368</v>
      </c>
    </row>
    <row r="1774" spans="1:2" x14ac:dyDescent="0.2">
      <c r="A1774" s="16">
        <v>46448</v>
      </c>
      <c r="B1774" t="s">
        <v>337</v>
      </c>
    </row>
    <row r="1775" spans="1:2" x14ac:dyDescent="0.2">
      <c r="A1775" s="16">
        <v>46448</v>
      </c>
      <c r="B1775" t="s">
        <v>357</v>
      </c>
    </row>
    <row r="1776" spans="1:2" x14ac:dyDescent="0.2">
      <c r="A1776" s="16">
        <v>46448</v>
      </c>
      <c r="B1776" t="s">
        <v>355</v>
      </c>
    </row>
    <row r="1777" spans="1:2" x14ac:dyDescent="0.2">
      <c r="A1777" s="16">
        <v>46448</v>
      </c>
      <c r="B1777" t="s">
        <v>345</v>
      </c>
    </row>
    <row r="1778" spans="1:2" x14ac:dyDescent="0.2">
      <c r="A1778" s="16">
        <v>46448</v>
      </c>
      <c r="B1778" t="s">
        <v>366</v>
      </c>
    </row>
    <row r="1779" spans="1:2" x14ac:dyDescent="0.2">
      <c r="A1779" s="16">
        <v>46448</v>
      </c>
      <c r="B1779" t="s">
        <v>373</v>
      </c>
    </row>
    <row r="1780" spans="1:2" x14ac:dyDescent="0.2">
      <c r="A1780" s="16">
        <v>46448</v>
      </c>
      <c r="B1780" t="s">
        <v>332</v>
      </c>
    </row>
    <row r="1781" spans="1:2" x14ac:dyDescent="0.2">
      <c r="A1781" s="16">
        <v>46448</v>
      </c>
      <c r="B1781" t="s">
        <v>396</v>
      </c>
    </row>
    <row r="1782" spans="1:2" x14ac:dyDescent="0.2">
      <c r="A1782" s="16">
        <v>46448</v>
      </c>
      <c r="B1782" t="s">
        <v>329</v>
      </c>
    </row>
    <row r="1783" spans="1:2" x14ac:dyDescent="0.2">
      <c r="A1783" s="16">
        <v>46448</v>
      </c>
      <c r="B1783" t="s">
        <v>369</v>
      </c>
    </row>
    <row r="1784" spans="1:2" x14ac:dyDescent="0.2">
      <c r="A1784" s="16">
        <v>46448</v>
      </c>
      <c r="B1784" t="s">
        <v>334</v>
      </c>
    </row>
    <row r="1785" spans="1:2" x14ac:dyDescent="0.2">
      <c r="A1785" s="16">
        <v>46448</v>
      </c>
      <c r="B1785" t="s">
        <v>342</v>
      </c>
    </row>
    <row r="1786" spans="1:2" x14ac:dyDescent="0.2">
      <c r="A1786" s="16">
        <v>46448</v>
      </c>
      <c r="B1786" t="s">
        <v>325</v>
      </c>
    </row>
    <row r="1787" spans="1:2" x14ac:dyDescent="0.2">
      <c r="A1787" s="16">
        <v>46448</v>
      </c>
      <c r="B1787" t="s">
        <v>358</v>
      </c>
    </row>
    <row r="1788" spans="1:2" x14ac:dyDescent="0.2">
      <c r="A1788" s="16">
        <v>46448</v>
      </c>
      <c r="B1788" t="s">
        <v>361</v>
      </c>
    </row>
    <row r="1789" spans="1:2" x14ac:dyDescent="0.2">
      <c r="A1789" s="16">
        <v>46448</v>
      </c>
      <c r="B1789" t="s">
        <v>385</v>
      </c>
    </row>
    <row r="1790" spans="1:2" x14ac:dyDescent="0.2">
      <c r="A1790" s="16">
        <v>46448</v>
      </c>
      <c r="B1790" t="s">
        <v>353</v>
      </c>
    </row>
    <row r="1791" spans="1:2" x14ac:dyDescent="0.2">
      <c r="A1791" s="16">
        <v>46448</v>
      </c>
      <c r="B1791" t="s">
        <v>368</v>
      </c>
    </row>
    <row r="1792" spans="1:2" x14ac:dyDescent="0.2">
      <c r="A1792" s="16">
        <v>46449</v>
      </c>
      <c r="B1792" t="s">
        <v>377</v>
      </c>
    </row>
    <row r="1793" spans="1:2" x14ac:dyDescent="0.2">
      <c r="A1793" s="16">
        <v>46449</v>
      </c>
      <c r="B1793" t="s">
        <v>379</v>
      </c>
    </row>
    <row r="1794" spans="1:2" x14ac:dyDescent="0.2">
      <c r="A1794" s="16">
        <v>46449</v>
      </c>
      <c r="B1794" t="s">
        <v>378</v>
      </c>
    </row>
    <row r="1795" spans="1:2" x14ac:dyDescent="0.2">
      <c r="A1795" s="16">
        <v>46449</v>
      </c>
      <c r="B1795" t="s">
        <v>370</v>
      </c>
    </row>
    <row r="1796" spans="1:2" x14ac:dyDescent="0.2">
      <c r="A1796" s="16">
        <v>46449</v>
      </c>
      <c r="B1796" t="s">
        <v>339</v>
      </c>
    </row>
    <row r="1797" spans="1:2" x14ac:dyDescent="0.2">
      <c r="A1797" s="16">
        <v>46449</v>
      </c>
      <c r="B1797" t="s">
        <v>348</v>
      </c>
    </row>
    <row r="1798" spans="1:2" x14ac:dyDescent="0.2">
      <c r="A1798" s="16">
        <v>46449</v>
      </c>
      <c r="B1798" t="s">
        <v>329</v>
      </c>
    </row>
    <row r="1799" spans="1:2" x14ac:dyDescent="0.2">
      <c r="A1799" s="16">
        <v>46449</v>
      </c>
      <c r="B1799" t="s">
        <v>369</v>
      </c>
    </row>
    <row r="1800" spans="1:2" x14ac:dyDescent="0.2">
      <c r="A1800" s="16">
        <v>46449</v>
      </c>
      <c r="B1800" t="s">
        <v>364</v>
      </c>
    </row>
    <row r="1801" spans="1:2" x14ac:dyDescent="0.2">
      <c r="A1801" s="16">
        <v>46449</v>
      </c>
      <c r="B1801" t="s">
        <v>343</v>
      </c>
    </row>
    <row r="1802" spans="1:2" x14ac:dyDescent="0.2">
      <c r="A1802" s="16">
        <v>46449</v>
      </c>
      <c r="B1802" t="s">
        <v>346</v>
      </c>
    </row>
    <row r="1803" spans="1:2" x14ac:dyDescent="0.2">
      <c r="A1803" s="16">
        <v>46449</v>
      </c>
      <c r="B1803" t="s">
        <v>351</v>
      </c>
    </row>
    <row r="1804" spans="1:2" x14ac:dyDescent="0.2">
      <c r="A1804" s="16">
        <v>46449</v>
      </c>
      <c r="B1804" t="s">
        <v>353</v>
      </c>
    </row>
    <row r="1805" spans="1:2" x14ac:dyDescent="0.2">
      <c r="A1805" s="16">
        <v>46449</v>
      </c>
      <c r="B1805" t="s">
        <v>362</v>
      </c>
    </row>
    <row r="1806" spans="1:2" x14ac:dyDescent="0.2">
      <c r="A1806" s="16">
        <v>46450</v>
      </c>
      <c r="B1806" t="s">
        <v>377</v>
      </c>
    </row>
    <row r="1807" spans="1:2" x14ac:dyDescent="0.2">
      <c r="A1807" s="16">
        <v>46450</v>
      </c>
      <c r="B1807" t="s">
        <v>379</v>
      </c>
    </row>
    <row r="1808" spans="1:2" x14ac:dyDescent="0.2">
      <c r="A1808" s="16">
        <v>46450</v>
      </c>
      <c r="B1808" t="s">
        <v>341</v>
      </c>
    </row>
    <row r="1809" spans="1:2" x14ac:dyDescent="0.2">
      <c r="A1809" s="16">
        <v>46450</v>
      </c>
      <c r="B1809" t="s">
        <v>357</v>
      </c>
    </row>
    <row r="1810" spans="1:2" x14ac:dyDescent="0.2">
      <c r="A1810" s="16">
        <v>46450</v>
      </c>
      <c r="B1810" t="s">
        <v>345</v>
      </c>
    </row>
    <row r="1811" spans="1:2" x14ac:dyDescent="0.2">
      <c r="A1811" s="16">
        <v>46450</v>
      </c>
      <c r="B1811" t="s">
        <v>366</v>
      </c>
    </row>
    <row r="1812" spans="1:2" x14ac:dyDescent="0.2">
      <c r="A1812" s="16">
        <v>46450</v>
      </c>
      <c r="B1812" t="s">
        <v>373</v>
      </c>
    </row>
    <row r="1813" spans="1:2" x14ac:dyDescent="0.2">
      <c r="A1813" s="16">
        <v>46450</v>
      </c>
      <c r="B1813" t="s">
        <v>332</v>
      </c>
    </row>
    <row r="1814" spans="1:2" x14ac:dyDescent="0.2">
      <c r="A1814" s="16">
        <v>46450</v>
      </c>
      <c r="B1814" t="s">
        <v>396</v>
      </c>
    </row>
    <row r="1815" spans="1:2" x14ac:dyDescent="0.2">
      <c r="A1815" s="16">
        <v>46450</v>
      </c>
      <c r="B1815" t="s">
        <v>342</v>
      </c>
    </row>
    <row r="1816" spans="1:2" x14ac:dyDescent="0.2">
      <c r="A1816" s="16">
        <v>46450</v>
      </c>
      <c r="B1816" t="s">
        <v>325</v>
      </c>
    </row>
    <row r="1817" spans="1:2" x14ac:dyDescent="0.2">
      <c r="A1817" s="16">
        <v>46450</v>
      </c>
      <c r="B1817" t="s">
        <v>358</v>
      </c>
    </row>
    <row r="1818" spans="1:2" x14ac:dyDescent="0.2">
      <c r="A1818" s="16">
        <v>46450</v>
      </c>
      <c r="B1818" t="s">
        <v>343</v>
      </c>
    </row>
    <row r="1819" spans="1:2" x14ac:dyDescent="0.2">
      <c r="A1819" s="16">
        <v>46450</v>
      </c>
      <c r="B1819" t="s">
        <v>361</v>
      </c>
    </row>
    <row r="1820" spans="1:2" x14ac:dyDescent="0.2">
      <c r="A1820" s="16">
        <v>46450</v>
      </c>
      <c r="B1820" t="s">
        <v>385</v>
      </c>
    </row>
    <row r="1821" spans="1:2" x14ac:dyDescent="0.2">
      <c r="A1821" s="16">
        <v>46450</v>
      </c>
      <c r="B1821" t="s">
        <v>368</v>
      </c>
    </row>
    <row r="1822" spans="1:2" x14ac:dyDescent="0.2">
      <c r="A1822" s="16">
        <v>46451</v>
      </c>
      <c r="B1822" t="s">
        <v>337</v>
      </c>
    </row>
    <row r="1823" spans="1:2" x14ac:dyDescent="0.2">
      <c r="A1823" s="16">
        <v>46451</v>
      </c>
      <c r="B1823" t="s">
        <v>355</v>
      </c>
    </row>
    <row r="1824" spans="1:2" x14ac:dyDescent="0.2">
      <c r="A1824" s="16">
        <v>46451</v>
      </c>
      <c r="B1824" t="s">
        <v>348</v>
      </c>
    </row>
    <row r="1825" spans="1:2" x14ac:dyDescent="0.2">
      <c r="A1825" s="16">
        <v>46451</v>
      </c>
      <c r="B1825" t="s">
        <v>369</v>
      </c>
    </row>
    <row r="1826" spans="1:2" x14ac:dyDescent="0.2">
      <c r="A1826" s="16">
        <v>46451</v>
      </c>
      <c r="B1826" t="s">
        <v>334</v>
      </c>
    </row>
    <row r="1827" spans="1:2" x14ac:dyDescent="0.2">
      <c r="A1827" s="16">
        <v>46451</v>
      </c>
      <c r="B1827" t="s">
        <v>364</v>
      </c>
    </row>
    <row r="1828" spans="1:2" x14ac:dyDescent="0.2">
      <c r="A1828" s="16">
        <v>46451</v>
      </c>
      <c r="B1828" t="s">
        <v>358</v>
      </c>
    </row>
    <row r="1829" spans="1:2" x14ac:dyDescent="0.2">
      <c r="A1829" s="16">
        <v>46451</v>
      </c>
      <c r="B1829" t="s">
        <v>346</v>
      </c>
    </row>
    <row r="1830" spans="1:2" x14ac:dyDescent="0.2">
      <c r="A1830" s="16">
        <v>46451</v>
      </c>
      <c r="B1830" t="s">
        <v>361</v>
      </c>
    </row>
    <row r="1831" spans="1:2" x14ac:dyDescent="0.2">
      <c r="A1831" s="16">
        <v>46451</v>
      </c>
      <c r="B1831" t="s">
        <v>351</v>
      </c>
    </row>
    <row r="1832" spans="1:2" x14ac:dyDescent="0.2">
      <c r="A1832" s="16">
        <v>46451</v>
      </c>
      <c r="B1832" t="s">
        <v>353</v>
      </c>
    </row>
    <row r="1833" spans="1:2" x14ac:dyDescent="0.2">
      <c r="A1833" s="16">
        <v>46451</v>
      </c>
      <c r="B1833" t="s">
        <v>362</v>
      </c>
    </row>
    <row r="1834" spans="1:2" x14ac:dyDescent="0.2">
      <c r="A1834" s="16">
        <v>46452</v>
      </c>
      <c r="B1834" t="s">
        <v>377</v>
      </c>
    </row>
    <row r="1835" spans="1:2" x14ac:dyDescent="0.2">
      <c r="A1835" s="16">
        <v>46452</v>
      </c>
      <c r="B1835" t="s">
        <v>378</v>
      </c>
    </row>
    <row r="1836" spans="1:2" x14ac:dyDescent="0.2">
      <c r="A1836" s="16">
        <v>46452</v>
      </c>
      <c r="B1836" t="s">
        <v>370</v>
      </c>
    </row>
    <row r="1837" spans="1:2" x14ac:dyDescent="0.2">
      <c r="A1837" s="16">
        <v>46452</v>
      </c>
      <c r="B1837" t="s">
        <v>341</v>
      </c>
    </row>
    <row r="1838" spans="1:2" x14ac:dyDescent="0.2">
      <c r="A1838" s="16">
        <v>46452</v>
      </c>
      <c r="B1838" t="s">
        <v>366</v>
      </c>
    </row>
    <row r="1839" spans="1:2" x14ac:dyDescent="0.2">
      <c r="A1839" s="16">
        <v>46452</v>
      </c>
      <c r="B1839" t="s">
        <v>373</v>
      </c>
    </row>
    <row r="1840" spans="1:2" x14ac:dyDescent="0.2">
      <c r="A1840" s="16">
        <v>46452</v>
      </c>
      <c r="B1840" t="s">
        <v>332</v>
      </c>
    </row>
    <row r="1841" spans="1:2" x14ac:dyDescent="0.2">
      <c r="A1841" s="16">
        <v>46452</v>
      </c>
      <c r="B1841" t="s">
        <v>396</v>
      </c>
    </row>
    <row r="1842" spans="1:2" x14ac:dyDescent="0.2">
      <c r="A1842" s="16">
        <v>46452</v>
      </c>
      <c r="B1842" t="s">
        <v>329</v>
      </c>
    </row>
    <row r="1843" spans="1:2" x14ac:dyDescent="0.2">
      <c r="A1843" s="16">
        <v>46452</v>
      </c>
      <c r="B1843" t="s">
        <v>364</v>
      </c>
    </row>
    <row r="1844" spans="1:2" x14ac:dyDescent="0.2">
      <c r="A1844" s="16">
        <v>46452</v>
      </c>
      <c r="B1844" t="s">
        <v>325</v>
      </c>
    </row>
    <row r="1845" spans="1:2" x14ac:dyDescent="0.2">
      <c r="A1845" s="16">
        <v>46452</v>
      </c>
      <c r="B1845" t="s">
        <v>385</v>
      </c>
    </row>
    <row r="1846" spans="1:2" x14ac:dyDescent="0.2">
      <c r="A1846" s="16">
        <v>46452</v>
      </c>
      <c r="B1846" t="s">
        <v>362</v>
      </c>
    </row>
    <row r="1847" spans="1:2" x14ac:dyDescent="0.2">
      <c r="A1847" s="16">
        <v>46452</v>
      </c>
      <c r="B1847" t="s">
        <v>368</v>
      </c>
    </row>
    <row r="1848" spans="1:2" x14ac:dyDescent="0.2">
      <c r="A1848" s="16">
        <v>46453</v>
      </c>
      <c r="B1848" t="s">
        <v>379</v>
      </c>
    </row>
    <row r="1849" spans="1:2" x14ac:dyDescent="0.2">
      <c r="A1849" s="16">
        <v>46453</v>
      </c>
      <c r="B1849" t="s">
        <v>337</v>
      </c>
    </row>
    <row r="1850" spans="1:2" x14ac:dyDescent="0.2">
      <c r="A1850" s="16">
        <v>46453</v>
      </c>
      <c r="B1850" t="s">
        <v>370</v>
      </c>
    </row>
    <row r="1851" spans="1:2" x14ac:dyDescent="0.2">
      <c r="A1851" s="16">
        <v>46453</v>
      </c>
      <c r="B1851" t="s">
        <v>339</v>
      </c>
    </row>
    <row r="1852" spans="1:2" x14ac:dyDescent="0.2">
      <c r="A1852" s="16">
        <v>46453</v>
      </c>
      <c r="B1852" t="s">
        <v>345</v>
      </c>
    </row>
    <row r="1853" spans="1:2" x14ac:dyDescent="0.2">
      <c r="A1853" s="16">
        <v>46453</v>
      </c>
      <c r="B1853" t="s">
        <v>348</v>
      </c>
    </row>
    <row r="1854" spans="1:2" x14ac:dyDescent="0.2">
      <c r="A1854" s="16">
        <v>46453</v>
      </c>
      <c r="B1854" t="s">
        <v>332</v>
      </c>
    </row>
    <row r="1855" spans="1:2" x14ac:dyDescent="0.2">
      <c r="A1855" s="16">
        <v>46453</v>
      </c>
      <c r="B1855" t="s">
        <v>334</v>
      </c>
    </row>
    <row r="1856" spans="1:2" x14ac:dyDescent="0.2">
      <c r="A1856" s="16">
        <v>46453</v>
      </c>
      <c r="B1856" t="s">
        <v>342</v>
      </c>
    </row>
    <row r="1857" spans="1:2" x14ac:dyDescent="0.2">
      <c r="A1857" s="16">
        <v>46453</v>
      </c>
      <c r="B1857" t="s">
        <v>343</v>
      </c>
    </row>
    <row r="1858" spans="1:2" x14ac:dyDescent="0.2">
      <c r="A1858" s="16">
        <v>46453</v>
      </c>
      <c r="B1858" t="s">
        <v>361</v>
      </c>
    </row>
    <row r="1859" spans="1:2" x14ac:dyDescent="0.2">
      <c r="A1859" s="16">
        <v>46453</v>
      </c>
      <c r="B1859" t="s">
        <v>351</v>
      </c>
    </row>
    <row r="1860" spans="1:2" x14ac:dyDescent="0.2">
      <c r="A1860" s="16">
        <v>46454</v>
      </c>
      <c r="B1860" t="s">
        <v>377</v>
      </c>
    </row>
    <row r="1861" spans="1:2" x14ac:dyDescent="0.2">
      <c r="A1861" s="16">
        <v>46454</v>
      </c>
      <c r="B1861" t="s">
        <v>378</v>
      </c>
    </row>
    <row r="1862" spans="1:2" x14ac:dyDescent="0.2">
      <c r="A1862" s="16">
        <v>46454</v>
      </c>
      <c r="B1862" t="s">
        <v>357</v>
      </c>
    </row>
    <row r="1863" spans="1:2" x14ac:dyDescent="0.2">
      <c r="A1863" s="16">
        <v>46454</v>
      </c>
      <c r="B1863" t="s">
        <v>339</v>
      </c>
    </row>
    <row r="1864" spans="1:2" x14ac:dyDescent="0.2">
      <c r="A1864" s="16">
        <v>46454</v>
      </c>
      <c r="B1864" t="s">
        <v>348</v>
      </c>
    </row>
    <row r="1865" spans="1:2" x14ac:dyDescent="0.2">
      <c r="A1865" s="16">
        <v>46454</v>
      </c>
      <c r="B1865" t="s">
        <v>366</v>
      </c>
    </row>
    <row r="1866" spans="1:2" x14ac:dyDescent="0.2">
      <c r="A1866" s="16">
        <v>46454</v>
      </c>
      <c r="B1866" t="s">
        <v>373</v>
      </c>
    </row>
    <row r="1867" spans="1:2" x14ac:dyDescent="0.2">
      <c r="A1867" s="16">
        <v>46454</v>
      </c>
      <c r="B1867" t="s">
        <v>396</v>
      </c>
    </row>
    <row r="1868" spans="1:2" x14ac:dyDescent="0.2">
      <c r="A1868" s="16">
        <v>46454</v>
      </c>
      <c r="B1868" t="s">
        <v>329</v>
      </c>
    </row>
    <row r="1869" spans="1:2" x14ac:dyDescent="0.2">
      <c r="A1869" s="16">
        <v>46454</v>
      </c>
      <c r="B1869" t="s">
        <v>334</v>
      </c>
    </row>
    <row r="1870" spans="1:2" x14ac:dyDescent="0.2">
      <c r="A1870" s="16">
        <v>46454</v>
      </c>
      <c r="B1870" t="s">
        <v>364</v>
      </c>
    </row>
    <row r="1871" spans="1:2" x14ac:dyDescent="0.2">
      <c r="A1871" s="16">
        <v>46454</v>
      </c>
      <c r="B1871" t="s">
        <v>325</v>
      </c>
    </row>
    <row r="1872" spans="1:2" x14ac:dyDescent="0.2">
      <c r="A1872" s="16">
        <v>46454</v>
      </c>
      <c r="B1872" t="s">
        <v>343</v>
      </c>
    </row>
    <row r="1873" spans="1:2" x14ac:dyDescent="0.2">
      <c r="A1873" s="16">
        <v>46454</v>
      </c>
      <c r="B1873" t="s">
        <v>346</v>
      </c>
    </row>
    <row r="1874" spans="1:2" x14ac:dyDescent="0.2">
      <c r="A1874" s="16">
        <v>46454</v>
      </c>
      <c r="B1874" t="s">
        <v>385</v>
      </c>
    </row>
    <row r="1875" spans="1:2" x14ac:dyDescent="0.2">
      <c r="A1875" s="16">
        <v>46454</v>
      </c>
      <c r="B1875" t="s">
        <v>362</v>
      </c>
    </row>
    <row r="1876" spans="1:2" x14ac:dyDescent="0.2">
      <c r="A1876" s="16">
        <v>46455</v>
      </c>
      <c r="B1876" t="s">
        <v>379</v>
      </c>
    </row>
    <row r="1877" spans="1:2" x14ac:dyDescent="0.2">
      <c r="A1877" s="16">
        <v>46455</v>
      </c>
      <c r="B1877" t="s">
        <v>337</v>
      </c>
    </row>
    <row r="1878" spans="1:2" x14ac:dyDescent="0.2">
      <c r="A1878" s="16">
        <v>46455</v>
      </c>
      <c r="B1878" t="s">
        <v>370</v>
      </c>
    </row>
    <row r="1879" spans="1:2" x14ac:dyDescent="0.2">
      <c r="A1879" s="16">
        <v>46455</v>
      </c>
      <c r="B1879" t="s">
        <v>341</v>
      </c>
    </row>
    <row r="1880" spans="1:2" x14ac:dyDescent="0.2">
      <c r="A1880" s="16">
        <v>46455</v>
      </c>
      <c r="B1880" t="s">
        <v>357</v>
      </c>
    </row>
    <row r="1881" spans="1:2" x14ac:dyDescent="0.2">
      <c r="A1881" s="16">
        <v>46455</v>
      </c>
      <c r="B1881" t="s">
        <v>355</v>
      </c>
    </row>
    <row r="1882" spans="1:2" x14ac:dyDescent="0.2">
      <c r="A1882" s="16">
        <v>46455</v>
      </c>
      <c r="B1882" t="s">
        <v>345</v>
      </c>
    </row>
    <row r="1883" spans="1:2" x14ac:dyDescent="0.2">
      <c r="A1883" s="16">
        <v>46455</v>
      </c>
      <c r="B1883" t="s">
        <v>396</v>
      </c>
    </row>
    <row r="1884" spans="1:2" x14ac:dyDescent="0.2">
      <c r="A1884" s="16">
        <v>46455</v>
      </c>
      <c r="B1884" t="s">
        <v>369</v>
      </c>
    </row>
    <row r="1885" spans="1:2" x14ac:dyDescent="0.2">
      <c r="A1885" s="16">
        <v>46455</v>
      </c>
      <c r="B1885" t="s">
        <v>358</v>
      </c>
    </row>
    <row r="1886" spans="1:2" x14ac:dyDescent="0.2">
      <c r="A1886" s="16">
        <v>46455</v>
      </c>
      <c r="B1886" t="s">
        <v>346</v>
      </c>
    </row>
    <row r="1887" spans="1:2" x14ac:dyDescent="0.2">
      <c r="A1887" s="16">
        <v>46455</v>
      </c>
      <c r="B1887" t="s">
        <v>361</v>
      </c>
    </row>
    <row r="1888" spans="1:2" x14ac:dyDescent="0.2">
      <c r="A1888" s="16">
        <v>46455</v>
      </c>
      <c r="B1888" t="s">
        <v>351</v>
      </c>
    </row>
    <row r="1889" spans="1:2" x14ac:dyDescent="0.2">
      <c r="A1889" s="16">
        <v>46455</v>
      </c>
      <c r="B1889" t="s">
        <v>368</v>
      </c>
    </row>
    <row r="1890" spans="1:2" x14ac:dyDescent="0.2">
      <c r="A1890" s="16">
        <v>46456</v>
      </c>
      <c r="B1890" t="s">
        <v>377</v>
      </c>
    </row>
    <row r="1891" spans="1:2" x14ac:dyDescent="0.2">
      <c r="A1891" s="16">
        <v>46456</v>
      </c>
      <c r="B1891" t="s">
        <v>378</v>
      </c>
    </row>
    <row r="1892" spans="1:2" x14ac:dyDescent="0.2">
      <c r="A1892" s="16">
        <v>46456</v>
      </c>
      <c r="B1892" t="s">
        <v>339</v>
      </c>
    </row>
    <row r="1893" spans="1:2" x14ac:dyDescent="0.2">
      <c r="A1893" s="16">
        <v>46456</v>
      </c>
      <c r="B1893" t="s">
        <v>345</v>
      </c>
    </row>
    <row r="1894" spans="1:2" x14ac:dyDescent="0.2">
      <c r="A1894" s="16">
        <v>46456</v>
      </c>
      <c r="B1894" t="s">
        <v>348</v>
      </c>
    </row>
    <row r="1895" spans="1:2" x14ac:dyDescent="0.2">
      <c r="A1895" s="16">
        <v>46456</v>
      </c>
      <c r="B1895" t="s">
        <v>373</v>
      </c>
    </row>
    <row r="1896" spans="1:2" x14ac:dyDescent="0.2">
      <c r="A1896" s="16">
        <v>46456</v>
      </c>
      <c r="B1896" t="s">
        <v>329</v>
      </c>
    </row>
    <row r="1897" spans="1:2" x14ac:dyDescent="0.2">
      <c r="A1897" s="16">
        <v>46456</v>
      </c>
      <c r="B1897" t="s">
        <v>334</v>
      </c>
    </row>
    <row r="1898" spans="1:2" x14ac:dyDescent="0.2">
      <c r="A1898" s="16">
        <v>46456</v>
      </c>
      <c r="B1898" t="s">
        <v>364</v>
      </c>
    </row>
    <row r="1899" spans="1:2" x14ac:dyDescent="0.2">
      <c r="A1899" s="16">
        <v>46456</v>
      </c>
      <c r="B1899" t="s">
        <v>342</v>
      </c>
    </row>
    <row r="1900" spans="1:2" x14ac:dyDescent="0.2">
      <c r="A1900" s="16">
        <v>46456</v>
      </c>
      <c r="B1900" t="s">
        <v>325</v>
      </c>
    </row>
    <row r="1901" spans="1:2" x14ac:dyDescent="0.2">
      <c r="A1901" s="16">
        <v>46456</v>
      </c>
      <c r="B1901" t="s">
        <v>358</v>
      </c>
    </row>
    <row r="1902" spans="1:2" x14ac:dyDescent="0.2">
      <c r="A1902" s="16">
        <v>46456</v>
      </c>
      <c r="B1902" t="s">
        <v>361</v>
      </c>
    </row>
    <row r="1903" spans="1:2" x14ac:dyDescent="0.2">
      <c r="A1903" s="16">
        <v>46456</v>
      </c>
      <c r="B1903" t="s">
        <v>385</v>
      </c>
    </row>
    <row r="1904" spans="1:2" x14ac:dyDescent="0.2">
      <c r="A1904" s="16">
        <v>46456</v>
      </c>
      <c r="B1904" t="s">
        <v>353</v>
      </c>
    </row>
    <row r="1905" spans="1:2" x14ac:dyDescent="0.2">
      <c r="A1905" s="16">
        <v>46456</v>
      </c>
      <c r="B1905" t="s">
        <v>362</v>
      </c>
    </row>
    <row r="1906" spans="1:2" x14ac:dyDescent="0.2">
      <c r="A1906" s="16">
        <v>46457</v>
      </c>
      <c r="B1906" t="s">
        <v>377</v>
      </c>
    </row>
    <row r="1907" spans="1:2" x14ac:dyDescent="0.2">
      <c r="A1907" s="16">
        <v>46457</v>
      </c>
      <c r="B1907" t="s">
        <v>379</v>
      </c>
    </row>
    <row r="1908" spans="1:2" x14ac:dyDescent="0.2">
      <c r="A1908" s="16">
        <v>46457</v>
      </c>
      <c r="B1908" t="s">
        <v>337</v>
      </c>
    </row>
    <row r="1909" spans="1:2" x14ac:dyDescent="0.2">
      <c r="A1909" s="16">
        <v>46457</v>
      </c>
      <c r="B1909" t="s">
        <v>378</v>
      </c>
    </row>
    <row r="1910" spans="1:2" x14ac:dyDescent="0.2">
      <c r="A1910" s="16">
        <v>46457</v>
      </c>
      <c r="B1910" t="s">
        <v>370</v>
      </c>
    </row>
    <row r="1911" spans="1:2" x14ac:dyDescent="0.2">
      <c r="A1911" s="16">
        <v>46457</v>
      </c>
      <c r="B1911" t="s">
        <v>341</v>
      </c>
    </row>
    <row r="1912" spans="1:2" x14ac:dyDescent="0.2">
      <c r="A1912" s="16">
        <v>46457</v>
      </c>
      <c r="B1912" t="s">
        <v>357</v>
      </c>
    </row>
    <row r="1913" spans="1:2" x14ac:dyDescent="0.2">
      <c r="A1913" s="16">
        <v>46457</v>
      </c>
      <c r="B1913" t="s">
        <v>355</v>
      </c>
    </row>
    <row r="1914" spans="1:2" x14ac:dyDescent="0.2">
      <c r="A1914" s="16">
        <v>46457</v>
      </c>
      <c r="B1914" t="s">
        <v>366</v>
      </c>
    </row>
    <row r="1915" spans="1:2" x14ac:dyDescent="0.2">
      <c r="A1915" s="16">
        <v>46457</v>
      </c>
      <c r="B1915" t="s">
        <v>373</v>
      </c>
    </row>
    <row r="1916" spans="1:2" x14ac:dyDescent="0.2">
      <c r="A1916" s="16">
        <v>46457</v>
      </c>
      <c r="B1916" t="s">
        <v>332</v>
      </c>
    </row>
    <row r="1917" spans="1:2" x14ac:dyDescent="0.2">
      <c r="A1917" s="16">
        <v>46457</v>
      </c>
      <c r="B1917" t="s">
        <v>396</v>
      </c>
    </row>
    <row r="1918" spans="1:2" x14ac:dyDescent="0.2">
      <c r="A1918" s="16">
        <v>46457</v>
      </c>
      <c r="B1918" t="s">
        <v>369</v>
      </c>
    </row>
    <row r="1919" spans="1:2" x14ac:dyDescent="0.2">
      <c r="A1919" s="16">
        <v>46457</v>
      </c>
      <c r="B1919" t="s">
        <v>342</v>
      </c>
    </row>
    <row r="1920" spans="1:2" x14ac:dyDescent="0.2">
      <c r="A1920" s="16">
        <v>46457</v>
      </c>
      <c r="B1920" t="s">
        <v>343</v>
      </c>
    </row>
    <row r="1921" spans="1:2" x14ac:dyDescent="0.2">
      <c r="A1921" s="16">
        <v>46457</v>
      </c>
      <c r="B1921" t="s">
        <v>346</v>
      </c>
    </row>
    <row r="1922" spans="1:2" x14ac:dyDescent="0.2">
      <c r="A1922" s="16">
        <v>46457</v>
      </c>
      <c r="B1922" t="s">
        <v>351</v>
      </c>
    </row>
    <row r="1923" spans="1:2" x14ac:dyDescent="0.2">
      <c r="A1923" s="16">
        <v>46457</v>
      </c>
      <c r="B1923" t="s">
        <v>368</v>
      </c>
    </row>
    <row r="1924" spans="1:2" x14ac:dyDescent="0.2">
      <c r="A1924" s="16">
        <v>46458</v>
      </c>
      <c r="B1924" t="s">
        <v>337</v>
      </c>
    </row>
    <row r="1925" spans="1:2" x14ac:dyDescent="0.2">
      <c r="A1925" s="16">
        <v>46458</v>
      </c>
      <c r="B1925" t="s">
        <v>341</v>
      </c>
    </row>
    <row r="1926" spans="1:2" x14ac:dyDescent="0.2">
      <c r="A1926" s="16">
        <v>46458</v>
      </c>
      <c r="B1926" t="s">
        <v>339</v>
      </c>
    </row>
    <row r="1927" spans="1:2" x14ac:dyDescent="0.2">
      <c r="A1927" s="16">
        <v>46458</v>
      </c>
      <c r="B1927" t="s">
        <v>345</v>
      </c>
    </row>
    <row r="1928" spans="1:2" x14ac:dyDescent="0.2">
      <c r="A1928" s="16">
        <v>46458</v>
      </c>
      <c r="B1928" t="s">
        <v>332</v>
      </c>
    </row>
    <row r="1929" spans="1:2" x14ac:dyDescent="0.2">
      <c r="A1929" s="16">
        <v>46458</v>
      </c>
      <c r="B1929" t="s">
        <v>329</v>
      </c>
    </row>
    <row r="1930" spans="1:2" x14ac:dyDescent="0.2">
      <c r="A1930" s="16">
        <v>46458</v>
      </c>
      <c r="B1930" t="s">
        <v>369</v>
      </c>
    </row>
    <row r="1931" spans="1:2" x14ac:dyDescent="0.2">
      <c r="A1931" s="16">
        <v>46458</v>
      </c>
      <c r="B1931" t="s">
        <v>364</v>
      </c>
    </row>
    <row r="1932" spans="1:2" x14ac:dyDescent="0.2">
      <c r="A1932" s="16">
        <v>46458</v>
      </c>
      <c r="B1932" t="s">
        <v>325</v>
      </c>
    </row>
    <row r="1933" spans="1:2" x14ac:dyDescent="0.2">
      <c r="A1933" s="16">
        <v>46458</v>
      </c>
      <c r="B1933" t="s">
        <v>385</v>
      </c>
    </row>
    <row r="1934" spans="1:2" x14ac:dyDescent="0.2">
      <c r="A1934" s="16">
        <v>46458</v>
      </c>
      <c r="B1934" t="s">
        <v>353</v>
      </c>
    </row>
    <row r="1935" spans="1:2" x14ac:dyDescent="0.2">
      <c r="A1935" s="16">
        <v>46458</v>
      </c>
      <c r="B1935" t="s">
        <v>362</v>
      </c>
    </row>
    <row r="1936" spans="1:2" x14ac:dyDescent="0.2">
      <c r="A1936" s="16">
        <v>46459</v>
      </c>
      <c r="B1936" t="s">
        <v>377</v>
      </c>
    </row>
    <row r="1937" spans="1:2" x14ac:dyDescent="0.2">
      <c r="A1937" s="16">
        <v>46459</v>
      </c>
      <c r="B1937" t="s">
        <v>379</v>
      </c>
    </row>
    <row r="1938" spans="1:2" x14ac:dyDescent="0.2">
      <c r="A1938" s="16">
        <v>46459</v>
      </c>
      <c r="B1938" t="s">
        <v>378</v>
      </c>
    </row>
    <row r="1939" spans="1:2" x14ac:dyDescent="0.2">
      <c r="A1939" s="16">
        <v>46459</v>
      </c>
      <c r="B1939" t="s">
        <v>370</v>
      </c>
    </row>
    <row r="1940" spans="1:2" x14ac:dyDescent="0.2">
      <c r="A1940" s="16">
        <v>46459</v>
      </c>
      <c r="B1940" t="s">
        <v>357</v>
      </c>
    </row>
    <row r="1941" spans="1:2" x14ac:dyDescent="0.2">
      <c r="A1941" s="16">
        <v>46459</v>
      </c>
      <c r="B1941" t="s">
        <v>355</v>
      </c>
    </row>
    <row r="1942" spans="1:2" x14ac:dyDescent="0.2">
      <c r="A1942" s="16">
        <v>46459</v>
      </c>
      <c r="B1942" t="s">
        <v>348</v>
      </c>
    </row>
    <row r="1943" spans="1:2" x14ac:dyDescent="0.2">
      <c r="A1943" s="16">
        <v>46459</v>
      </c>
      <c r="B1943" t="s">
        <v>366</v>
      </c>
    </row>
    <row r="1944" spans="1:2" x14ac:dyDescent="0.2">
      <c r="A1944" s="16">
        <v>46459</v>
      </c>
      <c r="B1944" t="s">
        <v>373</v>
      </c>
    </row>
    <row r="1945" spans="1:2" x14ac:dyDescent="0.2">
      <c r="A1945" s="16">
        <v>46459</v>
      </c>
      <c r="B1945" t="s">
        <v>396</v>
      </c>
    </row>
    <row r="1946" spans="1:2" x14ac:dyDescent="0.2">
      <c r="A1946" s="16">
        <v>46459</v>
      </c>
      <c r="B1946" t="s">
        <v>334</v>
      </c>
    </row>
    <row r="1947" spans="1:2" x14ac:dyDescent="0.2">
      <c r="A1947" s="16">
        <v>46459</v>
      </c>
      <c r="B1947" t="s">
        <v>364</v>
      </c>
    </row>
    <row r="1948" spans="1:2" x14ac:dyDescent="0.2">
      <c r="A1948" s="16">
        <v>46459</v>
      </c>
      <c r="B1948" t="s">
        <v>358</v>
      </c>
    </row>
    <row r="1949" spans="1:2" x14ac:dyDescent="0.2">
      <c r="A1949" s="16">
        <v>46459</v>
      </c>
      <c r="B1949" t="s">
        <v>343</v>
      </c>
    </row>
    <row r="1950" spans="1:2" x14ac:dyDescent="0.2">
      <c r="A1950" s="16">
        <v>46459</v>
      </c>
      <c r="B1950" t="s">
        <v>346</v>
      </c>
    </row>
    <row r="1951" spans="1:2" x14ac:dyDescent="0.2">
      <c r="A1951" s="16">
        <v>46459</v>
      </c>
      <c r="B1951" t="s">
        <v>361</v>
      </c>
    </row>
    <row r="1952" spans="1:2" x14ac:dyDescent="0.2">
      <c r="A1952" s="16">
        <v>46460</v>
      </c>
      <c r="B1952" t="s">
        <v>337</v>
      </c>
    </row>
    <row r="1953" spans="1:2" x14ac:dyDescent="0.2">
      <c r="A1953" s="16">
        <v>46460</v>
      </c>
      <c r="B1953" t="s">
        <v>341</v>
      </c>
    </row>
    <row r="1954" spans="1:2" x14ac:dyDescent="0.2">
      <c r="A1954" s="16">
        <v>46460</v>
      </c>
      <c r="B1954" t="s">
        <v>339</v>
      </c>
    </row>
    <row r="1955" spans="1:2" x14ac:dyDescent="0.2">
      <c r="A1955" s="16">
        <v>46460</v>
      </c>
      <c r="B1955" t="s">
        <v>355</v>
      </c>
    </row>
    <row r="1956" spans="1:2" x14ac:dyDescent="0.2">
      <c r="A1956" s="16">
        <v>46460</v>
      </c>
      <c r="B1956" t="s">
        <v>345</v>
      </c>
    </row>
    <row r="1957" spans="1:2" x14ac:dyDescent="0.2">
      <c r="A1957" s="16">
        <v>46460</v>
      </c>
      <c r="B1957" t="s">
        <v>332</v>
      </c>
    </row>
    <row r="1958" spans="1:2" x14ac:dyDescent="0.2">
      <c r="A1958" s="16">
        <v>46460</v>
      </c>
      <c r="B1958" t="s">
        <v>329</v>
      </c>
    </row>
    <row r="1959" spans="1:2" x14ac:dyDescent="0.2">
      <c r="A1959" s="16">
        <v>46460</v>
      </c>
      <c r="B1959" t="s">
        <v>334</v>
      </c>
    </row>
    <row r="1960" spans="1:2" x14ac:dyDescent="0.2">
      <c r="A1960" s="16">
        <v>46460</v>
      </c>
      <c r="B1960" t="s">
        <v>342</v>
      </c>
    </row>
    <row r="1961" spans="1:2" x14ac:dyDescent="0.2">
      <c r="A1961" s="16">
        <v>46460</v>
      </c>
      <c r="B1961" t="s">
        <v>325</v>
      </c>
    </row>
    <row r="1962" spans="1:2" x14ac:dyDescent="0.2">
      <c r="A1962" s="16">
        <v>46460</v>
      </c>
      <c r="B1962" t="s">
        <v>385</v>
      </c>
    </row>
    <row r="1963" spans="1:2" x14ac:dyDescent="0.2">
      <c r="A1963" s="16">
        <v>46460</v>
      </c>
      <c r="B1963" t="s">
        <v>351</v>
      </c>
    </row>
    <row r="1964" spans="1:2" x14ac:dyDescent="0.2">
      <c r="A1964" s="16">
        <v>46460</v>
      </c>
      <c r="B1964" t="s">
        <v>353</v>
      </c>
    </row>
    <row r="1965" spans="1:2" x14ac:dyDescent="0.2">
      <c r="A1965" s="16">
        <v>46460</v>
      </c>
      <c r="B1965" t="s">
        <v>368</v>
      </c>
    </row>
    <row r="1966" spans="1:2" x14ac:dyDescent="0.2">
      <c r="A1966" s="16">
        <v>46461</v>
      </c>
      <c r="B1966" t="s">
        <v>377</v>
      </c>
    </row>
    <row r="1967" spans="1:2" x14ac:dyDescent="0.2">
      <c r="A1967" s="16">
        <v>46461</v>
      </c>
      <c r="B1967" t="s">
        <v>379</v>
      </c>
    </row>
    <row r="1968" spans="1:2" x14ac:dyDescent="0.2">
      <c r="A1968" s="16">
        <v>46461</v>
      </c>
      <c r="B1968" t="s">
        <v>370</v>
      </c>
    </row>
    <row r="1969" spans="1:2" x14ac:dyDescent="0.2">
      <c r="A1969" s="16">
        <v>46461</v>
      </c>
      <c r="B1969" t="s">
        <v>357</v>
      </c>
    </row>
    <row r="1970" spans="1:2" x14ac:dyDescent="0.2">
      <c r="A1970" s="16">
        <v>46461</v>
      </c>
      <c r="B1970" t="s">
        <v>366</v>
      </c>
    </row>
    <row r="1971" spans="1:2" x14ac:dyDescent="0.2">
      <c r="A1971" s="16">
        <v>46461</v>
      </c>
      <c r="B1971" t="s">
        <v>396</v>
      </c>
    </row>
    <row r="1972" spans="1:2" x14ac:dyDescent="0.2">
      <c r="A1972" s="16">
        <v>46461</v>
      </c>
      <c r="B1972" t="s">
        <v>358</v>
      </c>
    </row>
    <row r="1973" spans="1:2" x14ac:dyDescent="0.2">
      <c r="A1973" s="16">
        <v>46461</v>
      </c>
      <c r="B1973" t="s">
        <v>343</v>
      </c>
    </row>
    <row r="1974" spans="1:2" x14ac:dyDescent="0.2">
      <c r="A1974" s="16">
        <v>46461</v>
      </c>
      <c r="B1974" t="s">
        <v>346</v>
      </c>
    </row>
    <row r="1975" spans="1:2" x14ac:dyDescent="0.2">
      <c r="A1975" s="16">
        <v>46461</v>
      </c>
      <c r="B1975" t="s">
        <v>353</v>
      </c>
    </row>
    <row r="1976" spans="1:2" x14ac:dyDescent="0.2">
      <c r="A1976" s="16">
        <v>46462</v>
      </c>
      <c r="B1976" t="s">
        <v>337</v>
      </c>
    </row>
    <row r="1977" spans="1:2" x14ac:dyDescent="0.2">
      <c r="A1977" s="16">
        <v>46462</v>
      </c>
      <c r="B1977" t="s">
        <v>378</v>
      </c>
    </row>
    <row r="1978" spans="1:2" x14ac:dyDescent="0.2">
      <c r="A1978" s="16">
        <v>46462</v>
      </c>
      <c r="B1978" t="s">
        <v>341</v>
      </c>
    </row>
    <row r="1979" spans="1:2" x14ac:dyDescent="0.2">
      <c r="A1979" s="16">
        <v>46462</v>
      </c>
      <c r="B1979" t="s">
        <v>339</v>
      </c>
    </row>
    <row r="1980" spans="1:2" x14ac:dyDescent="0.2">
      <c r="A1980" s="16">
        <v>46462</v>
      </c>
      <c r="B1980" t="s">
        <v>355</v>
      </c>
    </row>
    <row r="1981" spans="1:2" x14ac:dyDescent="0.2">
      <c r="A1981" s="16">
        <v>46462</v>
      </c>
      <c r="B1981" t="s">
        <v>345</v>
      </c>
    </row>
    <row r="1982" spans="1:2" x14ac:dyDescent="0.2">
      <c r="A1982" s="16">
        <v>46462</v>
      </c>
      <c r="B1982" t="s">
        <v>348</v>
      </c>
    </row>
    <row r="1983" spans="1:2" x14ac:dyDescent="0.2">
      <c r="A1983" s="16">
        <v>46462</v>
      </c>
      <c r="B1983" t="s">
        <v>366</v>
      </c>
    </row>
    <row r="1984" spans="1:2" x14ac:dyDescent="0.2">
      <c r="A1984" s="16">
        <v>46462</v>
      </c>
      <c r="B1984" t="s">
        <v>373</v>
      </c>
    </row>
    <row r="1985" spans="1:2" x14ac:dyDescent="0.2">
      <c r="A1985" s="16">
        <v>46462</v>
      </c>
      <c r="B1985" t="s">
        <v>332</v>
      </c>
    </row>
    <row r="1986" spans="1:2" x14ac:dyDescent="0.2">
      <c r="A1986" s="16">
        <v>46462</v>
      </c>
      <c r="B1986" t="s">
        <v>369</v>
      </c>
    </row>
    <row r="1987" spans="1:2" x14ac:dyDescent="0.2">
      <c r="A1987" s="16">
        <v>46462</v>
      </c>
      <c r="B1987" t="s">
        <v>334</v>
      </c>
    </row>
    <row r="1988" spans="1:2" x14ac:dyDescent="0.2">
      <c r="A1988" s="16">
        <v>46462</v>
      </c>
      <c r="B1988" t="s">
        <v>364</v>
      </c>
    </row>
    <row r="1989" spans="1:2" x14ac:dyDescent="0.2">
      <c r="A1989" s="16">
        <v>46462</v>
      </c>
      <c r="B1989" t="s">
        <v>342</v>
      </c>
    </row>
    <row r="1990" spans="1:2" x14ac:dyDescent="0.2">
      <c r="A1990" s="16">
        <v>46462</v>
      </c>
      <c r="B1990" t="s">
        <v>325</v>
      </c>
    </row>
    <row r="1991" spans="1:2" x14ac:dyDescent="0.2">
      <c r="A1991" s="16">
        <v>46462</v>
      </c>
      <c r="B1991" t="s">
        <v>358</v>
      </c>
    </row>
    <row r="1992" spans="1:2" x14ac:dyDescent="0.2">
      <c r="A1992" s="16">
        <v>46462</v>
      </c>
      <c r="B1992" t="s">
        <v>361</v>
      </c>
    </row>
    <row r="1993" spans="1:2" x14ac:dyDescent="0.2">
      <c r="A1993" s="16">
        <v>46462</v>
      </c>
      <c r="B1993" t="s">
        <v>385</v>
      </c>
    </row>
    <row r="1994" spans="1:2" x14ac:dyDescent="0.2">
      <c r="A1994" s="16">
        <v>46462</v>
      </c>
      <c r="B1994" t="s">
        <v>351</v>
      </c>
    </row>
    <row r="1995" spans="1:2" x14ac:dyDescent="0.2">
      <c r="A1995" s="16">
        <v>46462</v>
      </c>
      <c r="B1995" t="s">
        <v>368</v>
      </c>
    </row>
    <row r="1996" spans="1:2" x14ac:dyDescent="0.2">
      <c r="A1996" s="16">
        <v>46463</v>
      </c>
      <c r="B1996" t="s">
        <v>377</v>
      </c>
    </row>
    <row r="1997" spans="1:2" x14ac:dyDescent="0.2">
      <c r="A1997" s="16">
        <v>46463</v>
      </c>
      <c r="B1997" t="s">
        <v>379</v>
      </c>
    </row>
    <row r="1998" spans="1:2" x14ac:dyDescent="0.2">
      <c r="A1998" s="16">
        <v>46463</v>
      </c>
      <c r="B1998" t="s">
        <v>370</v>
      </c>
    </row>
    <row r="1999" spans="1:2" x14ac:dyDescent="0.2">
      <c r="A1999" s="16">
        <v>46463</v>
      </c>
      <c r="B1999" t="s">
        <v>357</v>
      </c>
    </row>
    <row r="2000" spans="1:2" x14ac:dyDescent="0.2">
      <c r="A2000" s="16">
        <v>46463</v>
      </c>
      <c r="B2000" t="s">
        <v>345</v>
      </c>
    </row>
    <row r="2001" spans="1:2" x14ac:dyDescent="0.2">
      <c r="A2001" s="16">
        <v>46463</v>
      </c>
      <c r="B2001" t="s">
        <v>348</v>
      </c>
    </row>
    <row r="2002" spans="1:2" x14ac:dyDescent="0.2">
      <c r="A2002" s="16">
        <v>46463</v>
      </c>
      <c r="B2002" t="s">
        <v>332</v>
      </c>
    </row>
    <row r="2003" spans="1:2" x14ac:dyDescent="0.2">
      <c r="A2003" s="16">
        <v>46463</v>
      </c>
      <c r="B2003" t="s">
        <v>396</v>
      </c>
    </row>
    <row r="2004" spans="1:2" x14ac:dyDescent="0.2">
      <c r="A2004" s="16">
        <v>46463</v>
      </c>
      <c r="B2004" t="s">
        <v>329</v>
      </c>
    </row>
    <row r="2005" spans="1:2" x14ac:dyDescent="0.2">
      <c r="A2005" s="16">
        <v>46463</v>
      </c>
      <c r="B2005" t="s">
        <v>342</v>
      </c>
    </row>
    <row r="2006" spans="1:2" x14ac:dyDescent="0.2">
      <c r="A2006" s="16">
        <v>46463</v>
      </c>
      <c r="B2006" t="s">
        <v>325</v>
      </c>
    </row>
    <row r="2007" spans="1:2" x14ac:dyDescent="0.2">
      <c r="A2007" s="16">
        <v>46463</v>
      </c>
      <c r="B2007" t="s">
        <v>343</v>
      </c>
    </row>
    <row r="2008" spans="1:2" x14ac:dyDescent="0.2">
      <c r="A2008" s="16">
        <v>46463</v>
      </c>
      <c r="B2008" t="s">
        <v>346</v>
      </c>
    </row>
    <row r="2009" spans="1:2" x14ac:dyDescent="0.2">
      <c r="A2009" s="16">
        <v>46463</v>
      </c>
      <c r="B2009" t="s">
        <v>361</v>
      </c>
    </row>
    <row r="2010" spans="1:2" x14ac:dyDescent="0.2">
      <c r="A2010" s="16">
        <v>46463</v>
      </c>
      <c r="B2010" t="s">
        <v>385</v>
      </c>
    </row>
    <row r="2011" spans="1:2" x14ac:dyDescent="0.2">
      <c r="A2011" s="16">
        <v>46463</v>
      </c>
      <c r="B2011" t="s">
        <v>362</v>
      </c>
    </row>
    <row r="2012" spans="1:2" x14ac:dyDescent="0.2">
      <c r="A2012" s="16">
        <v>46464</v>
      </c>
      <c r="B2012" t="s">
        <v>379</v>
      </c>
    </row>
    <row r="2013" spans="1:2" x14ac:dyDescent="0.2">
      <c r="A2013" s="16">
        <v>46464</v>
      </c>
      <c r="B2013" t="s">
        <v>337</v>
      </c>
    </row>
    <row r="2014" spans="1:2" x14ac:dyDescent="0.2">
      <c r="A2014" s="16">
        <v>46464</v>
      </c>
      <c r="B2014" t="s">
        <v>378</v>
      </c>
    </row>
    <row r="2015" spans="1:2" x14ac:dyDescent="0.2">
      <c r="A2015" s="16">
        <v>46464</v>
      </c>
      <c r="B2015" t="s">
        <v>341</v>
      </c>
    </row>
    <row r="2016" spans="1:2" x14ac:dyDescent="0.2">
      <c r="A2016" s="16">
        <v>46464</v>
      </c>
      <c r="B2016" t="s">
        <v>339</v>
      </c>
    </row>
    <row r="2017" spans="1:2" x14ac:dyDescent="0.2">
      <c r="A2017" s="16">
        <v>46464</v>
      </c>
      <c r="B2017" t="s">
        <v>355</v>
      </c>
    </row>
    <row r="2018" spans="1:2" x14ac:dyDescent="0.2">
      <c r="A2018" s="16">
        <v>46464</v>
      </c>
      <c r="B2018" t="s">
        <v>366</v>
      </c>
    </row>
    <row r="2019" spans="1:2" x14ac:dyDescent="0.2">
      <c r="A2019" s="16">
        <v>46464</v>
      </c>
      <c r="B2019" t="s">
        <v>373</v>
      </c>
    </row>
    <row r="2020" spans="1:2" x14ac:dyDescent="0.2">
      <c r="A2020" s="16">
        <v>46464</v>
      </c>
      <c r="B2020" t="s">
        <v>396</v>
      </c>
    </row>
    <row r="2021" spans="1:2" x14ac:dyDescent="0.2">
      <c r="A2021" s="16">
        <v>46464</v>
      </c>
      <c r="B2021" t="s">
        <v>369</v>
      </c>
    </row>
    <row r="2022" spans="1:2" x14ac:dyDescent="0.2">
      <c r="A2022" s="16">
        <v>46464</v>
      </c>
      <c r="B2022" t="s">
        <v>334</v>
      </c>
    </row>
    <row r="2023" spans="1:2" x14ac:dyDescent="0.2">
      <c r="A2023" s="16">
        <v>46464</v>
      </c>
      <c r="B2023" t="s">
        <v>364</v>
      </c>
    </row>
    <row r="2024" spans="1:2" x14ac:dyDescent="0.2">
      <c r="A2024" s="16">
        <v>46464</v>
      </c>
      <c r="B2024" t="s">
        <v>358</v>
      </c>
    </row>
    <row r="2025" spans="1:2" x14ac:dyDescent="0.2">
      <c r="A2025" s="16">
        <v>46464</v>
      </c>
      <c r="B2025" t="s">
        <v>343</v>
      </c>
    </row>
    <row r="2026" spans="1:2" x14ac:dyDescent="0.2">
      <c r="A2026" s="16">
        <v>46464</v>
      </c>
      <c r="B2026" t="s">
        <v>351</v>
      </c>
    </row>
    <row r="2027" spans="1:2" x14ac:dyDescent="0.2">
      <c r="A2027" s="16">
        <v>46464</v>
      </c>
      <c r="B2027" t="s">
        <v>353</v>
      </c>
    </row>
    <row r="2028" spans="1:2" x14ac:dyDescent="0.2">
      <c r="A2028" s="16">
        <v>46464</v>
      </c>
      <c r="B2028" t="s">
        <v>362</v>
      </c>
    </row>
    <row r="2029" spans="1:2" x14ac:dyDescent="0.2">
      <c r="A2029" s="16">
        <v>46464</v>
      </c>
      <c r="B2029" t="s">
        <v>368</v>
      </c>
    </row>
    <row r="2030" spans="1:2" x14ac:dyDescent="0.2">
      <c r="A2030" s="16">
        <v>46465</v>
      </c>
      <c r="B2030" t="s">
        <v>377</v>
      </c>
    </row>
    <row r="2031" spans="1:2" x14ac:dyDescent="0.2">
      <c r="A2031" s="16">
        <v>46465</v>
      </c>
      <c r="B2031" t="s">
        <v>357</v>
      </c>
    </row>
    <row r="2032" spans="1:2" x14ac:dyDescent="0.2">
      <c r="A2032" s="16">
        <v>46465</v>
      </c>
      <c r="B2032" t="s">
        <v>345</v>
      </c>
    </row>
    <row r="2033" spans="1:2" x14ac:dyDescent="0.2">
      <c r="A2033" s="16">
        <v>46465</v>
      </c>
      <c r="B2033" t="s">
        <v>348</v>
      </c>
    </row>
    <row r="2034" spans="1:2" x14ac:dyDescent="0.2">
      <c r="A2034" s="16">
        <v>46465</v>
      </c>
      <c r="B2034" t="s">
        <v>332</v>
      </c>
    </row>
    <row r="2035" spans="1:2" x14ac:dyDescent="0.2">
      <c r="A2035" s="16">
        <v>46465</v>
      </c>
      <c r="B2035" t="s">
        <v>329</v>
      </c>
    </row>
    <row r="2036" spans="1:2" x14ac:dyDescent="0.2">
      <c r="A2036" s="16">
        <v>46465</v>
      </c>
      <c r="B2036" t="s">
        <v>364</v>
      </c>
    </row>
    <row r="2037" spans="1:2" x14ac:dyDescent="0.2">
      <c r="A2037" s="16">
        <v>46465</v>
      </c>
      <c r="B2037" t="s">
        <v>346</v>
      </c>
    </row>
    <row r="2038" spans="1:2" x14ac:dyDescent="0.2">
      <c r="A2038" s="16">
        <v>46465</v>
      </c>
      <c r="B2038" t="s">
        <v>361</v>
      </c>
    </row>
    <row r="2039" spans="1:2" x14ac:dyDescent="0.2">
      <c r="A2039" s="16">
        <v>46465</v>
      </c>
      <c r="B2039" t="s">
        <v>385</v>
      </c>
    </row>
    <row r="2040" spans="1:2" x14ac:dyDescent="0.2">
      <c r="A2040" s="16">
        <v>46465</v>
      </c>
      <c r="B2040" t="s">
        <v>351</v>
      </c>
    </row>
    <row r="2041" spans="1:2" x14ac:dyDescent="0.2">
      <c r="A2041" s="16">
        <v>46465</v>
      </c>
      <c r="B2041" t="s">
        <v>353</v>
      </c>
    </row>
    <row r="2042" spans="1:2" x14ac:dyDescent="0.2">
      <c r="A2042" s="16">
        <v>46466</v>
      </c>
      <c r="B2042" t="s">
        <v>377</v>
      </c>
    </row>
    <row r="2043" spans="1:2" x14ac:dyDescent="0.2">
      <c r="A2043" s="16">
        <v>46466</v>
      </c>
      <c r="B2043" t="s">
        <v>378</v>
      </c>
    </row>
    <row r="2044" spans="1:2" x14ac:dyDescent="0.2">
      <c r="A2044" s="16">
        <v>46466</v>
      </c>
      <c r="B2044" t="s">
        <v>370</v>
      </c>
    </row>
    <row r="2045" spans="1:2" x14ac:dyDescent="0.2">
      <c r="A2045" s="16">
        <v>46466</v>
      </c>
      <c r="B2045" t="s">
        <v>341</v>
      </c>
    </row>
    <row r="2046" spans="1:2" x14ac:dyDescent="0.2">
      <c r="A2046" s="16">
        <v>46466</v>
      </c>
      <c r="B2046" t="s">
        <v>339</v>
      </c>
    </row>
    <row r="2047" spans="1:2" x14ac:dyDescent="0.2">
      <c r="A2047" s="16">
        <v>46466</v>
      </c>
      <c r="B2047" t="s">
        <v>355</v>
      </c>
    </row>
    <row r="2048" spans="1:2" x14ac:dyDescent="0.2">
      <c r="A2048" s="16">
        <v>46466</v>
      </c>
      <c r="B2048" t="s">
        <v>366</v>
      </c>
    </row>
    <row r="2049" spans="1:2" x14ac:dyDescent="0.2">
      <c r="A2049" s="16">
        <v>46466</v>
      </c>
      <c r="B2049" t="s">
        <v>373</v>
      </c>
    </row>
    <row r="2050" spans="1:2" x14ac:dyDescent="0.2">
      <c r="A2050" s="16">
        <v>46466</v>
      </c>
      <c r="B2050" t="s">
        <v>396</v>
      </c>
    </row>
    <row r="2051" spans="1:2" x14ac:dyDescent="0.2">
      <c r="A2051" s="16">
        <v>46466</v>
      </c>
      <c r="B2051" t="s">
        <v>369</v>
      </c>
    </row>
    <row r="2052" spans="1:2" x14ac:dyDescent="0.2">
      <c r="A2052" s="16">
        <v>46466</v>
      </c>
      <c r="B2052" t="s">
        <v>342</v>
      </c>
    </row>
    <row r="2053" spans="1:2" x14ac:dyDescent="0.2">
      <c r="A2053" s="16">
        <v>46466</v>
      </c>
      <c r="B2053" t="s">
        <v>325</v>
      </c>
    </row>
    <row r="2054" spans="1:2" x14ac:dyDescent="0.2">
      <c r="A2054" s="16">
        <v>46466</v>
      </c>
      <c r="B2054" t="s">
        <v>358</v>
      </c>
    </row>
    <row r="2055" spans="1:2" x14ac:dyDescent="0.2">
      <c r="A2055" s="16">
        <v>46466</v>
      </c>
      <c r="B2055" t="s">
        <v>368</v>
      </c>
    </row>
    <row r="2056" spans="1:2" x14ac:dyDescent="0.2">
      <c r="A2056" s="16">
        <v>46467</v>
      </c>
      <c r="B2056" t="s">
        <v>379</v>
      </c>
    </row>
    <row r="2057" spans="1:2" x14ac:dyDescent="0.2">
      <c r="A2057" s="16">
        <v>46467</v>
      </c>
      <c r="B2057" t="s">
        <v>337</v>
      </c>
    </row>
    <row r="2058" spans="1:2" x14ac:dyDescent="0.2">
      <c r="A2058" s="16">
        <v>46467</v>
      </c>
      <c r="B2058" t="s">
        <v>357</v>
      </c>
    </row>
    <row r="2059" spans="1:2" x14ac:dyDescent="0.2">
      <c r="A2059" s="16">
        <v>46467</v>
      </c>
      <c r="B2059" t="s">
        <v>339</v>
      </c>
    </row>
    <row r="2060" spans="1:2" x14ac:dyDescent="0.2">
      <c r="A2060" s="16">
        <v>46467</v>
      </c>
      <c r="B2060" t="s">
        <v>332</v>
      </c>
    </row>
    <row r="2061" spans="1:2" x14ac:dyDescent="0.2">
      <c r="A2061" s="16">
        <v>46467</v>
      </c>
      <c r="B2061" t="s">
        <v>329</v>
      </c>
    </row>
    <row r="2062" spans="1:2" x14ac:dyDescent="0.2">
      <c r="A2062" s="16">
        <v>46467</v>
      </c>
      <c r="B2062" t="s">
        <v>364</v>
      </c>
    </row>
    <row r="2063" spans="1:2" x14ac:dyDescent="0.2">
      <c r="A2063" s="16">
        <v>46467</v>
      </c>
      <c r="B2063" t="s">
        <v>343</v>
      </c>
    </row>
    <row r="2064" spans="1:2" x14ac:dyDescent="0.2">
      <c r="A2064" s="16">
        <v>46467</v>
      </c>
      <c r="B2064" t="s">
        <v>346</v>
      </c>
    </row>
    <row r="2065" spans="1:2" x14ac:dyDescent="0.2">
      <c r="A2065" s="16">
        <v>46467</v>
      </c>
      <c r="B2065" t="s">
        <v>361</v>
      </c>
    </row>
    <row r="2066" spans="1:2" x14ac:dyDescent="0.2">
      <c r="A2066" s="16">
        <v>46467</v>
      </c>
      <c r="B2066" t="s">
        <v>385</v>
      </c>
    </row>
    <row r="2067" spans="1:2" x14ac:dyDescent="0.2">
      <c r="A2067" s="16">
        <v>46467</v>
      </c>
      <c r="B2067" t="s">
        <v>351</v>
      </c>
    </row>
    <row r="2068" spans="1:2" x14ac:dyDescent="0.2">
      <c r="A2068" s="16">
        <v>46467</v>
      </c>
      <c r="B2068" t="s">
        <v>353</v>
      </c>
    </row>
    <row r="2069" spans="1:2" x14ac:dyDescent="0.2">
      <c r="A2069" s="16">
        <v>46467</v>
      </c>
      <c r="B2069" t="s">
        <v>362</v>
      </c>
    </row>
    <row r="2070" spans="1:2" x14ac:dyDescent="0.2">
      <c r="A2070" s="16">
        <v>46468</v>
      </c>
      <c r="B2070" t="s">
        <v>377</v>
      </c>
    </row>
    <row r="2071" spans="1:2" x14ac:dyDescent="0.2">
      <c r="A2071" s="16">
        <v>46468</v>
      </c>
      <c r="B2071" t="s">
        <v>378</v>
      </c>
    </row>
    <row r="2072" spans="1:2" x14ac:dyDescent="0.2">
      <c r="A2072" s="16">
        <v>46468</v>
      </c>
      <c r="B2072" t="s">
        <v>370</v>
      </c>
    </row>
    <row r="2073" spans="1:2" x14ac:dyDescent="0.2">
      <c r="A2073" s="16">
        <v>46468</v>
      </c>
      <c r="B2073" t="s">
        <v>341</v>
      </c>
    </row>
    <row r="2074" spans="1:2" x14ac:dyDescent="0.2">
      <c r="A2074" s="16">
        <v>46468</v>
      </c>
      <c r="B2074" t="s">
        <v>357</v>
      </c>
    </row>
    <row r="2075" spans="1:2" x14ac:dyDescent="0.2">
      <c r="A2075" s="16">
        <v>46468</v>
      </c>
      <c r="B2075" t="s">
        <v>355</v>
      </c>
    </row>
    <row r="2076" spans="1:2" x14ac:dyDescent="0.2">
      <c r="A2076" s="16">
        <v>46468</v>
      </c>
      <c r="B2076" t="s">
        <v>345</v>
      </c>
    </row>
    <row r="2077" spans="1:2" x14ac:dyDescent="0.2">
      <c r="A2077" s="16">
        <v>46468</v>
      </c>
      <c r="B2077" t="s">
        <v>348</v>
      </c>
    </row>
    <row r="2078" spans="1:2" x14ac:dyDescent="0.2">
      <c r="A2078" s="16">
        <v>46468</v>
      </c>
      <c r="B2078" t="s">
        <v>366</v>
      </c>
    </row>
    <row r="2079" spans="1:2" x14ac:dyDescent="0.2">
      <c r="A2079" s="16">
        <v>46468</v>
      </c>
      <c r="B2079" t="s">
        <v>373</v>
      </c>
    </row>
    <row r="2080" spans="1:2" x14ac:dyDescent="0.2">
      <c r="A2080" s="16">
        <v>46468</v>
      </c>
      <c r="B2080" t="s">
        <v>396</v>
      </c>
    </row>
    <row r="2081" spans="1:2" x14ac:dyDescent="0.2">
      <c r="A2081" s="16">
        <v>46468</v>
      </c>
      <c r="B2081" t="s">
        <v>369</v>
      </c>
    </row>
    <row r="2082" spans="1:2" x14ac:dyDescent="0.2">
      <c r="A2082" s="16">
        <v>46468</v>
      </c>
      <c r="B2082" t="s">
        <v>334</v>
      </c>
    </row>
    <row r="2083" spans="1:2" x14ac:dyDescent="0.2">
      <c r="A2083" s="16">
        <v>46468</v>
      </c>
      <c r="B2083" t="s">
        <v>358</v>
      </c>
    </row>
    <row r="2084" spans="1:2" x14ac:dyDescent="0.2">
      <c r="A2084" s="16">
        <v>46468</v>
      </c>
      <c r="B2084" t="s">
        <v>385</v>
      </c>
    </row>
    <row r="2085" spans="1:2" x14ac:dyDescent="0.2">
      <c r="A2085" s="16">
        <v>46468</v>
      </c>
      <c r="B2085" t="s">
        <v>368</v>
      </c>
    </row>
    <row r="2086" spans="1:2" x14ac:dyDescent="0.2">
      <c r="A2086" s="16">
        <v>46469</v>
      </c>
      <c r="B2086" t="s">
        <v>379</v>
      </c>
    </row>
    <row r="2087" spans="1:2" x14ac:dyDescent="0.2">
      <c r="A2087" s="16">
        <v>46469</v>
      </c>
      <c r="B2087" t="s">
        <v>337</v>
      </c>
    </row>
    <row r="2088" spans="1:2" x14ac:dyDescent="0.2">
      <c r="A2088" s="16">
        <v>46469</v>
      </c>
      <c r="B2088" t="s">
        <v>332</v>
      </c>
    </row>
    <row r="2089" spans="1:2" x14ac:dyDescent="0.2">
      <c r="A2089" s="16">
        <v>46469</v>
      </c>
      <c r="B2089" t="s">
        <v>329</v>
      </c>
    </row>
    <row r="2090" spans="1:2" x14ac:dyDescent="0.2">
      <c r="A2090" s="16">
        <v>46469</v>
      </c>
      <c r="B2090" t="s">
        <v>364</v>
      </c>
    </row>
    <row r="2091" spans="1:2" x14ac:dyDescent="0.2">
      <c r="A2091" s="16">
        <v>46469</v>
      </c>
      <c r="B2091" t="s">
        <v>342</v>
      </c>
    </row>
    <row r="2092" spans="1:2" x14ac:dyDescent="0.2">
      <c r="A2092" s="16">
        <v>46469</v>
      </c>
      <c r="B2092" t="s">
        <v>325</v>
      </c>
    </row>
    <row r="2093" spans="1:2" x14ac:dyDescent="0.2">
      <c r="A2093" s="16">
        <v>46469</v>
      </c>
      <c r="B2093" t="s">
        <v>343</v>
      </c>
    </row>
    <row r="2094" spans="1:2" x14ac:dyDescent="0.2">
      <c r="A2094" s="16">
        <v>46469</v>
      </c>
      <c r="B2094" t="s">
        <v>346</v>
      </c>
    </row>
    <row r="2095" spans="1:2" x14ac:dyDescent="0.2">
      <c r="A2095" s="16">
        <v>46469</v>
      </c>
      <c r="B2095" t="s">
        <v>361</v>
      </c>
    </row>
    <row r="2096" spans="1:2" x14ac:dyDescent="0.2">
      <c r="A2096" s="16">
        <v>46469</v>
      </c>
      <c r="B2096" t="s">
        <v>353</v>
      </c>
    </row>
    <row r="2097" spans="1:2" x14ac:dyDescent="0.2">
      <c r="A2097" s="16">
        <v>46469</v>
      </c>
      <c r="B2097" t="s">
        <v>362</v>
      </c>
    </row>
    <row r="2098" spans="1:2" x14ac:dyDescent="0.2">
      <c r="A2098" s="16">
        <v>46470</v>
      </c>
      <c r="B2098" t="s">
        <v>377</v>
      </c>
    </row>
    <row r="2099" spans="1:2" x14ac:dyDescent="0.2">
      <c r="A2099" s="16">
        <v>46470</v>
      </c>
      <c r="B2099" t="s">
        <v>337</v>
      </c>
    </row>
    <row r="2100" spans="1:2" x14ac:dyDescent="0.2">
      <c r="A2100" s="16">
        <v>46470</v>
      </c>
      <c r="B2100" t="s">
        <v>378</v>
      </c>
    </row>
    <row r="2101" spans="1:2" x14ac:dyDescent="0.2">
      <c r="A2101" s="16">
        <v>46470</v>
      </c>
      <c r="B2101" t="s">
        <v>370</v>
      </c>
    </row>
    <row r="2102" spans="1:2" x14ac:dyDescent="0.2">
      <c r="A2102" s="16">
        <v>46470</v>
      </c>
      <c r="B2102" t="s">
        <v>357</v>
      </c>
    </row>
    <row r="2103" spans="1:2" x14ac:dyDescent="0.2">
      <c r="A2103" s="16">
        <v>46470</v>
      </c>
      <c r="B2103" t="s">
        <v>339</v>
      </c>
    </row>
    <row r="2104" spans="1:2" x14ac:dyDescent="0.2">
      <c r="A2104" s="16">
        <v>46470</v>
      </c>
      <c r="B2104" t="s">
        <v>355</v>
      </c>
    </row>
    <row r="2105" spans="1:2" x14ac:dyDescent="0.2">
      <c r="A2105" s="16">
        <v>46470</v>
      </c>
      <c r="B2105" t="s">
        <v>345</v>
      </c>
    </row>
    <row r="2106" spans="1:2" x14ac:dyDescent="0.2">
      <c r="A2106" s="16">
        <v>46470</v>
      </c>
      <c r="B2106" t="s">
        <v>348</v>
      </c>
    </row>
    <row r="2107" spans="1:2" x14ac:dyDescent="0.2">
      <c r="A2107" s="16">
        <v>46470</v>
      </c>
      <c r="B2107" t="s">
        <v>366</v>
      </c>
    </row>
    <row r="2108" spans="1:2" x14ac:dyDescent="0.2">
      <c r="A2108" s="16">
        <v>46470</v>
      </c>
      <c r="B2108" t="s">
        <v>373</v>
      </c>
    </row>
    <row r="2109" spans="1:2" x14ac:dyDescent="0.2">
      <c r="A2109" s="16">
        <v>46470</v>
      </c>
      <c r="B2109" t="s">
        <v>396</v>
      </c>
    </row>
    <row r="2110" spans="1:2" x14ac:dyDescent="0.2">
      <c r="A2110" s="16">
        <v>46470</v>
      </c>
      <c r="B2110" t="s">
        <v>369</v>
      </c>
    </row>
    <row r="2111" spans="1:2" x14ac:dyDescent="0.2">
      <c r="A2111" s="16">
        <v>46470</v>
      </c>
      <c r="B2111" t="s">
        <v>334</v>
      </c>
    </row>
    <row r="2112" spans="1:2" x14ac:dyDescent="0.2">
      <c r="A2112" s="16">
        <v>46470</v>
      </c>
      <c r="B2112" t="s">
        <v>342</v>
      </c>
    </row>
    <row r="2113" spans="1:2" x14ac:dyDescent="0.2">
      <c r="A2113" s="16">
        <v>46470</v>
      </c>
      <c r="B2113" t="s">
        <v>325</v>
      </c>
    </row>
    <row r="2114" spans="1:2" x14ac:dyDescent="0.2">
      <c r="A2114" s="16">
        <v>46470</v>
      </c>
      <c r="B2114" t="s">
        <v>358</v>
      </c>
    </row>
    <row r="2115" spans="1:2" x14ac:dyDescent="0.2">
      <c r="A2115" s="16">
        <v>46470</v>
      </c>
      <c r="B2115" t="s">
        <v>343</v>
      </c>
    </row>
    <row r="2116" spans="1:2" x14ac:dyDescent="0.2">
      <c r="A2116" s="16">
        <v>46470</v>
      </c>
      <c r="B2116" t="s">
        <v>346</v>
      </c>
    </row>
    <row r="2117" spans="1:2" x14ac:dyDescent="0.2">
      <c r="A2117" s="16">
        <v>46470</v>
      </c>
      <c r="B2117" t="s">
        <v>385</v>
      </c>
    </row>
    <row r="2118" spans="1:2" x14ac:dyDescent="0.2">
      <c r="A2118" s="16">
        <v>46470</v>
      </c>
      <c r="B2118" t="s">
        <v>351</v>
      </c>
    </row>
    <row r="2119" spans="1:2" x14ac:dyDescent="0.2">
      <c r="A2119" s="16">
        <v>46470</v>
      </c>
      <c r="B2119" t="s">
        <v>368</v>
      </c>
    </row>
    <row r="2120" spans="1:2" x14ac:dyDescent="0.2">
      <c r="A2120" s="16">
        <v>46471</v>
      </c>
      <c r="B2120" t="s">
        <v>379</v>
      </c>
    </row>
    <row r="2121" spans="1:2" x14ac:dyDescent="0.2">
      <c r="A2121" s="16">
        <v>46471</v>
      </c>
      <c r="B2121" t="s">
        <v>370</v>
      </c>
    </row>
    <row r="2122" spans="1:2" x14ac:dyDescent="0.2">
      <c r="A2122" s="16">
        <v>46471</v>
      </c>
      <c r="B2122" t="s">
        <v>341</v>
      </c>
    </row>
    <row r="2123" spans="1:2" x14ac:dyDescent="0.2">
      <c r="A2123" s="16">
        <v>46471</v>
      </c>
      <c r="B2123" t="s">
        <v>339</v>
      </c>
    </row>
    <row r="2124" spans="1:2" x14ac:dyDescent="0.2">
      <c r="A2124" s="16">
        <v>46471</v>
      </c>
      <c r="B2124" t="s">
        <v>355</v>
      </c>
    </row>
    <row r="2125" spans="1:2" x14ac:dyDescent="0.2">
      <c r="A2125" s="16">
        <v>46471</v>
      </c>
      <c r="B2125" t="s">
        <v>345</v>
      </c>
    </row>
    <row r="2126" spans="1:2" x14ac:dyDescent="0.2">
      <c r="A2126" s="16">
        <v>46471</v>
      </c>
      <c r="B2126" t="s">
        <v>348</v>
      </c>
    </row>
    <row r="2127" spans="1:2" x14ac:dyDescent="0.2">
      <c r="A2127" s="16">
        <v>46471</v>
      </c>
      <c r="B2127" t="s">
        <v>366</v>
      </c>
    </row>
    <row r="2128" spans="1:2" x14ac:dyDescent="0.2">
      <c r="A2128" s="16">
        <v>46471</v>
      </c>
      <c r="B2128" t="s">
        <v>332</v>
      </c>
    </row>
    <row r="2129" spans="1:2" x14ac:dyDescent="0.2">
      <c r="A2129" s="16">
        <v>46471</v>
      </c>
      <c r="B2129" t="s">
        <v>396</v>
      </c>
    </row>
    <row r="2130" spans="1:2" x14ac:dyDescent="0.2">
      <c r="A2130" s="16">
        <v>46471</v>
      </c>
      <c r="B2130" t="s">
        <v>329</v>
      </c>
    </row>
    <row r="2131" spans="1:2" x14ac:dyDescent="0.2">
      <c r="A2131" s="16">
        <v>46471</v>
      </c>
      <c r="B2131" t="s">
        <v>351</v>
      </c>
    </row>
    <row r="2132" spans="1:2" x14ac:dyDescent="0.2">
      <c r="A2132" s="16">
        <v>46471</v>
      </c>
      <c r="B2132" t="s">
        <v>353</v>
      </c>
    </row>
    <row r="2133" spans="1:2" x14ac:dyDescent="0.2">
      <c r="A2133" s="16">
        <v>46471</v>
      </c>
      <c r="B2133" t="s">
        <v>362</v>
      </c>
    </row>
    <row r="2134" spans="1:2" x14ac:dyDescent="0.2">
      <c r="A2134" s="16">
        <v>46472</v>
      </c>
      <c r="B2134" t="s">
        <v>378</v>
      </c>
    </row>
    <row r="2135" spans="1:2" x14ac:dyDescent="0.2">
      <c r="A2135" s="16">
        <v>46472</v>
      </c>
      <c r="B2135" t="s">
        <v>357</v>
      </c>
    </row>
    <row r="2136" spans="1:2" x14ac:dyDescent="0.2">
      <c r="A2136" s="16">
        <v>46472</v>
      </c>
      <c r="B2136" t="s">
        <v>373</v>
      </c>
    </row>
    <row r="2137" spans="1:2" x14ac:dyDescent="0.2">
      <c r="A2137" s="16">
        <v>46472</v>
      </c>
      <c r="B2137" t="s">
        <v>369</v>
      </c>
    </row>
    <row r="2138" spans="1:2" x14ac:dyDescent="0.2">
      <c r="A2138" s="16">
        <v>46472</v>
      </c>
      <c r="B2138" t="s">
        <v>334</v>
      </c>
    </row>
    <row r="2139" spans="1:2" x14ac:dyDescent="0.2">
      <c r="A2139" s="16">
        <v>46472</v>
      </c>
      <c r="B2139" t="s">
        <v>364</v>
      </c>
    </row>
    <row r="2140" spans="1:2" x14ac:dyDescent="0.2">
      <c r="A2140" s="16">
        <v>46472</v>
      </c>
      <c r="B2140" t="s">
        <v>342</v>
      </c>
    </row>
    <row r="2141" spans="1:2" x14ac:dyDescent="0.2">
      <c r="A2141" s="16">
        <v>46472</v>
      </c>
      <c r="B2141" t="s">
        <v>325</v>
      </c>
    </row>
    <row r="2142" spans="1:2" x14ac:dyDescent="0.2">
      <c r="A2142" s="16">
        <v>46472</v>
      </c>
      <c r="B2142" t="s">
        <v>358</v>
      </c>
    </row>
    <row r="2143" spans="1:2" x14ac:dyDescent="0.2">
      <c r="A2143" s="16">
        <v>46472</v>
      </c>
      <c r="B2143" t="s">
        <v>343</v>
      </c>
    </row>
    <row r="2144" spans="1:2" x14ac:dyDescent="0.2">
      <c r="A2144" s="16">
        <v>46472</v>
      </c>
      <c r="B2144" t="s">
        <v>346</v>
      </c>
    </row>
    <row r="2145" spans="1:2" x14ac:dyDescent="0.2">
      <c r="A2145" s="16">
        <v>46472</v>
      </c>
      <c r="B2145" t="s">
        <v>361</v>
      </c>
    </row>
    <row r="2146" spans="1:2" x14ac:dyDescent="0.2">
      <c r="A2146" s="16">
        <v>46473</v>
      </c>
      <c r="B2146" t="s">
        <v>377</v>
      </c>
    </row>
    <row r="2147" spans="1:2" x14ac:dyDescent="0.2">
      <c r="A2147" s="16">
        <v>46473</v>
      </c>
      <c r="B2147" t="s">
        <v>337</v>
      </c>
    </row>
    <row r="2148" spans="1:2" x14ac:dyDescent="0.2">
      <c r="A2148" s="16">
        <v>46473</v>
      </c>
      <c r="B2148" t="s">
        <v>370</v>
      </c>
    </row>
    <row r="2149" spans="1:2" x14ac:dyDescent="0.2">
      <c r="A2149" s="16">
        <v>46473</v>
      </c>
      <c r="B2149" t="s">
        <v>355</v>
      </c>
    </row>
    <row r="2150" spans="1:2" x14ac:dyDescent="0.2">
      <c r="A2150" s="16">
        <v>46473</v>
      </c>
      <c r="B2150" t="s">
        <v>345</v>
      </c>
    </row>
    <row r="2151" spans="1:2" x14ac:dyDescent="0.2">
      <c r="A2151" s="16">
        <v>46473</v>
      </c>
      <c r="B2151" t="s">
        <v>373</v>
      </c>
    </row>
    <row r="2152" spans="1:2" x14ac:dyDescent="0.2">
      <c r="A2152" s="16">
        <v>46473</v>
      </c>
      <c r="B2152" t="s">
        <v>329</v>
      </c>
    </row>
    <row r="2153" spans="1:2" x14ac:dyDescent="0.2">
      <c r="A2153" s="16">
        <v>46473</v>
      </c>
      <c r="B2153" t="s">
        <v>369</v>
      </c>
    </row>
    <row r="2154" spans="1:2" x14ac:dyDescent="0.2">
      <c r="A2154" s="16">
        <v>46473</v>
      </c>
      <c r="B2154" t="s">
        <v>361</v>
      </c>
    </row>
    <row r="2155" spans="1:2" x14ac:dyDescent="0.2">
      <c r="A2155" s="16">
        <v>46473</v>
      </c>
      <c r="B2155" t="s">
        <v>385</v>
      </c>
    </row>
    <row r="2156" spans="1:2" x14ac:dyDescent="0.2">
      <c r="A2156" s="16">
        <v>46473</v>
      </c>
      <c r="B2156" t="s">
        <v>351</v>
      </c>
    </row>
    <row r="2157" spans="1:2" x14ac:dyDescent="0.2">
      <c r="A2157" s="16">
        <v>46473</v>
      </c>
      <c r="B2157" t="s">
        <v>353</v>
      </c>
    </row>
    <row r="2158" spans="1:2" x14ac:dyDescent="0.2">
      <c r="A2158" s="16">
        <v>46473</v>
      </c>
      <c r="B2158" t="s">
        <v>362</v>
      </c>
    </row>
    <row r="2159" spans="1:2" x14ac:dyDescent="0.2">
      <c r="A2159" s="16">
        <v>46473</v>
      </c>
      <c r="B2159" t="s">
        <v>368</v>
      </c>
    </row>
    <row r="2160" spans="1:2" x14ac:dyDescent="0.2">
      <c r="A2160" s="16">
        <v>46474</v>
      </c>
      <c r="B2160" t="s">
        <v>379</v>
      </c>
    </row>
    <row r="2161" spans="1:2" x14ac:dyDescent="0.2">
      <c r="A2161" s="16">
        <v>46474</v>
      </c>
      <c r="B2161" t="s">
        <v>337</v>
      </c>
    </row>
    <row r="2162" spans="1:2" x14ac:dyDescent="0.2">
      <c r="A2162" s="16">
        <v>46474</v>
      </c>
      <c r="B2162" t="s">
        <v>378</v>
      </c>
    </row>
    <row r="2163" spans="1:2" x14ac:dyDescent="0.2">
      <c r="A2163" s="16">
        <v>46474</v>
      </c>
      <c r="B2163" t="s">
        <v>357</v>
      </c>
    </row>
    <row r="2164" spans="1:2" x14ac:dyDescent="0.2">
      <c r="A2164" s="16">
        <v>46474</v>
      </c>
      <c r="B2164" t="s">
        <v>339</v>
      </c>
    </row>
    <row r="2165" spans="1:2" x14ac:dyDescent="0.2">
      <c r="A2165" s="16">
        <v>46474</v>
      </c>
      <c r="B2165" t="s">
        <v>348</v>
      </c>
    </row>
    <row r="2166" spans="1:2" x14ac:dyDescent="0.2">
      <c r="A2166" s="16">
        <v>46474</v>
      </c>
      <c r="B2166" t="s">
        <v>332</v>
      </c>
    </row>
    <row r="2167" spans="1:2" x14ac:dyDescent="0.2">
      <c r="A2167" s="16">
        <v>46474</v>
      </c>
      <c r="B2167" t="s">
        <v>396</v>
      </c>
    </row>
    <row r="2168" spans="1:2" x14ac:dyDescent="0.2">
      <c r="A2168" s="16">
        <v>46474</v>
      </c>
      <c r="B2168" t="s">
        <v>334</v>
      </c>
    </row>
    <row r="2169" spans="1:2" x14ac:dyDescent="0.2">
      <c r="A2169" s="16">
        <v>46474</v>
      </c>
      <c r="B2169" t="s">
        <v>364</v>
      </c>
    </row>
    <row r="2170" spans="1:2" x14ac:dyDescent="0.2">
      <c r="A2170" s="16">
        <v>46474</v>
      </c>
      <c r="B2170" t="s">
        <v>342</v>
      </c>
    </row>
    <row r="2171" spans="1:2" x14ac:dyDescent="0.2">
      <c r="A2171" s="16">
        <v>46474</v>
      </c>
      <c r="B2171" t="s">
        <v>325</v>
      </c>
    </row>
    <row r="2172" spans="1:2" x14ac:dyDescent="0.2">
      <c r="A2172" s="16">
        <v>46474</v>
      </c>
      <c r="B2172" t="s">
        <v>358</v>
      </c>
    </row>
    <row r="2173" spans="1:2" x14ac:dyDescent="0.2">
      <c r="A2173" s="16">
        <v>46474</v>
      </c>
      <c r="B2173" t="s">
        <v>343</v>
      </c>
    </row>
    <row r="2174" spans="1:2" x14ac:dyDescent="0.2">
      <c r="A2174" s="16">
        <v>46474</v>
      </c>
      <c r="B2174" t="s">
        <v>346</v>
      </c>
    </row>
    <row r="2175" spans="1:2" x14ac:dyDescent="0.2">
      <c r="A2175" s="16">
        <v>46474</v>
      </c>
      <c r="B2175" t="s">
        <v>353</v>
      </c>
    </row>
    <row r="2176" spans="1:2" x14ac:dyDescent="0.2">
      <c r="A2176" s="16">
        <v>46474</v>
      </c>
      <c r="B2176" t="s">
        <v>362</v>
      </c>
    </row>
    <row r="2177" spans="1:2" x14ac:dyDescent="0.2">
      <c r="A2177" s="16">
        <v>46474</v>
      </c>
      <c r="B2177" t="s">
        <v>368</v>
      </c>
    </row>
    <row r="2178" spans="1:2" x14ac:dyDescent="0.2">
      <c r="A2178" s="16">
        <v>46475</v>
      </c>
      <c r="B2178" t="s">
        <v>377</v>
      </c>
    </row>
    <row r="2179" spans="1:2" x14ac:dyDescent="0.2">
      <c r="A2179" s="16">
        <v>46475</v>
      </c>
      <c r="B2179" t="s">
        <v>379</v>
      </c>
    </row>
    <row r="2180" spans="1:2" x14ac:dyDescent="0.2">
      <c r="A2180" s="16">
        <v>46475</v>
      </c>
      <c r="B2180" t="s">
        <v>370</v>
      </c>
    </row>
    <row r="2181" spans="1:2" x14ac:dyDescent="0.2">
      <c r="A2181" s="16">
        <v>46475</v>
      </c>
      <c r="B2181" t="s">
        <v>341</v>
      </c>
    </row>
    <row r="2182" spans="1:2" x14ac:dyDescent="0.2">
      <c r="A2182" s="16">
        <v>46475</v>
      </c>
      <c r="B2182" t="s">
        <v>357</v>
      </c>
    </row>
    <row r="2183" spans="1:2" x14ac:dyDescent="0.2">
      <c r="A2183" s="16">
        <v>46475</v>
      </c>
      <c r="B2183" t="s">
        <v>339</v>
      </c>
    </row>
    <row r="2184" spans="1:2" x14ac:dyDescent="0.2">
      <c r="A2184" s="16">
        <v>46475</v>
      </c>
      <c r="B2184" t="s">
        <v>355</v>
      </c>
    </row>
    <row r="2185" spans="1:2" x14ac:dyDescent="0.2">
      <c r="A2185" s="16">
        <v>46475</v>
      </c>
      <c r="B2185" t="s">
        <v>345</v>
      </c>
    </row>
    <row r="2186" spans="1:2" x14ac:dyDescent="0.2">
      <c r="A2186" s="16">
        <v>46475</v>
      </c>
      <c r="B2186" t="s">
        <v>366</v>
      </c>
    </row>
    <row r="2187" spans="1:2" x14ac:dyDescent="0.2">
      <c r="A2187" s="16">
        <v>46475</v>
      </c>
      <c r="B2187" t="s">
        <v>373</v>
      </c>
    </row>
    <row r="2188" spans="1:2" x14ac:dyDescent="0.2">
      <c r="A2188" s="16">
        <v>46475</v>
      </c>
      <c r="B2188" t="s">
        <v>329</v>
      </c>
    </row>
    <row r="2189" spans="1:2" x14ac:dyDescent="0.2">
      <c r="A2189" s="16">
        <v>46475</v>
      </c>
      <c r="B2189" t="s">
        <v>369</v>
      </c>
    </row>
    <row r="2190" spans="1:2" x14ac:dyDescent="0.2">
      <c r="A2190" s="16">
        <v>46475</v>
      </c>
      <c r="B2190" t="s">
        <v>334</v>
      </c>
    </row>
    <row r="2191" spans="1:2" x14ac:dyDescent="0.2">
      <c r="A2191" s="16">
        <v>46475</v>
      </c>
      <c r="B2191" t="s">
        <v>346</v>
      </c>
    </row>
    <row r="2192" spans="1:2" x14ac:dyDescent="0.2">
      <c r="A2192" s="16">
        <v>46475</v>
      </c>
      <c r="B2192" t="s">
        <v>385</v>
      </c>
    </row>
    <row r="2193" spans="1:2" x14ac:dyDescent="0.2">
      <c r="A2193" s="16">
        <v>46475</v>
      </c>
      <c r="B2193" t="s">
        <v>351</v>
      </c>
    </row>
    <row r="2194" spans="1:2" x14ac:dyDescent="0.2">
      <c r="A2194" s="16">
        <v>46476</v>
      </c>
      <c r="B2194" t="s">
        <v>337</v>
      </c>
    </row>
    <row r="2195" spans="1:2" x14ac:dyDescent="0.2">
      <c r="A2195" s="16">
        <v>46476</v>
      </c>
      <c r="B2195" t="s">
        <v>378</v>
      </c>
    </row>
    <row r="2196" spans="1:2" x14ac:dyDescent="0.2">
      <c r="A2196" s="16">
        <v>46476</v>
      </c>
      <c r="B2196" t="s">
        <v>348</v>
      </c>
    </row>
    <row r="2197" spans="1:2" x14ac:dyDescent="0.2">
      <c r="A2197" s="16">
        <v>46476</v>
      </c>
      <c r="B2197" t="s">
        <v>366</v>
      </c>
    </row>
    <row r="2198" spans="1:2" x14ac:dyDescent="0.2">
      <c r="A2198" s="16">
        <v>46476</v>
      </c>
      <c r="B2198" t="s">
        <v>332</v>
      </c>
    </row>
    <row r="2199" spans="1:2" x14ac:dyDescent="0.2">
      <c r="A2199" s="16">
        <v>46476</v>
      </c>
      <c r="B2199" t="s">
        <v>396</v>
      </c>
    </row>
    <row r="2200" spans="1:2" x14ac:dyDescent="0.2">
      <c r="A2200" s="16">
        <v>46476</v>
      </c>
      <c r="B2200" t="s">
        <v>329</v>
      </c>
    </row>
    <row r="2201" spans="1:2" x14ac:dyDescent="0.2">
      <c r="A2201" s="16">
        <v>46476</v>
      </c>
      <c r="B2201" t="s">
        <v>342</v>
      </c>
    </row>
    <row r="2202" spans="1:2" x14ac:dyDescent="0.2">
      <c r="A2202" s="16">
        <v>46476</v>
      </c>
      <c r="B2202" t="s">
        <v>325</v>
      </c>
    </row>
    <row r="2203" spans="1:2" x14ac:dyDescent="0.2">
      <c r="A2203" s="16">
        <v>46476</v>
      </c>
      <c r="B2203" t="s">
        <v>358</v>
      </c>
    </row>
    <row r="2204" spans="1:2" x14ac:dyDescent="0.2">
      <c r="A2204" s="16">
        <v>46476</v>
      </c>
      <c r="B2204" t="s">
        <v>361</v>
      </c>
    </row>
    <row r="2205" spans="1:2" x14ac:dyDescent="0.2">
      <c r="A2205" s="16">
        <v>46476</v>
      </c>
      <c r="B2205" t="s">
        <v>362</v>
      </c>
    </row>
    <row r="2206" spans="1:2" x14ac:dyDescent="0.2">
      <c r="A2206" s="16">
        <v>46477</v>
      </c>
      <c r="B2206" t="s">
        <v>377</v>
      </c>
    </row>
    <row r="2207" spans="1:2" x14ac:dyDescent="0.2">
      <c r="A2207" s="16">
        <v>46477</v>
      </c>
      <c r="B2207" t="s">
        <v>379</v>
      </c>
    </row>
    <row r="2208" spans="1:2" x14ac:dyDescent="0.2">
      <c r="A2208" s="16">
        <v>46477</v>
      </c>
      <c r="B2208" t="s">
        <v>370</v>
      </c>
    </row>
    <row r="2209" spans="1:2" x14ac:dyDescent="0.2">
      <c r="A2209" s="16">
        <v>46477</v>
      </c>
      <c r="B2209" t="s">
        <v>341</v>
      </c>
    </row>
    <row r="2210" spans="1:2" x14ac:dyDescent="0.2">
      <c r="A2210" s="16">
        <v>46477</v>
      </c>
      <c r="B2210" t="s">
        <v>357</v>
      </c>
    </row>
    <row r="2211" spans="1:2" x14ac:dyDescent="0.2">
      <c r="A2211" s="16">
        <v>46477</v>
      </c>
      <c r="B2211" t="s">
        <v>339</v>
      </c>
    </row>
    <row r="2212" spans="1:2" x14ac:dyDescent="0.2">
      <c r="A2212" s="16">
        <v>46477</v>
      </c>
      <c r="B2212" t="s">
        <v>355</v>
      </c>
    </row>
    <row r="2213" spans="1:2" x14ac:dyDescent="0.2">
      <c r="A2213" s="16">
        <v>46477</v>
      </c>
      <c r="B2213" t="s">
        <v>345</v>
      </c>
    </row>
    <row r="2214" spans="1:2" x14ac:dyDescent="0.2">
      <c r="A2214" s="16">
        <v>46477</v>
      </c>
      <c r="B2214" t="s">
        <v>348</v>
      </c>
    </row>
    <row r="2215" spans="1:2" x14ac:dyDescent="0.2">
      <c r="A2215" s="16">
        <v>46477</v>
      </c>
      <c r="B2215" t="s">
        <v>373</v>
      </c>
    </row>
    <row r="2216" spans="1:2" x14ac:dyDescent="0.2">
      <c r="A2216" s="16">
        <v>46477</v>
      </c>
      <c r="B2216" t="s">
        <v>369</v>
      </c>
    </row>
    <row r="2217" spans="1:2" x14ac:dyDescent="0.2">
      <c r="A2217" s="16">
        <v>46477</v>
      </c>
      <c r="B2217" t="s">
        <v>334</v>
      </c>
    </row>
    <row r="2218" spans="1:2" x14ac:dyDescent="0.2">
      <c r="A2218" s="16">
        <v>46477</v>
      </c>
      <c r="B2218" t="s">
        <v>364</v>
      </c>
    </row>
    <row r="2219" spans="1:2" x14ac:dyDescent="0.2">
      <c r="A2219" s="16">
        <v>46477</v>
      </c>
      <c r="B2219" t="s">
        <v>343</v>
      </c>
    </row>
    <row r="2220" spans="1:2" x14ac:dyDescent="0.2">
      <c r="A2220" s="16">
        <v>46477</v>
      </c>
      <c r="B2220" t="s">
        <v>346</v>
      </c>
    </row>
    <row r="2221" spans="1:2" x14ac:dyDescent="0.2">
      <c r="A2221" s="16">
        <v>46477</v>
      </c>
      <c r="B2221" t="s">
        <v>361</v>
      </c>
    </row>
    <row r="2222" spans="1:2" x14ac:dyDescent="0.2">
      <c r="A2222" s="16">
        <v>46477</v>
      </c>
      <c r="B2222" t="s">
        <v>385</v>
      </c>
    </row>
    <row r="2223" spans="1:2" x14ac:dyDescent="0.2">
      <c r="A2223" s="16">
        <v>46477</v>
      </c>
      <c r="B2223" t="s">
        <v>351</v>
      </c>
    </row>
    <row r="2224" spans="1:2" x14ac:dyDescent="0.2">
      <c r="A2224" s="16">
        <v>46477</v>
      </c>
      <c r="B2224" t="s">
        <v>353</v>
      </c>
    </row>
    <row r="2225" spans="1:2" x14ac:dyDescent="0.2">
      <c r="A2225" s="16">
        <v>46477</v>
      </c>
      <c r="B2225" t="s">
        <v>368</v>
      </c>
    </row>
    <row r="2226" spans="1:2" x14ac:dyDescent="0.2">
      <c r="A2226" s="16">
        <v>46478</v>
      </c>
      <c r="B2226" t="s">
        <v>337</v>
      </c>
    </row>
    <row r="2227" spans="1:2" x14ac:dyDescent="0.2">
      <c r="A2227" s="16">
        <v>46478</v>
      </c>
      <c r="B2227" t="s">
        <v>378</v>
      </c>
    </row>
    <row r="2228" spans="1:2" x14ac:dyDescent="0.2">
      <c r="A2228" s="16">
        <v>46478</v>
      </c>
      <c r="B2228" t="s">
        <v>341</v>
      </c>
    </row>
    <row r="2229" spans="1:2" x14ac:dyDescent="0.2">
      <c r="A2229" s="16">
        <v>46478</v>
      </c>
      <c r="B2229" t="s">
        <v>366</v>
      </c>
    </row>
    <row r="2230" spans="1:2" x14ac:dyDescent="0.2">
      <c r="A2230" s="16">
        <v>46478</v>
      </c>
      <c r="B2230" t="s">
        <v>332</v>
      </c>
    </row>
    <row r="2231" spans="1:2" x14ac:dyDescent="0.2">
      <c r="A2231" s="16">
        <v>46478</v>
      </c>
      <c r="B2231" t="s">
        <v>342</v>
      </c>
    </row>
    <row r="2232" spans="1:2" x14ac:dyDescent="0.2">
      <c r="A2232" s="16">
        <v>46478</v>
      </c>
      <c r="B2232" t="s">
        <v>325</v>
      </c>
    </row>
    <row r="2233" spans="1:2" x14ac:dyDescent="0.2">
      <c r="A2233" s="16">
        <v>46478</v>
      </c>
      <c r="B2233" t="s">
        <v>358</v>
      </c>
    </row>
    <row r="2234" spans="1:2" x14ac:dyDescent="0.2">
      <c r="A2234" s="16">
        <v>46479</v>
      </c>
      <c r="B2234" t="s">
        <v>377</v>
      </c>
    </row>
    <row r="2235" spans="1:2" x14ac:dyDescent="0.2">
      <c r="A2235" s="16">
        <v>46479</v>
      </c>
      <c r="B2235" t="s">
        <v>379</v>
      </c>
    </row>
    <row r="2236" spans="1:2" x14ac:dyDescent="0.2">
      <c r="A2236" s="16">
        <v>46479</v>
      </c>
      <c r="B2236" t="s">
        <v>337</v>
      </c>
    </row>
    <row r="2237" spans="1:2" x14ac:dyDescent="0.2">
      <c r="A2237" s="16">
        <v>46479</v>
      </c>
      <c r="B2237" t="s">
        <v>378</v>
      </c>
    </row>
    <row r="2238" spans="1:2" x14ac:dyDescent="0.2">
      <c r="A2238" s="16">
        <v>46479</v>
      </c>
      <c r="B2238" t="s">
        <v>370</v>
      </c>
    </row>
    <row r="2239" spans="1:2" x14ac:dyDescent="0.2">
      <c r="A2239" s="16">
        <v>46479</v>
      </c>
      <c r="B2239" t="s">
        <v>357</v>
      </c>
    </row>
    <row r="2240" spans="1:2" x14ac:dyDescent="0.2">
      <c r="A2240" s="16">
        <v>46479</v>
      </c>
      <c r="B2240" t="s">
        <v>339</v>
      </c>
    </row>
    <row r="2241" spans="1:2" x14ac:dyDescent="0.2">
      <c r="A2241" s="16">
        <v>46479</v>
      </c>
      <c r="B2241" t="s">
        <v>355</v>
      </c>
    </row>
    <row r="2242" spans="1:2" x14ac:dyDescent="0.2">
      <c r="A2242" s="16">
        <v>46479</v>
      </c>
      <c r="B2242" t="s">
        <v>345</v>
      </c>
    </row>
    <row r="2243" spans="1:2" x14ac:dyDescent="0.2">
      <c r="A2243" s="16">
        <v>46479</v>
      </c>
      <c r="B2243" t="s">
        <v>348</v>
      </c>
    </row>
    <row r="2244" spans="1:2" x14ac:dyDescent="0.2">
      <c r="A2244" s="16">
        <v>46479</v>
      </c>
      <c r="B2244" t="s">
        <v>373</v>
      </c>
    </row>
    <row r="2245" spans="1:2" x14ac:dyDescent="0.2">
      <c r="A2245" s="16">
        <v>46479</v>
      </c>
      <c r="B2245" t="s">
        <v>396</v>
      </c>
    </row>
    <row r="2246" spans="1:2" x14ac:dyDescent="0.2">
      <c r="A2246" s="16">
        <v>46479</v>
      </c>
      <c r="B2246" t="s">
        <v>329</v>
      </c>
    </row>
    <row r="2247" spans="1:2" x14ac:dyDescent="0.2">
      <c r="A2247" s="16">
        <v>46479</v>
      </c>
      <c r="B2247" t="s">
        <v>369</v>
      </c>
    </row>
    <row r="2248" spans="1:2" x14ac:dyDescent="0.2">
      <c r="A2248" s="16">
        <v>46479</v>
      </c>
      <c r="B2248" t="s">
        <v>334</v>
      </c>
    </row>
    <row r="2249" spans="1:2" x14ac:dyDescent="0.2">
      <c r="A2249" s="16">
        <v>46479</v>
      </c>
      <c r="B2249" t="s">
        <v>342</v>
      </c>
    </row>
    <row r="2250" spans="1:2" x14ac:dyDescent="0.2">
      <c r="A2250" s="16">
        <v>46479</v>
      </c>
      <c r="B2250" t="s">
        <v>343</v>
      </c>
    </row>
    <row r="2251" spans="1:2" x14ac:dyDescent="0.2">
      <c r="A2251" s="16">
        <v>46479</v>
      </c>
      <c r="B2251" t="s">
        <v>346</v>
      </c>
    </row>
    <row r="2252" spans="1:2" x14ac:dyDescent="0.2">
      <c r="A2252" s="16">
        <v>46479</v>
      </c>
      <c r="B2252" t="s">
        <v>361</v>
      </c>
    </row>
    <row r="2253" spans="1:2" x14ac:dyDescent="0.2">
      <c r="A2253" s="16">
        <v>46479</v>
      </c>
      <c r="B2253" t="s">
        <v>385</v>
      </c>
    </row>
    <row r="2254" spans="1:2" x14ac:dyDescent="0.2">
      <c r="A2254" s="16">
        <v>46479</v>
      </c>
      <c r="B2254" t="s">
        <v>351</v>
      </c>
    </row>
    <row r="2255" spans="1:2" x14ac:dyDescent="0.2">
      <c r="A2255" s="16">
        <v>46479</v>
      </c>
      <c r="B2255" t="s">
        <v>353</v>
      </c>
    </row>
    <row r="2256" spans="1:2" x14ac:dyDescent="0.2">
      <c r="A2256" s="16">
        <v>46479</v>
      </c>
      <c r="B2256" t="s">
        <v>362</v>
      </c>
    </row>
    <row r="2257" spans="1:2" x14ac:dyDescent="0.2">
      <c r="A2257" s="16">
        <v>46479</v>
      </c>
      <c r="B2257" t="s">
        <v>368</v>
      </c>
    </row>
    <row r="2258" spans="1:2" x14ac:dyDescent="0.2">
      <c r="A2258" s="16">
        <v>46480</v>
      </c>
      <c r="B2258" t="s">
        <v>364</v>
      </c>
    </row>
    <row r="2259" spans="1:2" x14ac:dyDescent="0.2">
      <c r="A2259" s="16">
        <v>46480</v>
      </c>
      <c r="B2259" t="s">
        <v>325</v>
      </c>
    </row>
    <row r="2260" spans="1:2" x14ac:dyDescent="0.2">
      <c r="A2260" s="16">
        <v>46480</v>
      </c>
      <c r="B2260" t="s">
        <v>358</v>
      </c>
    </row>
    <row r="2261" spans="1:2" x14ac:dyDescent="0.2">
      <c r="A2261" s="16">
        <v>46480</v>
      </c>
      <c r="B2261" t="s">
        <v>368</v>
      </c>
    </row>
    <row r="2262" spans="1:2" x14ac:dyDescent="0.2">
      <c r="A2262" s="16">
        <v>46481</v>
      </c>
      <c r="B2262" t="s">
        <v>377</v>
      </c>
    </row>
    <row r="2263" spans="1:2" x14ac:dyDescent="0.2">
      <c r="A2263" s="16">
        <v>46481</v>
      </c>
      <c r="B2263" t="s">
        <v>379</v>
      </c>
    </row>
    <row r="2264" spans="1:2" x14ac:dyDescent="0.2">
      <c r="A2264" s="16">
        <v>46481</v>
      </c>
      <c r="B2264" t="s">
        <v>337</v>
      </c>
    </row>
    <row r="2265" spans="1:2" x14ac:dyDescent="0.2">
      <c r="A2265" s="16">
        <v>46481</v>
      </c>
      <c r="B2265" t="s">
        <v>378</v>
      </c>
    </row>
    <row r="2266" spans="1:2" x14ac:dyDescent="0.2">
      <c r="A2266" s="16">
        <v>46481</v>
      </c>
      <c r="B2266" t="s">
        <v>370</v>
      </c>
    </row>
    <row r="2267" spans="1:2" x14ac:dyDescent="0.2">
      <c r="A2267" s="16">
        <v>46481</v>
      </c>
      <c r="B2267" t="s">
        <v>341</v>
      </c>
    </row>
    <row r="2268" spans="1:2" x14ac:dyDescent="0.2">
      <c r="A2268" s="16">
        <v>46481</v>
      </c>
      <c r="B2268" t="s">
        <v>357</v>
      </c>
    </row>
    <row r="2269" spans="1:2" x14ac:dyDescent="0.2">
      <c r="A2269" s="16">
        <v>46481</v>
      </c>
      <c r="B2269" t="s">
        <v>339</v>
      </c>
    </row>
    <row r="2270" spans="1:2" x14ac:dyDescent="0.2">
      <c r="A2270" s="16">
        <v>46481</v>
      </c>
      <c r="B2270" t="s">
        <v>355</v>
      </c>
    </row>
    <row r="2271" spans="1:2" x14ac:dyDescent="0.2">
      <c r="A2271" s="16">
        <v>46481</v>
      </c>
      <c r="B2271" t="s">
        <v>345</v>
      </c>
    </row>
    <row r="2272" spans="1:2" x14ac:dyDescent="0.2">
      <c r="A2272" s="16">
        <v>46481</v>
      </c>
      <c r="B2272" t="s">
        <v>348</v>
      </c>
    </row>
    <row r="2273" spans="1:2" x14ac:dyDescent="0.2">
      <c r="A2273" s="16">
        <v>46481</v>
      </c>
      <c r="B2273" t="s">
        <v>366</v>
      </c>
    </row>
    <row r="2274" spans="1:2" x14ac:dyDescent="0.2">
      <c r="A2274" s="16">
        <v>46481</v>
      </c>
      <c r="B2274" t="s">
        <v>373</v>
      </c>
    </row>
    <row r="2275" spans="1:2" x14ac:dyDescent="0.2">
      <c r="A2275" s="16">
        <v>46481</v>
      </c>
      <c r="B2275" t="s">
        <v>332</v>
      </c>
    </row>
    <row r="2276" spans="1:2" x14ac:dyDescent="0.2">
      <c r="A2276" s="16">
        <v>46481</v>
      </c>
      <c r="B2276" t="s">
        <v>396</v>
      </c>
    </row>
    <row r="2277" spans="1:2" x14ac:dyDescent="0.2">
      <c r="A2277" s="16">
        <v>46481</v>
      </c>
      <c r="B2277" t="s">
        <v>329</v>
      </c>
    </row>
    <row r="2278" spans="1:2" x14ac:dyDescent="0.2">
      <c r="A2278" s="16">
        <v>46481</v>
      </c>
      <c r="B2278" t="s">
        <v>369</v>
      </c>
    </row>
    <row r="2279" spans="1:2" x14ac:dyDescent="0.2">
      <c r="A2279" s="16">
        <v>46481</v>
      </c>
      <c r="B2279" t="s">
        <v>334</v>
      </c>
    </row>
    <row r="2280" spans="1:2" x14ac:dyDescent="0.2">
      <c r="A2280" s="16">
        <v>46481</v>
      </c>
      <c r="B2280" t="s">
        <v>342</v>
      </c>
    </row>
    <row r="2281" spans="1:2" x14ac:dyDescent="0.2">
      <c r="A2281" s="16">
        <v>46481</v>
      </c>
      <c r="B2281" t="s">
        <v>343</v>
      </c>
    </row>
    <row r="2282" spans="1:2" x14ac:dyDescent="0.2">
      <c r="A2282" s="16">
        <v>46481</v>
      </c>
      <c r="B2282" t="s">
        <v>346</v>
      </c>
    </row>
    <row r="2283" spans="1:2" x14ac:dyDescent="0.2">
      <c r="A2283" s="16">
        <v>46481</v>
      </c>
      <c r="B2283" t="s">
        <v>361</v>
      </c>
    </row>
    <row r="2284" spans="1:2" x14ac:dyDescent="0.2">
      <c r="A2284" s="16">
        <v>46481</v>
      </c>
      <c r="B2284" t="s">
        <v>385</v>
      </c>
    </row>
    <row r="2285" spans="1:2" x14ac:dyDescent="0.2">
      <c r="A2285" s="16">
        <v>46481</v>
      </c>
      <c r="B2285" t="s">
        <v>351</v>
      </c>
    </row>
    <row r="2286" spans="1:2" x14ac:dyDescent="0.2">
      <c r="A2286" s="16">
        <v>46481</v>
      </c>
      <c r="B2286" t="s">
        <v>353</v>
      </c>
    </row>
    <row r="2287" spans="1:2" x14ac:dyDescent="0.2">
      <c r="A2287" s="16">
        <v>46481</v>
      </c>
      <c r="B2287" t="s">
        <v>362</v>
      </c>
    </row>
    <row r="2288" spans="1:2" x14ac:dyDescent="0.2">
      <c r="A2288" s="16">
        <v>46482</v>
      </c>
      <c r="B2288" t="s">
        <v>379</v>
      </c>
    </row>
    <row r="2289" spans="1:2" x14ac:dyDescent="0.2">
      <c r="A2289" s="16">
        <v>46482</v>
      </c>
      <c r="B2289" t="s">
        <v>341</v>
      </c>
    </row>
    <row r="2290" spans="1:2" x14ac:dyDescent="0.2">
      <c r="A2290" s="16">
        <v>46482</v>
      </c>
      <c r="B2290" t="s">
        <v>329</v>
      </c>
    </row>
    <row r="2291" spans="1:2" x14ac:dyDescent="0.2">
      <c r="A2291" s="16">
        <v>46482</v>
      </c>
      <c r="B2291" t="s">
        <v>364</v>
      </c>
    </row>
    <row r="2292" spans="1:2" x14ac:dyDescent="0.2">
      <c r="A2292" s="16">
        <v>46482</v>
      </c>
      <c r="B2292" t="s">
        <v>358</v>
      </c>
    </row>
    <row r="2293" spans="1:2" x14ac:dyDescent="0.2">
      <c r="A2293" s="16">
        <v>46482</v>
      </c>
      <c r="B2293" t="s">
        <v>368</v>
      </c>
    </row>
    <row r="2294" spans="1:2" x14ac:dyDescent="0.2">
      <c r="A2294" s="16">
        <v>46483</v>
      </c>
      <c r="B2294" t="s">
        <v>377</v>
      </c>
    </row>
    <row r="2295" spans="1:2" x14ac:dyDescent="0.2">
      <c r="A2295" s="16">
        <v>46483</v>
      </c>
      <c r="B2295" t="s">
        <v>378</v>
      </c>
    </row>
    <row r="2296" spans="1:2" x14ac:dyDescent="0.2">
      <c r="A2296" s="16">
        <v>46483</v>
      </c>
      <c r="B2296" t="s">
        <v>370</v>
      </c>
    </row>
    <row r="2297" spans="1:2" x14ac:dyDescent="0.2">
      <c r="A2297" s="16">
        <v>46483</v>
      </c>
      <c r="B2297" t="s">
        <v>357</v>
      </c>
    </row>
    <row r="2298" spans="1:2" x14ac:dyDescent="0.2">
      <c r="A2298" s="16">
        <v>46483</v>
      </c>
      <c r="B2298" t="s">
        <v>339</v>
      </c>
    </row>
    <row r="2299" spans="1:2" x14ac:dyDescent="0.2">
      <c r="A2299" s="16">
        <v>46483</v>
      </c>
      <c r="B2299" t="s">
        <v>355</v>
      </c>
    </row>
    <row r="2300" spans="1:2" x14ac:dyDescent="0.2">
      <c r="A2300" s="16">
        <v>46483</v>
      </c>
      <c r="B2300" t="s">
        <v>345</v>
      </c>
    </row>
    <row r="2301" spans="1:2" x14ac:dyDescent="0.2">
      <c r="A2301" s="16">
        <v>46483</v>
      </c>
      <c r="B2301" t="s">
        <v>366</v>
      </c>
    </row>
    <row r="2302" spans="1:2" x14ac:dyDescent="0.2">
      <c r="A2302" s="16">
        <v>46483</v>
      </c>
      <c r="B2302" t="s">
        <v>373</v>
      </c>
    </row>
    <row r="2303" spans="1:2" x14ac:dyDescent="0.2">
      <c r="A2303" s="16">
        <v>46483</v>
      </c>
      <c r="B2303" t="s">
        <v>332</v>
      </c>
    </row>
    <row r="2304" spans="1:2" x14ac:dyDescent="0.2">
      <c r="A2304" s="16">
        <v>46483</v>
      </c>
      <c r="B2304" t="s">
        <v>396</v>
      </c>
    </row>
    <row r="2305" spans="1:2" x14ac:dyDescent="0.2">
      <c r="A2305" s="16">
        <v>46483</v>
      </c>
      <c r="B2305" t="s">
        <v>369</v>
      </c>
    </row>
    <row r="2306" spans="1:2" x14ac:dyDescent="0.2">
      <c r="A2306" s="16">
        <v>46483</v>
      </c>
      <c r="B2306" t="s">
        <v>334</v>
      </c>
    </row>
    <row r="2307" spans="1:2" x14ac:dyDescent="0.2">
      <c r="A2307" s="16">
        <v>46483</v>
      </c>
      <c r="B2307" t="s">
        <v>364</v>
      </c>
    </row>
    <row r="2308" spans="1:2" x14ac:dyDescent="0.2">
      <c r="A2308" s="16">
        <v>46483</v>
      </c>
      <c r="B2308" t="s">
        <v>342</v>
      </c>
    </row>
    <row r="2309" spans="1:2" x14ac:dyDescent="0.2">
      <c r="A2309" s="16">
        <v>46483</v>
      </c>
      <c r="B2309" t="s">
        <v>325</v>
      </c>
    </row>
    <row r="2310" spans="1:2" x14ac:dyDescent="0.2">
      <c r="A2310" s="16">
        <v>46483</v>
      </c>
      <c r="B2310" t="s">
        <v>343</v>
      </c>
    </row>
    <row r="2311" spans="1:2" x14ac:dyDescent="0.2">
      <c r="A2311" s="16">
        <v>46483</v>
      </c>
      <c r="B2311" t="s">
        <v>346</v>
      </c>
    </row>
    <row r="2312" spans="1:2" x14ac:dyDescent="0.2">
      <c r="A2312" s="16">
        <v>46483</v>
      </c>
      <c r="B2312" t="s">
        <v>385</v>
      </c>
    </row>
    <row r="2313" spans="1:2" x14ac:dyDescent="0.2">
      <c r="A2313" s="16">
        <v>46483</v>
      </c>
      <c r="B2313" t="s">
        <v>351</v>
      </c>
    </row>
    <row r="2314" spans="1:2" x14ac:dyDescent="0.2">
      <c r="A2314" s="16">
        <v>46483</v>
      </c>
      <c r="B2314" t="s">
        <v>353</v>
      </c>
    </row>
    <row r="2315" spans="1:2" x14ac:dyDescent="0.2">
      <c r="A2315" s="16">
        <v>46483</v>
      </c>
      <c r="B2315" t="s">
        <v>362</v>
      </c>
    </row>
    <row r="2316" spans="1:2" x14ac:dyDescent="0.2">
      <c r="A2316" s="16">
        <v>46484</v>
      </c>
      <c r="B2316" t="s">
        <v>379</v>
      </c>
    </row>
    <row r="2317" spans="1:2" x14ac:dyDescent="0.2">
      <c r="A2317" s="16">
        <v>46484</v>
      </c>
      <c r="B2317" t="s">
        <v>337</v>
      </c>
    </row>
    <row r="2318" spans="1:2" x14ac:dyDescent="0.2">
      <c r="A2318" s="16">
        <v>46484</v>
      </c>
      <c r="B2318" t="s">
        <v>378</v>
      </c>
    </row>
    <row r="2319" spans="1:2" x14ac:dyDescent="0.2">
      <c r="A2319" s="16">
        <v>46484</v>
      </c>
      <c r="B2319" t="s">
        <v>370</v>
      </c>
    </row>
    <row r="2320" spans="1:2" x14ac:dyDescent="0.2">
      <c r="A2320" s="16">
        <v>46484</v>
      </c>
      <c r="B2320" t="s">
        <v>341</v>
      </c>
    </row>
    <row r="2321" spans="1:2" x14ac:dyDescent="0.2">
      <c r="A2321" s="16">
        <v>46484</v>
      </c>
      <c r="B2321" t="s">
        <v>357</v>
      </c>
    </row>
    <row r="2322" spans="1:2" x14ac:dyDescent="0.2">
      <c r="A2322" s="16">
        <v>46484</v>
      </c>
      <c r="B2322" t="s">
        <v>355</v>
      </c>
    </row>
    <row r="2323" spans="1:2" x14ac:dyDescent="0.2">
      <c r="A2323" s="16">
        <v>46484</v>
      </c>
      <c r="B2323" t="s">
        <v>348</v>
      </c>
    </row>
    <row r="2324" spans="1:2" x14ac:dyDescent="0.2">
      <c r="A2324" s="16">
        <v>46484</v>
      </c>
      <c r="B2324" t="s">
        <v>366</v>
      </c>
    </row>
    <row r="2325" spans="1:2" x14ac:dyDescent="0.2">
      <c r="A2325" s="16">
        <v>46484</v>
      </c>
      <c r="B2325" t="s">
        <v>332</v>
      </c>
    </row>
    <row r="2326" spans="1:2" x14ac:dyDescent="0.2">
      <c r="A2326" s="16">
        <v>46484</v>
      </c>
      <c r="B2326" t="s">
        <v>396</v>
      </c>
    </row>
    <row r="2327" spans="1:2" x14ac:dyDescent="0.2">
      <c r="A2327" s="16">
        <v>46484</v>
      </c>
      <c r="B2327" t="s">
        <v>334</v>
      </c>
    </row>
    <row r="2328" spans="1:2" x14ac:dyDescent="0.2">
      <c r="A2328" s="16">
        <v>46484</v>
      </c>
      <c r="B2328" t="s">
        <v>358</v>
      </c>
    </row>
    <row r="2329" spans="1:2" x14ac:dyDescent="0.2">
      <c r="A2329" s="16">
        <v>46484</v>
      </c>
      <c r="B2329" t="s">
        <v>361</v>
      </c>
    </row>
    <row r="2330" spans="1:2" x14ac:dyDescent="0.2">
      <c r="A2330" s="16">
        <v>46484</v>
      </c>
      <c r="B2330" t="s">
        <v>385</v>
      </c>
    </row>
    <row r="2331" spans="1:2" x14ac:dyDescent="0.2">
      <c r="A2331" s="16">
        <v>46484</v>
      </c>
      <c r="B2331" t="s">
        <v>351</v>
      </c>
    </row>
    <row r="2332" spans="1:2" x14ac:dyDescent="0.2">
      <c r="A2332" s="16">
        <v>46484</v>
      </c>
      <c r="B2332" t="s">
        <v>353</v>
      </c>
    </row>
    <row r="2333" spans="1:2" x14ac:dyDescent="0.2">
      <c r="A2333" s="16">
        <v>46484</v>
      </c>
      <c r="B2333" t="s">
        <v>368</v>
      </c>
    </row>
    <row r="2334" spans="1:2" x14ac:dyDescent="0.2">
      <c r="A2334" s="16">
        <v>46485</v>
      </c>
      <c r="B2334" t="s">
        <v>339</v>
      </c>
    </row>
    <row r="2335" spans="1:2" x14ac:dyDescent="0.2">
      <c r="A2335" s="16">
        <v>46485</v>
      </c>
      <c r="B2335" t="s">
        <v>345</v>
      </c>
    </row>
    <row r="2336" spans="1:2" x14ac:dyDescent="0.2">
      <c r="A2336" s="16">
        <v>46485</v>
      </c>
      <c r="B2336" t="s">
        <v>373</v>
      </c>
    </row>
    <row r="2337" spans="1:2" x14ac:dyDescent="0.2">
      <c r="A2337" s="16">
        <v>46485</v>
      </c>
      <c r="B2337" t="s">
        <v>329</v>
      </c>
    </row>
    <row r="2338" spans="1:2" x14ac:dyDescent="0.2">
      <c r="A2338" s="16">
        <v>46485</v>
      </c>
      <c r="B2338" t="s">
        <v>369</v>
      </c>
    </row>
    <row r="2339" spans="1:2" x14ac:dyDescent="0.2">
      <c r="A2339" s="16">
        <v>46485</v>
      </c>
      <c r="B2339" t="s">
        <v>364</v>
      </c>
    </row>
    <row r="2340" spans="1:2" x14ac:dyDescent="0.2">
      <c r="A2340" s="16">
        <v>46485</v>
      </c>
      <c r="B2340" t="s">
        <v>342</v>
      </c>
    </row>
    <row r="2341" spans="1:2" x14ac:dyDescent="0.2">
      <c r="A2341" s="16">
        <v>46485</v>
      </c>
      <c r="B2341" t="s">
        <v>325</v>
      </c>
    </row>
    <row r="2342" spans="1:2" x14ac:dyDescent="0.2">
      <c r="A2342" s="16">
        <v>46485</v>
      </c>
      <c r="B2342" t="s">
        <v>343</v>
      </c>
    </row>
    <row r="2343" spans="1:2" x14ac:dyDescent="0.2">
      <c r="A2343" s="16">
        <v>46485</v>
      </c>
      <c r="B2343" t="s">
        <v>362</v>
      </c>
    </row>
    <row r="2344" spans="1:2" x14ac:dyDescent="0.2">
      <c r="A2344" s="16">
        <v>46486</v>
      </c>
      <c r="B2344" t="s">
        <v>377</v>
      </c>
    </row>
    <row r="2345" spans="1:2" x14ac:dyDescent="0.2">
      <c r="A2345" s="16">
        <v>46486</v>
      </c>
      <c r="B2345" t="s">
        <v>379</v>
      </c>
    </row>
    <row r="2346" spans="1:2" x14ac:dyDescent="0.2">
      <c r="A2346" s="16">
        <v>46486</v>
      </c>
      <c r="B2346" t="s">
        <v>337</v>
      </c>
    </row>
    <row r="2347" spans="1:2" x14ac:dyDescent="0.2">
      <c r="A2347" s="16">
        <v>46486</v>
      </c>
      <c r="B2347" t="s">
        <v>378</v>
      </c>
    </row>
    <row r="2348" spans="1:2" x14ac:dyDescent="0.2">
      <c r="A2348" s="16">
        <v>46486</v>
      </c>
      <c r="B2348" t="s">
        <v>370</v>
      </c>
    </row>
    <row r="2349" spans="1:2" x14ac:dyDescent="0.2">
      <c r="A2349" s="16">
        <v>46486</v>
      </c>
      <c r="B2349" t="s">
        <v>341</v>
      </c>
    </row>
    <row r="2350" spans="1:2" x14ac:dyDescent="0.2">
      <c r="A2350" s="16">
        <v>46486</v>
      </c>
      <c r="B2350" t="s">
        <v>357</v>
      </c>
    </row>
    <row r="2351" spans="1:2" x14ac:dyDescent="0.2">
      <c r="A2351" s="16">
        <v>46486</v>
      </c>
      <c r="B2351" t="s">
        <v>339</v>
      </c>
    </row>
    <row r="2352" spans="1:2" x14ac:dyDescent="0.2">
      <c r="A2352" s="16">
        <v>46486</v>
      </c>
      <c r="B2352" t="s">
        <v>355</v>
      </c>
    </row>
    <row r="2353" spans="1:2" x14ac:dyDescent="0.2">
      <c r="A2353" s="16">
        <v>46486</v>
      </c>
      <c r="B2353" t="s">
        <v>345</v>
      </c>
    </row>
    <row r="2354" spans="1:2" x14ac:dyDescent="0.2">
      <c r="A2354" s="16">
        <v>46486</v>
      </c>
      <c r="B2354" t="s">
        <v>348</v>
      </c>
    </row>
    <row r="2355" spans="1:2" x14ac:dyDescent="0.2">
      <c r="A2355" s="16">
        <v>46486</v>
      </c>
      <c r="B2355" t="s">
        <v>366</v>
      </c>
    </row>
    <row r="2356" spans="1:2" x14ac:dyDescent="0.2">
      <c r="A2356" s="16">
        <v>46486</v>
      </c>
      <c r="B2356" t="s">
        <v>373</v>
      </c>
    </row>
    <row r="2357" spans="1:2" x14ac:dyDescent="0.2">
      <c r="A2357" s="16">
        <v>46486</v>
      </c>
      <c r="B2357" t="s">
        <v>332</v>
      </c>
    </row>
    <row r="2358" spans="1:2" x14ac:dyDescent="0.2">
      <c r="A2358" s="16">
        <v>46486</v>
      </c>
      <c r="B2358" t="s">
        <v>396</v>
      </c>
    </row>
    <row r="2359" spans="1:2" x14ac:dyDescent="0.2">
      <c r="A2359" s="16">
        <v>46486</v>
      </c>
      <c r="B2359" t="s">
        <v>329</v>
      </c>
    </row>
    <row r="2360" spans="1:2" x14ac:dyDescent="0.2">
      <c r="A2360" s="16">
        <v>46486</v>
      </c>
      <c r="B2360" t="s">
        <v>369</v>
      </c>
    </row>
    <row r="2361" spans="1:2" x14ac:dyDescent="0.2">
      <c r="A2361" s="16">
        <v>46486</v>
      </c>
      <c r="B2361" t="s">
        <v>334</v>
      </c>
    </row>
    <row r="2362" spans="1:2" x14ac:dyDescent="0.2">
      <c r="A2362" s="16">
        <v>46486</v>
      </c>
      <c r="B2362" t="s">
        <v>342</v>
      </c>
    </row>
    <row r="2363" spans="1:2" x14ac:dyDescent="0.2">
      <c r="A2363" s="16">
        <v>46486</v>
      </c>
      <c r="B2363" t="s">
        <v>325</v>
      </c>
    </row>
    <row r="2364" spans="1:2" x14ac:dyDescent="0.2">
      <c r="A2364" s="16">
        <v>46486</v>
      </c>
      <c r="B2364" t="s">
        <v>358</v>
      </c>
    </row>
    <row r="2365" spans="1:2" x14ac:dyDescent="0.2">
      <c r="A2365" s="16">
        <v>46486</v>
      </c>
      <c r="B2365" t="s">
        <v>346</v>
      </c>
    </row>
    <row r="2366" spans="1:2" x14ac:dyDescent="0.2">
      <c r="A2366" s="16">
        <v>46486</v>
      </c>
      <c r="B2366" t="s">
        <v>361</v>
      </c>
    </row>
    <row r="2367" spans="1:2" x14ac:dyDescent="0.2">
      <c r="A2367" s="16">
        <v>46486</v>
      </c>
      <c r="B2367" t="s">
        <v>385</v>
      </c>
    </row>
    <row r="2368" spans="1:2" x14ac:dyDescent="0.2">
      <c r="A2368" s="16">
        <v>46486</v>
      </c>
      <c r="B2368" t="s">
        <v>351</v>
      </c>
    </row>
    <row r="2369" spans="1:2" x14ac:dyDescent="0.2">
      <c r="A2369" s="16">
        <v>46486</v>
      </c>
      <c r="B2369" t="s">
        <v>353</v>
      </c>
    </row>
    <row r="2370" spans="1:2" x14ac:dyDescent="0.2">
      <c r="A2370" s="16">
        <v>46486</v>
      </c>
      <c r="B2370" t="s">
        <v>362</v>
      </c>
    </row>
    <row r="2371" spans="1:2" x14ac:dyDescent="0.2">
      <c r="A2371" s="16">
        <v>46486</v>
      </c>
      <c r="B2371" t="s">
        <v>368</v>
      </c>
    </row>
    <row r="2372" spans="1:2" x14ac:dyDescent="0.2">
      <c r="A2372" s="16">
        <v>46488</v>
      </c>
      <c r="B2372" t="s">
        <v>377</v>
      </c>
    </row>
    <row r="2373" spans="1:2" x14ac:dyDescent="0.2">
      <c r="A2373" s="16">
        <v>46488</v>
      </c>
      <c r="B2373" t="s">
        <v>379</v>
      </c>
    </row>
    <row r="2374" spans="1:2" x14ac:dyDescent="0.2">
      <c r="A2374" s="16">
        <v>46488</v>
      </c>
      <c r="B2374" t="s">
        <v>337</v>
      </c>
    </row>
    <row r="2375" spans="1:2" x14ac:dyDescent="0.2">
      <c r="A2375" s="16">
        <v>46488</v>
      </c>
      <c r="B2375" t="s">
        <v>378</v>
      </c>
    </row>
    <row r="2376" spans="1:2" x14ac:dyDescent="0.2">
      <c r="A2376" s="16">
        <v>46488</v>
      </c>
      <c r="B2376" t="s">
        <v>370</v>
      </c>
    </row>
    <row r="2377" spans="1:2" x14ac:dyDescent="0.2">
      <c r="A2377" s="16">
        <v>46488</v>
      </c>
      <c r="B2377" t="s">
        <v>341</v>
      </c>
    </row>
    <row r="2378" spans="1:2" x14ac:dyDescent="0.2">
      <c r="A2378" s="16">
        <v>46488</v>
      </c>
      <c r="B2378" t="s">
        <v>357</v>
      </c>
    </row>
    <row r="2379" spans="1:2" x14ac:dyDescent="0.2">
      <c r="A2379" s="16">
        <v>46488</v>
      </c>
      <c r="B2379" t="s">
        <v>339</v>
      </c>
    </row>
    <row r="2380" spans="1:2" x14ac:dyDescent="0.2">
      <c r="A2380" s="16">
        <v>46488</v>
      </c>
      <c r="B2380" t="s">
        <v>355</v>
      </c>
    </row>
    <row r="2381" spans="1:2" x14ac:dyDescent="0.2">
      <c r="A2381" s="16">
        <v>46488</v>
      </c>
      <c r="B2381" t="s">
        <v>345</v>
      </c>
    </row>
    <row r="2382" spans="1:2" x14ac:dyDescent="0.2">
      <c r="A2382" s="16">
        <v>46488</v>
      </c>
      <c r="B2382" t="s">
        <v>348</v>
      </c>
    </row>
    <row r="2383" spans="1:2" x14ac:dyDescent="0.2">
      <c r="A2383" s="16">
        <v>46488</v>
      </c>
      <c r="B2383" t="s">
        <v>366</v>
      </c>
    </row>
    <row r="2384" spans="1:2" x14ac:dyDescent="0.2">
      <c r="A2384" s="16">
        <v>46488</v>
      </c>
      <c r="B2384" t="s">
        <v>373</v>
      </c>
    </row>
    <row r="2385" spans="1:2" x14ac:dyDescent="0.2">
      <c r="A2385" s="16">
        <v>46488</v>
      </c>
      <c r="B2385" t="s">
        <v>332</v>
      </c>
    </row>
    <row r="2386" spans="1:2" x14ac:dyDescent="0.2">
      <c r="A2386" s="16">
        <v>46488</v>
      </c>
      <c r="B2386" t="s">
        <v>396</v>
      </c>
    </row>
    <row r="2387" spans="1:2" x14ac:dyDescent="0.2">
      <c r="A2387" s="16">
        <v>46488</v>
      </c>
      <c r="B2387" t="s">
        <v>329</v>
      </c>
    </row>
    <row r="2388" spans="1:2" x14ac:dyDescent="0.2">
      <c r="A2388" s="16">
        <v>46488</v>
      </c>
      <c r="B2388" t="s">
        <v>369</v>
      </c>
    </row>
    <row r="2389" spans="1:2" x14ac:dyDescent="0.2">
      <c r="A2389" s="16">
        <v>46488</v>
      </c>
      <c r="B2389" t="s">
        <v>334</v>
      </c>
    </row>
    <row r="2390" spans="1:2" x14ac:dyDescent="0.2">
      <c r="A2390" s="16">
        <v>46488</v>
      </c>
      <c r="B2390" t="s">
        <v>364</v>
      </c>
    </row>
    <row r="2391" spans="1:2" x14ac:dyDescent="0.2">
      <c r="A2391" s="16">
        <v>46488</v>
      </c>
      <c r="B2391" t="s">
        <v>342</v>
      </c>
    </row>
    <row r="2392" spans="1:2" x14ac:dyDescent="0.2">
      <c r="A2392" s="16">
        <v>46488</v>
      </c>
      <c r="B2392" t="s">
        <v>325</v>
      </c>
    </row>
    <row r="2393" spans="1:2" x14ac:dyDescent="0.2">
      <c r="A2393" s="16">
        <v>46488</v>
      </c>
      <c r="B2393" t="s">
        <v>358</v>
      </c>
    </row>
    <row r="2394" spans="1:2" x14ac:dyDescent="0.2">
      <c r="A2394" s="16">
        <v>46488</v>
      </c>
      <c r="B2394" t="s">
        <v>343</v>
      </c>
    </row>
    <row r="2395" spans="1:2" x14ac:dyDescent="0.2">
      <c r="A2395" s="16">
        <v>46488</v>
      </c>
      <c r="B2395" t="s">
        <v>346</v>
      </c>
    </row>
    <row r="2396" spans="1:2" x14ac:dyDescent="0.2">
      <c r="A2396" s="16">
        <v>46488</v>
      </c>
      <c r="B2396" t="s">
        <v>361</v>
      </c>
    </row>
    <row r="2397" spans="1:2" x14ac:dyDescent="0.2">
      <c r="A2397" s="16">
        <v>46488</v>
      </c>
      <c r="B2397" t="s">
        <v>385</v>
      </c>
    </row>
    <row r="2398" spans="1:2" x14ac:dyDescent="0.2">
      <c r="A2398" s="16">
        <v>46488</v>
      </c>
      <c r="B2398" t="s">
        <v>351</v>
      </c>
    </row>
    <row r="2399" spans="1:2" x14ac:dyDescent="0.2">
      <c r="A2399" s="16">
        <v>46488</v>
      </c>
      <c r="B2399" t="s">
        <v>353</v>
      </c>
    </row>
    <row r="2400" spans="1:2" x14ac:dyDescent="0.2">
      <c r="A2400" s="16">
        <v>46488</v>
      </c>
      <c r="B2400" t="s">
        <v>362</v>
      </c>
    </row>
    <row r="2401" spans="1:2" x14ac:dyDescent="0.2">
      <c r="A2401" s="16">
        <v>46488</v>
      </c>
      <c r="B2401" t="s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The List</vt:lpstr>
      <vt:lpstr>Minutes &amp; Health</vt:lpstr>
      <vt:lpstr>Settings</vt:lpstr>
      <vt:lpstr>Player Data</vt:lpstr>
      <vt:lpstr>Pool</vt:lpstr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Patel, Anik</cp:lastModifiedBy>
  <dcterms:created xsi:type="dcterms:W3CDTF">2026-10-12T03:04:58Z</dcterms:created>
  <dcterms:modified xsi:type="dcterms:W3CDTF">2026-10-12T03:05:11Z</dcterms:modified>
</cp:coreProperties>
</file>